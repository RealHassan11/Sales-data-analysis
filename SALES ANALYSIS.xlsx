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Sales Performance analysis\"/>
    </mc:Choice>
  </mc:AlternateContent>
  <xr:revisionPtr revIDLastSave="0" documentId="8_{F2BAE24B-62C3-419B-84C8-B8456D4793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5" r:id="rId1"/>
    <sheet name="project_note" sheetId="6" r:id="rId2"/>
    <sheet name="Detail1" sheetId="16" r:id="rId3"/>
    <sheet name="Detail2" sheetId="17" r:id="rId4"/>
    <sheet name="Reginal_analysis" sheetId="9" r:id="rId5"/>
    <sheet name="Monthly analysis" sheetId="13" r:id="rId6"/>
    <sheet name="sales_repAnalysis" sheetId="11" r:id="rId7"/>
    <sheet name="Detail3" sheetId="18" r:id="rId8"/>
    <sheet name="Channel analysis" sheetId="14" r:id="rId9"/>
    <sheet name="Sheet1" sheetId="19" r:id="rId10"/>
    <sheet name="Sales_Data" sheetId="1" r:id="rId11"/>
    <sheet name="KPI_Summary" sheetId="4" r:id="rId12"/>
    <sheet name="Dictionary" sheetId="3" r:id="rId13"/>
    <sheet name="Project_Brief" sheetId="2" r:id="rId14"/>
  </sheets>
  <definedNames>
    <definedName name="_xlnm._FilterDatabase" localSheetId="10" hidden="1">Sales_Data!$A$1:$O$301</definedName>
  </definedNames>
  <calcPr calcId="181029"/>
  <pivotCaches>
    <pivotCache cacheId="3" r:id="rId15"/>
  </pivotCaches>
  <fileRecoveryPr repairLoad="1"/>
</workbook>
</file>

<file path=xl/calcChain.xml><?xml version="1.0" encoding="utf-8"?>
<calcChain xmlns="http://schemas.openxmlformats.org/spreadsheetml/2006/main">
  <c r="A4" i="15" l="1"/>
  <c r="F4" i="15"/>
  <c r="L4" i="15"/>
  <c r="R4" i="15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<sst xmlns="http://schemas.openxmlformats.org/spreadsheetml/2006/main" count="20731" uniqueCount="16839">
  <si>
    <t>Order_ID</t>
  </si>
  <si>
    <t>Order_Date</t>
  </si>
  <si>
    <t>Month</t>
  </si>
  <si>
    <t>Quarter</t>
  </si>
  <si>
    <t>Region</t>
  </si>
  <si>
    <t>Sales_Rep</t>
  </si>
  <si>
    <t>Product</t>
  </si>
  <si>
    <t>Sales_Channel</t>
  </si>
  <si>
    <t>Payment_Method</t>
  </si>
  <si>
    <t>Quantity</t>
  </si>
  <si>
    <t>Unit_Price_NGN</t>
  </si>
  <si>
    <t>Discount_Rate</t>
  </si>
  <si>
    <t>Sales_NGN</t>
  </si>
  <si>
    <t>Cost_NGN</t>
  </si>
  <si>
    <t>Profit_NGN</t>
  </si>
  <si>
    <t>ORD-0274</t>
  </si>
  <si>
    <t>January</t>
  </si>
  <si>
    <t>Q1</t>
  </si>
  <si>
    <t>Lagos</t>
  </si>
  <si>
    <t>David</t>
  </si>
  <si>
    <t>Laptop</t>
  </si>
  <si>
    <t>Corporate Sales</t>
  </si>
  <si>
    <t>Cash</t>
  </si>
  <si>
    <t>ORD-0071</t>
  </si>
  <si>
    <t>Ibadan</t>
  </si>
  <si>
    <t>Maryam</t>
  </si>
  <si>
    <t>Monitor</t>
  </si>
  <si>
    <t>ORD-0165</t>
  </si>
  <si>
    <t>Kano</t>
  </si>
  <si>
    <t>Aisha</t>
  </si>
  <si>
    <t>Retail Store</t>
  </si>
  <si>
    <t>Card</t>
  </si>
  <si>
    <t>ORD-0144</t>
  </si>
  <si>
    <t>Online</t>
  </si>
  <si>
    <t>Bank Transfer</t>
  </si>
  <si>
    <t>ORD-0217</t>
  </si>
  <si>
    <t>Samuel</t>
  </si>
  <si>
    <t>Mouse</t>
  </si>
  <si>
    <t>ORD-0204</t>
  </si>
  <si>
    <t>ORD-0296</t>
  </si>
  <si>
    <t>Keyboard</t>
  </si>
  <si>
    <t>POS</t>
  </si>
  <si>
    <t>ORD-0187</t>
  </si>
  <si>
    <t>Ibrahim</t>
  </si>
  <si>
    <t>ORD-0134</t>
  </si>
  <si>
    <t>Tablet</t>
  </si>
  <si>
    <t>ORD-0221</t>
  </si>
  <si>
    <t>Port Harcourt</t>
  </si>
  <si>
    <t>ORD-0158</t>
  </si>
  <si>
    <t>Abuja</t>
  </si>
  <si>
    <t>ORD-0008</t>
  </si>
  <si>
    <t>Headset</t>
  </si>
  <si>
    <t>ORD-0231</t>
  </si>
  <si>
    <t>Smartphone</t>
  </si>
  <si>
    <t>ORD-0004</t>
  </si>
  <si>
    <t>Daniel</t>
  </si>
  <si>
    <t>ORD-0026</t>
  </si>
  <si>
    <t>ORD-0129</t>
  </si>
  <si>
    <t>Fatima</t>
  </si>
  <si>
    <t>ORD-0194</t>
  </si>
  <si>
    <t>Printer</t>
  </si>
  <si>
    <t>ORD-0079</t>
  </si>
  <si>
    <t>ORD-0121</t>
  </si>
  <si>
    <t>ORD-0297</t>
  </si>
  <si>
    <t>ORD-0243</t>
  </si>
  <si>
    <t>February</t>
  </si>
  <si>
    <t>ORD-0237</t>
  </si>
  <si>
    <t>ORD-0138</t>
  </si>
  <si>
    <t>Zainab</t>
  </si>
  <si>
    <t>ORD-0058</t>
  </si>
  <si>
    <t>ORD-0278</t>
  </si>
  <si>
    <t>ORD-0112</t>
  </si>
  <si>
    <t>ORD-0189</t>
  </si>
  <si>
    <t>ORD-0082</t>
  </si>
  <si>
    <t>ORD-0139</t>
  </si>
  <si>
    <t>ORD-0265</t>
  </si>
  <si>
    <t>ORD-0198</t>
  </si>
  <si>
    <t>ORD-0131</t>
  </si>
  <si>
    <t>ORD-0108</t>
  </si>
  <si>
    <t>ORD-0057</t>
  </si>
  <si>
    <t>ORD-0203</t>
  </si>
  <si>
    <t>ORD-0182</t>
  </si>
  <si>
    <t>ORD-0173</t>
  </si>
  <si>
    <t>ORD-0239</t>
  </si>
  <si>
    <t>ORD-0110</t>
  </si>
  <si>
    <t>ORD-0284</t>
  </si>
  <si>
    <t>ORD-0263</t>
  </si>
  <si>
    <t>ORD-0179</t>
  </si>
  <si>
    <t>ORD-0271</t>
  </si>
  <si>
    <t>ORD-0175</t>
  </si>
  <si>
    <t>ORD-0048</t>
  </si>
  <si>
    <t>ORD-0185</t>
  </si>
  <si>
    <t>ORD-0141</t>
  </si>
  <si>
    <t>ORD-0034</t>
  </si>
  <si>
    <t>March</t>
  </si>
  <si>
    <t>ORD-0046</t>
  </si>
  <si>
    <t>ORD-0010</t>
  </si>
  <si>
    <t>ORD-0200</t>
  </si>
  <si>
    <t>ORD-0199</t>
  </si>
  <si>
    <t>ORD-0168</t>
  </si>
  <si>
    <t>ORD-0256</t>
  </si>
  <si>
    <t>ORD-0145</t>
  </si>
  <si>
    <t>ORD-0142</t>
  </si>
  <si>
    <t>ORD-0070</t>
  </si>
  <si>
    <t>ORD-0272</t>
  </si>
  <si>
    <t>ORD-0113</t>
  </si>
  <si>
    <t>ORD-0298</t>
  </si>
  <si>
    <t>ORD-0259</t>
  </si>
  <si>
    <t>ORD-0083</t>
  </si>
  <si>
    <t>ORD-0225</t>
  </si>
  <si>
    <t>ORD-0017</t>
  </si>
  <si>
    <t>ORD-0104</t>
  </si>
  <si>
    <t>ORD-0197</t>
  </si>
  <si>
    <t>ORD-0097</t>
  </si>
  <si>
    <t>ORD-0268</t>
  </si>
  <si>
    <t>ORD-0117</t>
  </si>
  <si>
    <t>ORD-0038</t>
  </si>
  <si>
    <t>ORD-0157</t>
  </si>
  <si>
    <t>ORD-0299</t>
  </si>
  <si>
    <t>ORD-0116</t>
  </si>
  <si>
    <t>ORD-0170</t>
  </si>
  <si>
    <t>ORD-0176</t>
  </si>
  <si>
    <t>ORD-0080</t>
  </si>
  <si>
    <t>ORD-0195</t>
  </si>
  <si>
    <t>April</t>
  </si>
  <si>
    <t>Q2</t>
  </si>
  <si>
    <t>ORD-0069</t>
  </si>
  <si>
    <t>ORD-0238</t>
  </si>
  <si>
    <t>ORD-0045</t>
  </si>
  <si>
    <t>ORD-0016</t>
  </si>
  <si>
    <t>ORD-0155</t>
  </si>
  <si>
    <t>ORD-0235</t>
  </si>
  <si>
    <t>ORD-0128</t>
  </si>
  <si>
    <t>ORD-0244</t>
  </si>
  <si>
    <t>ORD-0118</t>
  </si>
  <si>
    <t>ORD-0148</t>
  </si>
  <si>
    <t>ORD-0241</t>
  </si>
  <si>
    <t>ORD-0209</t>
  </si>
  <si>
    <t>ORD-0266</t>
  </si>
  <si>
    <t>ORD-0280</t>
  </si>
  <si>
    <t>ORD-0206</t>
  </si>
  <si>
    <t>ORD-0075</t>
  </si>
  <si>
    <t>ORD-0276</t>
  </si>
  <si>
    <t>ORD-0283</t>
  </si>
  <si>
    <t>ORD-0178</t>
  </si>
  <si>
    <t>ORD-0063</t>
  </si>
  <si>
    <t>ORD-0059</t>
  </si>
  <si>
    <t>ORD-0023</t>
  </si>
  <si>
    <t>ORD-0137</t>
  </si>
  <si>
    <t>ORD-0212</t>
  </si>
  <si>
    <t>May</t>
  </si>
  <si>
    <t>ORD-0149</t>
  </si>
  <si>
    <t>ORD-0174</t>
  </si>
  <si>
    <t>ORD-0236</t>
  </si>
  <si>
    <t>ORD-0033</t>
  </si>
  <si>
    <t>ORD-0052</t>
  </si>
  <si>
    <t>ORD-0275</t>
  </si>
  <si>
    <t>ORD-0067</t>
  </si>
  <si>
    <t>ORD-0228</t>
  </si>
  <si>
    <t>ORD-0162</t>
  </si>
  <si>
    <t>ORD-0169</t>
  </si>
  <si>
    <t>ORD-0066</t>
  </si>
  <si>
    <t>ORD-0245</t>
  </si>
  <si>
    <t>ORD-0109</t>
  </si>
  <si>
    <t>ORD-0290</t>
  </si>
  <si>
    <t>ORD-0216</t>
  </si>
  <si>
    <t>ORD-0252</t>
  </si>
  <si>
    <t>ORD-0032</t>
  </si>
  <si>
    <t>ORD-0293</t>
  </si>
  <si>
    <t>ORD-0094</t>
  </si>
  <si>
    <t>ORD-0021</t>
  </si>
  <si>
    <t>ORD-0282</t>
  </si>
  <si>
    <t>June</t>
  </si>
  <si>
    <t>ORD-0024</t>
  </si>
  <si>
    <t>ORD-0253</t>
  </si>
  <si>
    <t>ORD-0249</t>
  </si>
  <si>
    <t>ORD-0087</t>
  </si>
  <si>
    <t>ORD-0257</t>
  </si>
  <si>
    <t>ORD-0295</t>
  </si>
  <si>
    <t>ORD-0041</t>
  </si>
  <si>
    <t>ORD-0181</t>
  </si>
  <si>
    <t>ORD-0029</t>
  </si>
  <si>
    <t>ORD-0300</t>
  </si>
  <si>
    <t>ORD-0135</t>
  </si>
  <si>
    <t>ORD-0159</t>
  </si>
  <si>
    <t>ORD-0111</t>
  </si>
  <si>
    <t>ORD-0183</t>
  </si>
  <si>
    <t>ORD-0042</t>
  </si>
  <si>
    <t>ORD-0289</t>
  </si>
  <si>
    <t>ORD-0132</t>
  </si>
  <si>
    <t>ORD-0031</t>
  </si>
  <si>
    <t>ORD-0114</t>
  </si>
  <si>
    <t>ORD-0062</t>
  </si>
  <si>
    <t>ORD-0060</t>
  </si>
  <si>
    <t>ORD-0260</t>
  </si>
  <si>
    <t>ORD-0163</t>
  </si>
  <si>
    <t>ORD-0096</t>
  </si>
  <si>
    <t>ORD-0143</t>
  </si>
  <si>
    <t>ORD-0210</t>
  </si>
  <si>
    <t>ORD-0230</t>
  </si>
  <si>
    <t>July</t>
  </si>
  <si>
    <t>Q3</t>
  </si>
  <si>
    <t>ORD-0089</t>
  </si>
  <si>
    <t>ORD-0156</t>
  </si>
  <si>
    <t>ORD-0013</t>
  </si>
  <si>
    <t>ORD-0151</t>
  </si>
  <si>
    <t>ORD-0222</t>
  </si>
  <si>
    <t>ORD-0003</t>
  </si>
  <si>
    <t>ORD-0215</t>
  </si>
  <si>
    <t>ORD-0247</t>
  </si>
  <si>
    <t>ORD-0007</t>
  </si>
  <si>
    <t>ORD-0006</t>
  </si>
  <si>
    <t>ORD-0223</t>
  </si>
  <si>
    <t>ORD-0002</t>
  </si>
  <si>
    <t>ORD-0123</t>
  </si>
  <si>
    <t>ORD-0099</t>
  </si>
  <si>
    <t>ORD-0088</t>
  </si>
  <si>
    <t>ORD-0019</t>
  </si>
  <si>
    <t>ORD-0124</t>
  </si>
  <si>
    <t>ORD-0232</t>
  </si>
  <si>
    <t>ORD-0258</t>
  </si>
  <si>
    <t>ORD-0147</t>
  </si>
  <si>
    <t>ORD-0161</t>
  </si>
  <si>
    <t>ORD-0254</t>
  </si>
  <si>
    <t>ORD-0064</t>
  </si>
  <si>
    <t>ORD-0288</t>
  </si>
  <si>
    <t>ORD-0207</t>
  </si>
  <si>
    <t>ORD-0098</t>
  </si>
  <si>
    <t>ORD-0229</t>
  </si>
  <si>
    <t>August</t>
  </si>
  <si>
    <t>ORD-0267</t>
  </si>
  <si>
    <t>ORD-0001</t>
  </si>
  <si>
    <t>ORD-0106</t>
  </si>
  <si>
    <t>ORD-0051</t>
  </si>
  <si>
    <t>ORD-0044</t>
  </si>
  <si>
    <t>ORD-0011</t>
  </si>
  <si>
    <t>ORD-0091</t>
  </si>
  <si>
    <t>ORD-0018</t>
  </si>
  <si>
    <t>ORD-0166</t>
  </si>
  <si>
    <t>ORD-0286</t>
  </si>
  <si>
    <t>ORD-0078</t>
  </si>
  <si>
    <t>ORD-0208</t>
  </si>
  <si>
    <t>ORD-0242</t>
  </si>
  <si>
    <t>ORD-0164</t>
  </si>
  <si>
    <t>ORD-0103</t>
  </si>
  <si>
    <t>ORD-0285</t>
  </si>
  <si>
    <t>ORD-0028</t>
  </si>
  <si>
    <t>ORD-0277</t>
  </si>
  <si>
    <t>ORD-0049</t>
  </si>
  <si>
    <t>ORD-0107</t>
  </si>
  <si>
    <t>ORD-0140</t>
  </si>
  <si>
    <t>ORD-0037</t>
  </si>
  <si>
    <t>ORD-0012</t>
  </si>
  <si>
    <t>ORD-0201</t>
  </si>
  <si>
    <t>ORD-0180</t>
  </si>
  <si>
    <t>ORD-0191</t>
  </si>
  <si>
    <t>September</t>
  </si>
  <si>
    <t>ORD-0101</t>
  </si>
  <si>
    <t>ORD-0133</t>
  </si>
  <si>
    <t>ORD-0040</t>
  </si>
  <si>
    <t>ORD-0022</t>
  </si>
  <si>
    <t>ORD-0202</t>
  </si>
  <si>
    <t>ORD-0105</t>
  </si>
  <si>
    <t>ORD-0291</t>
  </si>
  <si>
    <t>ORD-0093</t>
  </si>
  <si>
    <t>ORD-0160</t>
  </si>
  <si>
    <t>ORD-0214</t>
  </si>
  <si>
    <t>ORD-0015</t>
  </si>
  <si>
    <t>ORD-0081</t>
  </si>
  <si>
    <t>ORD-0126</t>
  </si>
  <si>
    <t>ORD-0005</t>
  </si>
  <si>
    <t>ORD-0043</t>
  </si>
  <si>
    <t>ORD-0102</t>
  </si>
  <si>
    <t>ORD-0269</t>
  </si>
  <si>
    <t>ORD-0193</t>
  </si>
  <si>
    <t>ORD-0100</t>
  </si>
  <si>
    <t>ORD-0146</t>
  </si>
  <si>
    <t>ORD-0240</t>
  </si>
  <si>
    <t>ORD-0035</t>
  </si>
  <si>
    <t>ORD-0184</t>
  </si>
  <si>
    <t>ORD-0248</t>
  </si>
  <si>
    <t>ORD-0025</t>
  </si>
  <si>
    <t>October</t>
  </si>
  <si>
    <t>Q4</t>
  </si>
  <si>
    <t>ORD-0279</t>
  </si>
  <si>
    <t>ORD-0136</t>
  </si>
  <si>
    <t>ORD-0281</t>
  </si>
  <si>
    <t>ORD-0090</t>
  </si>
  <si>
    <t>ORD-0050</t>
  </si>
  <si>
    <t>ORD-0047</t>
  </si>
  <si>
    <t>ORD-0255</t>
  </si>
  <si>
    <t>ORD-0196</t>
  </si>
  <si>
    <t>ORD-0167</t>
  </si>
  <si>
    <t>ORD-0009</t>
  </si>
  <si>
    <t>ORD-0084</t>
  </si>
  <si>
    <t>ORD-0171</t>
  </si>
  <si>
    <t>ORD-0092</t>
  </si>
  <si>
    <t>ORD-0095</t>
  </si>
  <si>
    <t>ORD-0073</t>
  </si>
  <si>
    <t>ORD-0085</t>
  </si>
  <si>
    <t>ORD-0294</t>
  </si>
  <si>
    <t>ORD-0177</t>
  </si>
  <si>
    <t>ORD-0186</t>
  </si>
  <si>
    <t>ORD-0074</t>
  </si>
  <si>
    <t>ORD-0115</t>
  </si>
  <si>
    <t>ORD-0224</t>
  </si>
  <si>
    <t>ORD-0250</t>
  </si>
  <si>
    <t>ORD-0172</t>
  </si>
  <si>
    <t>ORD-0055</t>
  </si>
  <si>
    <t>November</t>
  </si>
  <si>
    <t>ORD-0233</t>
  </si>
  <si>
    <t>ORD-0086</t>
  </si>
  <si>
    <t>ORD-0220</t>
  </si>
  <si>
    <t>ORD-0120</t>
  </si>
  <si>
    <t>ORD-0219</t>
  </si>
  <si>
    <t>ORD-0153</t>
  </si>
  <si>
    <t>ORD-0218</t>
  </si>
  <si>
    <t>ORD-0211</t>
  </si>
  <si>
    <t>ORD-0130</t>
  </si>
  <si>
    <t>ORD-0027</t>
  </si>
  <si>
    <t>ORD-0054</t>
  </si>
  <si>
    <t>ORD-0036</t>
  </si>
  <si>
    <t>ORD-0150</t>
  </si>
  <si>
    <t>ORD-0234</t>
  </si>
  <si>
    <t>ORD-0190</t>
  </si>
  <si>
    <t>ORD-0014</t>
  </si>
  <si>
    <t>ORD-0065</t>
  </si>
  <si>
    <t>December</t>
  </si>
  <si>
    <t>ORD-0192</t>
  </si>
  <si>
    <t>ORD-0287</t>
  </si>
  <si>
    <t>ORD-0127</t>
  </si>
  <si>
    <t>ORD-0039</t>
  </si>
  <si>
    <t>ORD-0030</t>
  </si>
  <si>
    <t>ORD-0205</t>
  </si>
  <si>
    <t>ORD-0020</t>
  </si>
  <si>
    <t>ORD-0053</t>
  </si>
  <si>
    <t>ORD-0125</t>
  </si>
  <si>
    <t>ORD-0227</t>
  </si>
  <si>
    <t>ORD-0226</t>
  </si>
  <si>
    <t>ORD-0270</t>
  </si>
  <si>
    <t>ORD-0077</t>
  </si>
  <si>
    <t>ORD-0154</t>
  </si>
  <si>
    <t>ORD-0251</t>
  </si>
  <si>
    <t>ORD-0292</t>
  </si>
  <si>
    <t>ORD-0152</t>
  </si>
  <si>
    <t>ORD-0061</t>
  </si>
  <si>
    <t>ORD-0056</t>
  </si>
  <si>
    <t>ORD-0122</t>
  </si>
  <si>
    <t>ORD-0213</t>
  </si>
  <si>
    <t>ORD-0273</t>
  </si>
  <si>
    <t>ORD-0188</t>
  </si>
  <si>
    <t>ORD-0068</t>
  </si>
  <si>
    <t>ORD-0261</t>
  </si>
  <si>
    <t>ORD-0262</t>
  </si>
  <si>
    <t>ORD-0264</t>
  </si>
  <si>
    <t>ORD-0246</t>
  </si>
  <si>
    <t>ORD-0119</t>
  </si>
  <si>
    <t>ORD-0076</t>
  </si>
  <si>
    <t>ORD-0072</t>
  </si>
  <si>
    <t>Project: Sales Performance Analysis</t>
  </si>
  <si>
    <t>Tool: Microsoft Excel</t>
  </si>
  <si>
    <t>Goal: Analyse sales performance and identify useful business insights.</t>
  </si>
  <si>
    <t>Questions to answer:</t>
  </si>
  <si>
    <t>1. What are total sales, total cost and total profit?</t>
  </si>
  <si>
    <t>2. Which product generated the highest sales?</t>
  </si>
  <si>
    <t>3. Which region generated the highest sales?</t>
  </si>
  <si>
    <t>4. Which sales representative generated the highest sales?</t>
  </si>
  <si>
    <t>5. What is the monthly sales trend?</t>
  </si>
  <si>
    <t>6. Which sales channel performs best?</t>
  </si>
  <si>
    <t>7. Which product has the highest total quantity sold?</t>
  </si>
  <si>
    <t>8. Which product or region has the highest profit?</t>
  </si>
  <si>
    <t>9. What recommendations would you give management?</t>
  </si>
  <si>
    <t>Meaning</t>
  </si>
  <si>
    <t>Field</t>
  </si>
  <si>
    <t>Use in Analysis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</si>
  <si>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</si>
  <si>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</si>
  <si>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</si>
  <si>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</si>
  <si>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</si>
  <si>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</si>
  <si>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</si>
  <si>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</si>
  <si>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</si>
  <si>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</si>
  <si>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</si>
  <si>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</si>
  <si>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</si>
  <si>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</si>
  <si>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</si>
  <si>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</si>
  <si>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</si>
  <si>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</si>
  <si>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</si>
  <si>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</si>
  <si>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</si>
  <si>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</si>
  <si>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</si>
  <si>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</si>
  <si>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</si>
  <si>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</si>
  <si>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</si>
  <si>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</si>
  <si>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</si>
  <si>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</si>
  <si>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</si>
  <si>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</si>
  <si>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</si>
  <si>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</si>
  <si>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</si>
  <si>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</si>
  <si>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</si>
  <si>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</si>
  <si>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</si>
  <si>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</si>
  <si>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</si>
  <si>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</si>
  <si>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</si>
  <si>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</si>
  <si>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</si>
  <si>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</si>
  <si>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</si>
  <si>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</si>
  <si>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</si>
  <si>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</si>
  <si>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</si>
  <si>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</si>
  <si>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</si>
  <si>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</si>
  <si>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</si>
  <si>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</si>
  <si>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</si>
  <si>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</si>
  <si>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</si>
  <si>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</si>
  <si>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</si>
  <si>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</si>
  <si>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</si>
  <si>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</si>
  <si>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</si>
  <si>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</si>
  <si>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</si>
  <si>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</si>
  <si>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</si>
  <si>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</si>
  <si>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</si>
  <si>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</si>
  <si>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</si>
  <si>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</si>
  <si>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</si>
  <si>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</si>
  <si>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</si>
  <si>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</si>
  <si>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</si>
  <si>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</si>
  <si>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</si>
  <si>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</si>
  <si>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</si>
  <si>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</si>
  <si>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</si>
  <si>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</si>
  <si>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</si>
  <si>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</si>
  <si>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</si>
  <si>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</si>
  <si>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</si>
  <si>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</si>
  <si>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</si>
  <si>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</si>
  <si>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</si>
  <si>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</si>
  <si>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</si>
  <si>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</si>
  <si>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</si>
  <si>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</si>
  <si>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</si>
  <si>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</si>
  <si>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</si>
  <si>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</si>
  <si>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</si>
  <si>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</si>
  <si>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</si>
  <si>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</si>
  <si>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</si>
  <si>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</si>
  <si>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</si>
  <si>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</si>
  <si>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</si>
  <si>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</si>
  <si>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</si>
  <si>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</si>
  <si>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</si>
  <si>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</si>
  <si>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</si>
  <si>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</si>
  <si>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</si>
  <si>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</si>
  <si>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</si>
  <si>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</si>
  <si>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</si>
  <si>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</si>
  <si>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</si>
  <si>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</si>
  <si>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</si>
  <si>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</si>
  <si>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</si>
  <si>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</si>
  <si>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</si>
  <si>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</si>
  <si>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</si>
  <si>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</si>
  <si>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</si>
  <si>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</si>
  <si>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</si>
  <si>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</si>
  <si>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</si>
  <si>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</si>
  <si>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</si>
  <si>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</si>
  <si>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</si>
  <si>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</si>
  <si>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</si>
  <si>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</si>
  <si>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</si>
  <si>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</si>
  <si>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</si>
  <si>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</si>
  <si>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</si>
  <si>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</si>
  <si>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</si>
  <si>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</si>
  <si>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</si>
  <si>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</si>
  <si>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</si>
  <si>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</si>
  <si>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</si>
  <si>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</si>
  <si>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</si>
  <si>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</si>
  <si>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</si>
  <si>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</si>
  <si>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</si>
  <si>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</si>
  <si>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</si>
  <si>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</si>
  <si>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</si>
  <si>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</si>
  <si>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</si>
  <si>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</si>
  <si>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</si>
  <si>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</si>
  <si>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</si>
  <si>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</si>
  <si>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</si>
  <si>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</si>
  <si>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</si>
  <si>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</si>
  <si>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</si>
  <si>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</si>
  <si>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</si>
  <si>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</si>
  <si>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</si>
  <si>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</si>
  <si>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</si>
  <si>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</si>
  <si>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</si>
  <si>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</si>
  <si>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</si>
  <si>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</si>
  <si>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</si>
  <si>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</si>
  <si>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</si>
  <si>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</si>
  <si>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</si>
  <si>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</si>
  <si>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</si>
  <si>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</si>
  <si>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</si>
  <si>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</si>
  <si>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</si>
  <si>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</si>
  <si>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</si>
  <si>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</si>
  <si>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</si>
  <si>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</si>
  <si>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</si>
  <si>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</si>
  <si>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</si>
  <si>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</si>
  <si>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</si>
  <si>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</si>
  <si>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</si>
  <si>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</si>
  <si>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</si>
  <si>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</si>
  <si>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</si>
  <si>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</si>
  <si>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</si>
  <si>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</si>
  <si>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</si>
  <si>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</si>
  <si>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</si>
  <si>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</si>
  <si>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</si>
  <si>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</si>
  <si>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</si>
  <si>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</si>
  <si>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</si>
  <si>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</si>
  <si>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</si>
  <si>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</si>
  <si>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</si>
  <si>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</si>
  <si>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</si>
  <si>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</si>
  <si>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</si>
  <si>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</si>
  <si>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</si>
  <si>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</si>
  <si>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</si>
  <si>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</si>
  <si>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</si>
  <si>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</si>
  <si>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</si>
  <si>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</si>
  <si>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</si>
  <si>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</si>
  <si>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</si>
  <si>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</si>
  <si>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</si>
  <si>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</si>
  <si>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</si>
  <si>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</si>
  <si>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</si>
  <si>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</si>
  <si>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</si>
  <si>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</si>
  <si>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</si>
  <si>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</si>
  <si>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</si>
  <si>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</si>
  <si>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</si>
  <si>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</si>
  <si>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</si>
  <si>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</si>
  <si>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</si>
  <si>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</si>
  <si>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</si>
  <si>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</si>
  <si>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</si>
  <si>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</si>
  <si>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</si>
  <si>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</si>
  <si>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</si>
  <si>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</si>
  <si>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</si>
  <si>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</si>
  <si>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</si>
  <si>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</si>
  <si>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</si>
  <si>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</si>
  <si>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</si>
  <si>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</si>
  <si>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</si>
  <si>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</si>
  <si>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</si>
  <si>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</si>
  <si>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</si>
  <si>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</si>
  <si>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</si>
  <si>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</si>
  <si>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</si>
  <si>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</si>
  <si>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</si>
  <si>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</si>
  <si>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</si>
  <si>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</si>
  <si>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</si>
  <si>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</si>
  <si>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</si>
  <si>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</si>
  <si>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</si>
  <si>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</si>
  <si>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</si>
  <si>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</si>
  <si>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</si>
  <si>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</si>
  <si>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</si>
  <si>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</si>
  <si>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</si>
  <si>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</si>
  <si>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</si>
  <si>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</si>
  <si>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</si>
  <si>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</si>
  <si>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</si>
  <si>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</si>
  <si>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</si>
  <si>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</si>
  <si>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</si>
  <si>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</si>
  <si>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</si>
  <si>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</si>
  <si>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</si>
  <si>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</si>
  <si>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</si>
  <si>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</si>
  <si>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</si>
  <si>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</si>
  <si>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</si>
  <si>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</si>
  <si>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</si>
  <si>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</si>
  <si>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</si>
  <si>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</si>
  <si>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</si>
  <si>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</si>
  <si>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</si>
  <si>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</si>
  <si>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</si>
  <si>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</si>
  <si>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</si>
  <si>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</si>
  <si>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</si>
  <si>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</si>
  <si>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</si>
  <si>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</si>
  <si>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</si>
  <si>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</si>
  <si>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</si>
  <si>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</si>
  <si>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</si>
  <si>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</si>
  <si>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</si>
  <si>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</si>
  <si>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</si>
  <si>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</si>
  <si>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</si>
  <si>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</si>
  <si>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</si>
  <si>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</si>
  <si>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</si>
  <si>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</si>
  <si>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</si>
  <si>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</si>
  <si>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</si>
  <si>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</si>
  <si>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</si>
  <si>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</si>
  <si>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</si>
  <si>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</si>
  <si>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</si>
  <si>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</si>
  <si>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</si>
  <si>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</si>
  <si>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</si>
  <si>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</si>
  <si>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</si>
  <si>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</si>
  <si>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</si>
  <si>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</si>
  <si>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</si>
  <si>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</si>
  <si>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</si>
  <si>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</si>
  <si>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</si>
  <si>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</si>
  <si>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</si>
  <si>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</si>
  <si>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</si>
  <si>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</si>
  <si>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</si>
  <si>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</si>
  <si>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</si>
  <si>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</si>
  <si>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</si>
  <si>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</si>
  <si>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</si>
  <si>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</si>
  <si>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</si>
  <si>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</si>
  <si>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</si>
  <si>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</si>
  <si>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</si>
  <si>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</si>
  <si>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</si>
  <si>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</si>
  <si>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</si>
  <si>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</si>
  <si>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</si>
  <si>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</si>
  <si>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</si>
  <si>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</si>
  <si>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</si>
  <si>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</si>
  <si>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</si>
  <si>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</si>
  <si>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</si>
  <si>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</si>
  <si>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</si>
  <si>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</si>
  <si>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</si>
  <si>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</si>
  <si>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</si>
  <si>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</si>
  <si>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</si>
  <si>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</si>
  <si>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</si>
  <si>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</si>
  <si>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</si>
  <si>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</si>
  <si>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</si>
  <si>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</si>
  <si>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</si>
  <si>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</si>
  <si>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</si>
  <si>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</si>
  <si>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</si>
  <si>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</si>
  <si>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</si>
  <si>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</si>
  <si>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</si>
  <si>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</si>
  <si>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</si>
  <si>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</si>
  <si>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</si>
  <si>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</si>
  <si>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</si>
  <si>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</si>
  <si>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</si>
  <si>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</si>
  <si>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</si>
  <si>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</si>
  <si>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</si>
  <si>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</si>
  <si>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</si>
  <si>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</si>
  <si>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</si>
  <si>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</si>
  <si>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</si>
  <si>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</si>
  <si>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</si>
  <si>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</si>
  <si>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</si>
  <si>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</si>
  <si>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</si>
  <si>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</si>
  <si>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</si>
  <si>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</si>
  <si>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</si>
  <si>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</si>
  <si>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</si>
  <si>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</si>
  <si>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</si>
  <si>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</si>
  <si>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</si>
  <si>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</si>
  <si>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</si>
  <si>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</si>
  <si>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</si>
  <si>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</si>
  <si>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</si>
  <si>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</si>
  <si>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</si>
  <si>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</si>
  <si>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</si>
  <si>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</si>
  <si>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</si>
  <si>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</si>
  <si>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</si>
  <si>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</si>
  <si>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</si>
  <si>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</si>
  <si>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</si>
  <si>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</si>
  <si>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</si>
  <si>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</si>
  <si>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</si>
  <si>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</si>
  <si>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</si>
  <si>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</si>
  <si>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</si>
  <si>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</si>
  <si>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</si>
  <si>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</si>
  <si>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</si>
  <si>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</si>
  <si>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</si>
  <si>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</si>
  <si>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</si>
  <si>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</si>
  <si>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</si>
  <si>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</si>
  <si>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</si>
  <si>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</si>
  <si>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</si>
  <si>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</si>
  <si>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</si>
  <si>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</si>
  <si>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</si>
  <si>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</si>
  <si>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</si>
  <si>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</si>
  <si>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</si>
  <si>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</si>
  <si>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</si>
  <si>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</si>
  <si>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</si>
  <si>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</si>
  <si>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</si>
  <si>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</si>
  <si>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</si>
  <si>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</si>
  <si>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</si>
  <si>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</si>
  <si>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</si>
  <si>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</si>
  <si>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</si>
  <si>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</si>
  <si>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</si>
  <si>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</si>
  <si>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</si>
  <si>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</si>
  <si>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</si>
  <si>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</si>
  <si>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</si>
  <si>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</si>
  <si>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</si>
  <si>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</si>
  <si>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</si>
  <si>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</si>
  <si>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</si>
  <si>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</si>
  <si>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</si>
  <si>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</si>
  <si>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</si>
  <si>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</si>
  <si>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</si>
  <si>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</si>
  <si>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</si>
  <si>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</si>
  <si>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</si>
  <si>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</si>
  <si>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</si>
  <si>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</si>
  <si>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</si>
  <si>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</si>
  <si>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</si>
  <si>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</si>
  <si>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</si>
  <si>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</si>
  <si>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</si>
  <si>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</si>
  <si>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</si>
  <si>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</si>
  <si>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</si>
  <si>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</si>
  <si>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</si>
  <si>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</si>
  <si>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</si>
  <si>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</si>
  <si>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</si>
  <si>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</si>
  <si>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</si>
  <si>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</si>
  <si>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</si>
  <si>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</si>
  <si>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</si>
  <si>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</si>
  <si>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</si>
  <si>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</si>
  <si>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</si>
  <si>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</si>
  <si>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</si>
  <si>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</si>
  <si>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</si>
  <si>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</si>
  <si>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</si>
  <si>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</si>
  <si>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</si>
  <si>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</si>
  <si>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</si>
  <si>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</si>
  <si>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</si>
  <si>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</si>
  <si>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</si>
  <si>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</si>
  <si>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</si>
  <si>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</si>
  <si>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</si>
  <si>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</si>
  <si>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</si>
  <si>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</si>
  <si>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</si>
  <si>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</si>
  <si>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</si>
  <si>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</si>
  <si>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</si>
  <si>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</si>
  <si>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</si>
  <si>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</si>
  <si>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</si>
  <si>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</si>
  <si>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</si>
  <si>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</si>
  <si>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</si>
  <si>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</si>
  <si>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</si>
  <si>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</si>
  <si>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</si>
  <si>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</si>
  <si>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</si>
  <si>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</si>
  <si>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</si>
  <si>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</si>
  <si>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</si>
  <si>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</si>
  <si>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</si>
  <si>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</si>
  <si>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</si>
  <si>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</si>
  <si>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</si>
  <si>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</si>
  <si>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</si>
  <si>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</si>
  <si>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</si>
  <si>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</si>
  <si>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</si>
  <si>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</si>
  <si>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</si>
  <si>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</si>
  <si>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</si>
  <si>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</si>
  <si>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</si>
  <si>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</si>
  <si>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</si>
  <si>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</si>
  <si>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</si>
  <si>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</si>
  <si>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</si>
  <si>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</si>
  <si>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</si>
  <si>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</si>
  <si>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</si>
  <si>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</si>
  <si>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</si>
  <si>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</si>
  <si>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</si>
  <si>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</si>
  <si>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</si>
  <si>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</si>
  <si>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</si>
  <si>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</si>
  <si>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</si>
  <si>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</si>
  <si>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</si>
  <si>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</si>
  <si>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</si>
  <si>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</si>
  <si>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</si>
  <si>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</si>
  <si>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</si>
  <si>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</si>
  <si>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</si>
  <si>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</si>
  <si>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</si>
  <si>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</si>
  <si>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</si>
  <si>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</si>
  <si>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</si>
  <si>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</si>
  <si>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</si>
  <si>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</si>
  <si>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</si>
  <si>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</si>
  <si>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</si>
  <si>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</si>
  <si>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</si>
  <si>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</si>
  <si>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</si>
  <si>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</si>
  <si>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</si>
  <si>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</si>
  <si>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</si>
  <si>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</si>
  <si>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</si>
  <si>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</si>
  <si>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</si>
  <si>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</si>
  <si>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</si>
  <si>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</si>
  <si>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</si>
  <si>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</si>
  <si>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</si>
  <si>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</si>
  <si>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</si>
  <si>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</si>
  <si>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</si>
  <si>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</si>
  <si>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</si>
  <si>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</si>
  <si>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</si>
  <si>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</si>
  <si>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</si>
  <si>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</si>
  <si>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</si>
  <si>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</si>
  <si>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</si>
  <si>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</si>
  <si>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</si>
  <si>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</si>
  <si>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</si>
  <si>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</si>
  <si>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</si>
  <si>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</si>
  <si>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</si>
  <si>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</si>
  <si>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</si>
  <si>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</si>
  <si>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</si>
  <si>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</si>
  <si>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</si>
  <si>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</si>
  <si>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</si>
  <si>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</si>
  <si>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</si>
  <si>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</si>
  <si>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</si>
  <si>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</si>
  <si>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</si>
  <si>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</si>
  <si>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</si>
  <si>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</si>
  <si>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</si>
  <si>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</si>
  <si>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</si>
  <si>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</si>
  <si>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</si>
  <si>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</si>
  <si>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</si>
  <si>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</si>
  <si>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</si>
  <si>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</si>
  <si>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</si>
  <si>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</si>
  <si>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</si>
  <si>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</si>
  <si>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</si>
  <si>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</si>
  <si>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</si>
  <si>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</si>
  <si>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</si>
  <si>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</si>
  <si>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</si>
  <si>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</si>
  <si>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</si>
  <si>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</si>
  <si>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</si>
  <si>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</si>
  <si>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</si>
  <si>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</si>
  <si>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</si>
  <si>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</si>
  <si>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</si>
  <si>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</si>
  <si>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</si>
  <si>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</si>
  <si>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</si>
  <si>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</si>
  <si>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</si>
  <si>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</si>
  <si>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</si>
  <si>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</si>
  <si>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</si>
  <si>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</si>
  <si>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</si>
  <si>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</si>
  <si>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</si>
  <si>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</si>
  <si>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</si>
  <si>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</si>
  <si>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</si>
  <si>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</si>
  <si>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</si>
  <si>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</si>
  <si>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</si>
  <si>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</si>
  <si>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</si>
  <si>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</si>
  <si>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</si>
  <si>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</si>
  <si>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</si>
  <si>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</si>
  <si>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</si>
  <si>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</si>
  <si>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</si>
  <si>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</si>
  <si>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</si>
  <si>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</si>
  <si>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</si>
  <si>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</si>
  <si>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</si>
  <si>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</si>
  <si>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</si>
  <si>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</si>
  <si>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</si>
  <si>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</si>
  <si>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</si>
  <si>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</si>
  <si>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</si>
  <si>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</si>
  <si>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</si>
  <si>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</si>
  <si>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</si>
  <si>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</si>
  <si>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</si>
  <si>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</si>
  <si>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</si>
  <si>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</si>
  <si>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</si>
  <si>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</si>
  <si>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</si>
  <si>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</si>
  <si>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</si>
  <si>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</si>
  <si>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</si>
  <si>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</si>
  <si>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</si>
  <si>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</si>
  <si>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</si>
  <si>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</si>
  <si>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</si>
  <si>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</si>
  <si>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</si>
  <si>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</si>
  <si>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</si>
  <si>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</si>
  <si>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</si>
  <si>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</si>
  <si>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</si>
  <si>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</si>
  <si>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</si>
  <si>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</si>
  <si>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</si>
  <si>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</si>
  <si>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</si>
  <si>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</si>
  <si>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</si>
  <si>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</si>
  <si>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</si>
  <si>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</si>
  <si>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</si>
  <si>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</si>
  <si>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</si>
  <si>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</si>
  <si>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</si>
  <si>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</si>
  <si>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</si>
  <si>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</si>
  <si>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</si>
  <si>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</si>
  <si>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</si>
  <si>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</si>
  <si>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</si>
  <si>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</si>
  <si>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</si>
  <si>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</si>
  <si>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</si>
  <si>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</si>
  <si>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</si>
  <si>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</si>
  <si>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</si>
  <si>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</si>
  <si>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</si>
  <si>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</si>
  <si>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</si>
  <si>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</si>
  <si>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</si>
  <si>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</si>
  <si>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</si>
  <si>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</si>
  <si>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</si>
  <si>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</si>
  <si>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</si>
  <si>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</si>
  <si>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</si>
  <si>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</si>
  <si>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</si>
  <si>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</si>
  <si>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</si>
  <si>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</si>
  <si>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</si>
  <si>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</si>
  <si>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</si>
  <si>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</si>
  <si>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</si>
  <si>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</si>
  <si>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</si>
  <si>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</si>
  <si>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</si>
  <si>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</si>
  <si>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</si>
  <si>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</si>
  <si>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</si>
  <si>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</si>
  <si>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</si>
  <si>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</si>
  <si>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</si>
  <si>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</si>
  <si>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</si>
  <si>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</si>
  <si>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</si>
  <si>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</si>
  <si>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</si>
  <si>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</si>
  <si>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</si>
  <si>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</si>
  <si>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</si>
  <si>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</si>
  <si>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</si>
  <si>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</si>
  <si>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</si>
  <si>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</si>
  <si>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</si>
  <si>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</si>
  <si>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</si>
  <si>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</si>
  <si>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</si>
  <si>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</si>
  <si>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</si>
  <si>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</si>
  <si>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</si>
  <si>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</si>
  <si>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</si>
  <si>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</si>
  <si>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</si>
  <si>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</si>
  <si>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</si>
  <si>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</si>
  <si>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</si>
  <si>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</si>
  <si>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</si>
  <si>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</si>
  <si>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</si>
  <si>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</si>
  <si>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</si>
  <si>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</si>
  <si>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</si>
  <si>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</si>
  <si>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</si>
  <si>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</si>
  <si>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</si>
  <si>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</si>
  <si>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</si>
  <si>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</si>
  <si>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</si>
  <si>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</si>
  <si>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</si>
  <si>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</si>
  <si>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</si>
  <si>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</si>
  <si>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</si>
  <si>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</si>
  <si>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</si>
  <si>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</si>
  <si>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</si>
  <si>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</si>
  <si>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</si>
  <si>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</si>
  <si>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</si>
  <si>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</si>
  <si>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</si>
  <si>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</si>
  <si>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</si>
  <si>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</si>
  <si>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</si>
  <si>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</si>
  <si>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</si>
  <si>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</si>
  <si>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</si>
  <si>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</si>
  <si>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</si>
  <si>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</si>
  <si>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</si>
  <si>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</si>
  <si>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</si>
  <si>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</si>
  <si>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</si>
  <si>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</si>
  <si>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</si>
  <si>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</si>
  <si>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</si>
  <si>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</si>
  <si>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</si>
  <si>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</si>
  <si>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</si>
  <si>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</si>
  <si>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</si>
  <si>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</si>
  <si>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</si>
  <si>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</si>
  <si>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</si>
  <si>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</si>
  <si>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</si>
  <si>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</si>
  <si>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</si>
  <si>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</si>
  <si>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</si>
  <si>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</si>
  <si>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</si>
  <si>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</si>
  <si>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</si>
  <si>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</si>
  <si>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</si>
  <si>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</si>
  <si>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</si>
  <si>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</si>
  <si>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</si>
  <si>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</si>
  <si>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</si>
  <si>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</si>
  <si>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</si>
  <si>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</si>
  <si>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</si>
  <si>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</si>
  <si>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</si>
  <si>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</si>
  <si>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</si>
  <si>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</si>
  <si>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</si>
  <si>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</si>
  <si>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</si>
  <si>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</si>
  <si>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</si>
  <si>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</si>
  <si>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</si>
  <si>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</si>
  <si>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</si>
  <si>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</si>
  <si>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</si>
  <si>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</si>
  <si>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</si>
  <si>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</si>
  <si>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</si>
  <si>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</si>
  <si>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</si>
  <si>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</si>
  <si>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</si>
  <si>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</si>
  <si>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</si>
  <si>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</si>
  <si>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</si>
  <si>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</si>
  <si>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</si>
  <si>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</si>
  <si>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</si>
  <si>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</si>
  <si>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</si>
  <si>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</si>
  <si>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</si>
  <si>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</si>
  <si>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</si>
  <si>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</si>
  <si>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</si>
  <si>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</si>
  <si>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</si>
  <si>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</si>
  <si>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</si>
  <si>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</si>
  <si>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</si>
  <si>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</si>
  <si>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</si>
  <si>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</si>
  <si>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</si>
  <si>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</si>
  <si>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</si>
  <si>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</si>
  <si>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</si>
  <si>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</si>
  <si>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</si>
  <si>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</si>
  <si>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</si>
  <si>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</si>
  <si>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</si>
  <si>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</si>
  <si>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</si>
  <si>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</si>
  <si>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</si>
  <si>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</si>
  <si>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</si>
  <si>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</si>
  <si>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</si>
  <si>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</si>
  <si>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</si>
  <si>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</si>
  <si>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</si>
  <si>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</si>
  <si>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</si>
  <si>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</si>
  <si>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</si>
  <si>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</si>
  <si>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</si>
  <si>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</si>
  <si>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</si>
  <si>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</si>
  <si>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</si>
  <si>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</si>
  <si>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</si>
  <si>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</si>
  <si>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</si>
  <si>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</si>
  <si>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</si>
  <si>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</si>
  <si>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</si>
  <si>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</si>
  <si>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</si>
  <si>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</si>
  <si>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</si>
  <si>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</si>
  <si>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</si>
  <si>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</si>
  <si>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</si>
  <si>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</si>
  <si>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</si>
  <si>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</si>
  <si>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</si>
  <si>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</si>
  <si>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</si>
  <si>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</si>
  <si>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</si>
  <si>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</si>
  <si>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</si>
  <si>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</si>
  <si>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</si>
  <si>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</si>
  <si>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</si>
  <si>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</si>
  <si>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</si>
  <si>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</si>
  <si>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</si>
  <si>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</si>
  <si>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</si>
  <si>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</si>
  <si>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</si>
  <si>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</si>
  <si>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</si>
  <si>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</si>
  <si>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</si>
  <si>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</si>
  <si>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</si>
  <si>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</si>
  <si>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</si>
  <si>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</si>
  <si>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</si>
  <si>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</si>
  <si>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</si>
  <si>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</si>
  <si>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</si>
  <si>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</si>
  <si>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</si>
  <si>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</si>
  <si>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</si>
  <si>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</si>
  <si>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</si>
  <si>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</si>
  <si>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</si>
  <si>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</si>
  <si>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</si>
  <si>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</si>
  <si>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</si>
  <si>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</si>
  <si>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</si>
  <si>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</si>
  <si>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</si>
  <si>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</si>
  <si>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</si>
  <si>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</si>
  <si>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</si>
  <si>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</si>
  <si>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</si>
  <si>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</si>
  <si>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</si>
  <si>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</si>
  <si>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</si>
  <si>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</si>
  <si>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</si>
  <si>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</si>
  <si>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</si>
  <si>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</si>
  <si>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</si>
  <si>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</si>
  <si>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</si>
  <si>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</si>
  <si>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</si>
  <si>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</si>
  <si>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</si>
  <si>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</si>
  <si>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</si>
  <si>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</si>
  <si>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</si>
  <si>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</si>
  <si>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</si>
  <si>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</si>
  <si>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</si>
  <si>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</si>
  <si>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</si>
  <si>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</si>
  <si>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</si>
  <si>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</si>
  <si>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</si>
  <si>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</si>
  <si>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</si>
  <si>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</si>
  <si>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</si>
  <si>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</si>
  <si>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</si>
  <si>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</si>
  <si>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</si>
  <si>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</si>
  <si>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</si>
  <si>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</si>
  <si>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</si>
  <si>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</si>
  <si>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</si>
  <si>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</si>
  <si>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</si>
  <si>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</si>
  <si>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</si>
  <si>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</si>
  <si>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</si>
  <si>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</si>
  <si>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</si>
  <si>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</si>
  <si>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</si>
  <si>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</si>
  <si>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</si>
  <si>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</si>
  <si>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</si>
  <si>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</si>
  <si>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</si>
  <si>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</si>
  <si>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</si>
  <si>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</si>
  <si>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</si>
  <si>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</si>
  <si>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</si>
  <si>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</si>
  <si>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</si>
  <si>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</si>
  <si>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</si>
  <si>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</si>
  <si>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</si>
  <si>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</si>
  <si>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</si>
  <si>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</si>
  <si>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</si>
  <si>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</si>
  <si>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</si>
  <si>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</si>
  <si>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</si>
  <si>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</si>
  <si>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</si>
  <si>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</si>
  <si>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</si>
  <si>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</si>
  <si>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</si>
  <si>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</si>
  <si>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</si>
  <si>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</si>
  <si>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</si>
  <si>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</si>
  <si>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</si>
  <si>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</si>
  <si>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</si>
  <si>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</si>
  <si>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</si>
  <si>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</si>
  <si>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</si>
  <si>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</si>
  <si>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</si>
  <si>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</si>
  <si>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</si>
  <si>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</si>
  <si>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</si>
  <si>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</si>
  <si>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</si>
  <si>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</si>
  <si>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</si>
  <si>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</si>
  <si>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</si>
  <si>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</si>
  <si>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</si>
  <si>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</si>
  <si>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</si>
  <si>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</si>
  <si>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</si>
  <si>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</si>
  <si>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</si>
  <si>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</si>
  <si>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</si>
  <si>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</si>
  <si>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</si>
  <si>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</si>
  <si>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</si>
  <si>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</si>
  <si>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</si>
  <si>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</si>
  <si>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</si>
  <si>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</si>
  <si>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</si>
  <si>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</si>
  <si>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</si>
  <si>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</si>
  <si>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</si>
  <si>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</si>
  <si>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</si>
  <si>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</si>
  <si>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</si>
  <si>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</si>
  <si>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</si>
  <si>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</si>
  <si>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</si>
  <si>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</si>
  <si>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</si>
  <si>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</si>
  <si>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</si>
  <si>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</si>
  <si>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</si>
  <si>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</si>
  <si>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</si>
  <si>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</si>
  <si>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</si>
  <si>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</si>
  <si>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</si>
  <si>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</si>
  <si>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</si>
  <si>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</si>
  <si>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</si>
  <si>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</si>
  <si>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</si>
  <si>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</si>
  <si>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</si>
  <si>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</si>
  <si>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</si>
  <si>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</si>
  <si>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</si>
  <si>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</si>
  <si>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</si>
  <si>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</si>
  <si>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</si>
  <si>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</si>
  <si>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</si>
  <si>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</si>
  <si>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</si>
  <si>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</si>
  <si>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</si>
  <si>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</si>
  <si>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</si>
  <si>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</si>
  <si>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</si>
  <si>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</si>
  <si>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</si>
  <si>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</si>
  <si>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</si>
  <si>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</si>
  <si>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</si>
  <si>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</si>
  <si>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</si>
  <si>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</si>
  <si>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</si>
  <si>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</si>
  <si>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</si>
  <si>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</si>
  <si>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</si>
  <si>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</si>
  <si>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</si>
  <si>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</si>
  <si>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</si>
  <si>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</si>
  <si>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</si>
  <si>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</si>
  <si>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</si>
  <si>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</si>
  <si>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</si>
  <si>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</si>
  <si>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</si>
  <si>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</si>
  <si>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</si>
  <si>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</si>
  <si>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</si>
  <si>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</si>
  <si>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</si>
  <si>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</si>
  <si>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</si>
  <si>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</si>
  <si>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</si>
  <si>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</si>
  <si>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</si>
  <si>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</si>
  <si>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</si>
  <si>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</si>
  <si>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</si>
  <si>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</si>
  <si>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</si>
  <si>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</si>
  <si>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</si>
  <si>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</si>
  <si>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</si>
  <si>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</si>
  <si>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</si>
  <si>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</si>
  <si>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</si>
  <si>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</si>
  <si>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</si>
  <si>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</si>
  <si>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</si>
  <si>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</si>
  <si>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</si>
  <si>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</si>
  <si>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</si>
  <si>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</si>
  <si>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</si>
  <si>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</si>
  <si>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</si>
  <si>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</si>
  <si>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</si>
  <si>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</si>
  <si>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</si>
  <si>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</si>
  <si>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</si>
  <si>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</si>
  <si>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</si>
  <si>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</si>
  <si>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</si>
  <si>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</si>
  <si>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</si>
  <si>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</si>
  <si>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</si>
  <si>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</si>
  <si>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</si>
  <si>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</si>
  <si>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</si>
  <si>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</si>
  <si>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</si>
  <si>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</si>
  <si>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</si>
  <si>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</si>
  <si>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</si>
  <si>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</si>
  <si>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</si>
  <si>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</si>
  <si>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</si>
  <si>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</si>
  <si>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</si>
  <si>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</si>
  <si>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</si>
  <si>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</si>
  <si>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</si>
  <si>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</si>
  <si>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</si>
  <si>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</si>
  <si>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</si>
  <si>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</si>
  <si>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</si>
  <si>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</si>
  <si>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</si>
  <si>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</si>
  <si>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</si>
  <si>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</si>
  <si>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</si>
  <si>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</si>
  <si>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</si>
  <si>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</si>
  <si>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</si>
  <si>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</si>
  <si>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</si>
  <si>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</si>
  <si>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</si>
  <si>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</si>
  <si>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</si>
  <si>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</si>
  <si>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</si>
  <si>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</si>
  <si>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</si>
  <si>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</si>
  <si>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</si>
  <si>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</si>
  <si>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</si>
  <si>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</si>
  <si>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</si>
  <si>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</si>
  <si>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</si>
  <si>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</si>
  <si>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</si>
  <si>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</si>
  <si>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</si>
  <si>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</si>
  <si>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</si>
  <si>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</si>
  <si>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</si>
  <si>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</si>
  <si>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</si>
  <si>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</si>
  <si>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</si>
  <si>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</si>
  <si>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</si>
  <si>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</si>
  <si>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</si>
  <si>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</si>
  <si>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</si>
  <si>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</si>
  <si>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</si>
  <si>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</si>
  <si>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</si>
  <si>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</si>
  <si>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</si>
  <si>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</si>
  <si>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</si>
  <si>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</si>
  <si>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</si>
  <si>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</si>
  <si>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</si>
  <si>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</si>
  <si>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</si>
  <si>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</si>
  <si>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</si>
  <si>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</si>
  <si>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</si>
  <si>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</si>
  <si>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</si>
  <si>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</si>
  <si>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</si>
  <si>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</si>
  <si>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</si>
  <si>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</si>
  <si>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</si>
  <si>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</si>
  <si>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</si>
  <si>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</si>
  <si>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</si>
  <si>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</si>
  <si>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</si>
  <si>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</si>
  <si>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</si>
  <si>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</si>
  <si>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</si>
  <si>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</si>
  <si>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</si>
  <si>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</si>
  <si>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</si>
  <si>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</si>
  <si>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</si>
  <si>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</si>
  <si>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</si>
  <si>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</si>
  <si>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</si>
  <si>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</si>
  <si>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</si>
  <si>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</si>
  <si>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</si>
  <si>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</si>
  <si>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</si>
  <si>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</si>
  <si>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</si>
  <si>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</si>
  <si>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</si>
  <si>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</si>
  <si>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</si>
  <si>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</si>
  <si>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</si>
  <si>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</si>
  <si>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</si>
  <si>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</si>
  <si>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</si>
  <si>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</si>
  <si>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</si>
  <si>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</si>
  <si>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</si>
  <si>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</si>
  <si>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</si>
  <si>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</si>
  <si>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</si>
  <si>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</si>
  <si>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</si>
  <si>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</si>
  <si>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</si>
  <si>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</si>
  <si>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</si>
  <si>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</si>
  <si>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</si>
  <si>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</si>
  <si>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</si>
  <si>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</si>
  <si>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</si>
  <si>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</si>
  <si>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</si>
  <si>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</si>
  <si>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</si>
  <si>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</si>
  <si>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</si>
  <si>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</si>
  <si>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</si>
  <si>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</si>
  <si>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</si>
  <si>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</si>
  <si>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</si>
  <si>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</si>
  <si>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</si>
  <si>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</si>
  <si>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</si>
  <si>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</si>
  <si>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</si>
  <si>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</si>
  <si>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</si>
  <si>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</si>
  <si>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</si>
  <si>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</si>
  <si>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</si>
  <si>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</si>
  <si>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</si>
  <si>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</si>
  <si>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</si>
  <si>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</si>
  <si>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</si>
  <si>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</si>
  <si>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</si>
  <si>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</si>
  <si>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</si>
  <si>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</si>
  <si>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</si>
  <si>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</si>
  <si>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</si>
  <si>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</si>
  <si>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</si>
  <si>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</si>
  <si>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</si>
  <si>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</si>
  <si>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</si>
  <si>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</si>
  <si>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</si>
  <si>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</si>
  <si>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</si>
  <si>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</si>
  <si>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</si>
  <si>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</si>
  <si>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</si>
  <si>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</si>
  <si>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</si>
  <si>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</si>
  <si>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</si>
  <si>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</si>
  <si>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</si>
  <si>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</si>
  <si>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</si>
  <si>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</si>
  <si>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</si>
  <si>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</si>
  <si>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</si>
  <si>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</si>
  <si>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</si>
  <si>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</si>
  <si>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</si>
  <si>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</si>
  <si>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</si>
  <si>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</si>
  <si>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</si>
  <si>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</si>
  <si>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</si>
  <si>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</si>
  <si>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</si>
  <si>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</si>
  <si>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</si>
  <si>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</si>
  <si>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</si>
  <si>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</si>
  <si>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</si>
  <si>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</si>
  <si>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</si>
  <si>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</si>
  <si>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</si>
  <si>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</si>
  <si>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</si>
  <si>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</si>
  <si>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</si>
  <si>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</si>
  <si>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</si>
  <si>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</si>
  <si>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</si>
  <si>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</si>
  <si>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</si>
  <si>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</si>
  <si>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</si>
  <si>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</si>
  <si>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</si>
  <si>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</si>
  <si>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</si>
  <si>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</si>
  <si>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</si>
  <si>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</si>
  <si>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</si>
  <si>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</si>
  <si>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</si>
  <si>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</si>
  <si>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</si>
  <si>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</si>
  <si>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</si>
  <si>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</si>
  <si>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</si>
  <si>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</si>
  <si>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</si>
  <si>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</si>
  <si>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</si>
  <si>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</si>
  <si>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</si>
  <si>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</si>
  <si>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</si>
  <si>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</si>
  <si>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</si>
  <si>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</si>
  <si>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</si>
  <si>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</si>
  <si>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</si>
  <si>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</si>
  <si>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</si>
  <si>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</si>
  <si>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</si>
  <si>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</si>
  <si>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</si>
  <si>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</si>
  <si>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</si>
  <si>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</si>
  <si>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</si>
  <si>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</si>
  <si>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</si>
  <si>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</si>
  <si>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</si>
  <si>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</si>
  <si>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</si>
  <si>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</si>
  <si>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</si>
  <si>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</si>
  <si>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</si>
  <si>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</si>
  <si>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</si>
  <si>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</si>
  <si>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</si>
  <si>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</si>
  <si>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</si>
  <si>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</si>
  <si>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</si>
  <si>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</si>
  <si>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</si>
  <si>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</si>
  <si>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</si>
  <si>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</si>
  <si>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</si>
  <si>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</si>
  <si>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</si>
  <si>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</si>
  <si>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</si>
  <si>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</si>
  <si>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</si>
  <si>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</si>
  <si>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</si>
  <si>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</si>
  <si>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</si>
  <si>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</si>
  <si>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</si>
  <si>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</si>
  <si>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</si>
  <si>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</si>
  <si>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</si>
  <si>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</si>
  <si>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</si>
  <si>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</si>
  <si>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</si>
  <si>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</si>
  <si>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</si>
  <si>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</si>
  <si>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</si>
  <si>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</si>
  <si>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</si>
  <si>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</si>
  <si>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</si>
  <si>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</si>
  <si>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</si>
  <si>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</si>
  <si>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</si>
  <si>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</si>
  <si>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</si>
  <si>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</si>
  <si>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</si>
  <si>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</si>
  <si>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</si>
  <si>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</si>
  <si>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</si>
  <si>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</si>
  <si>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</si>
  <si>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</si>
  <si>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</si>
  <si>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</si>
  <si>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</si>
  <si>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</si>
  <si>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</si>
  <si>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</si>
  <si>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</si>
  <si>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</si>
  <si>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</si>
  <si>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</si>
  <si>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</si>
  <si>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</si>
  <si>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</si>
  <si>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</si>
  <si>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</si>
  <si>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</si>
  <si>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</si>
  <si>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</si>
  <si>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</si>
  <si>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</si>
  <si>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</si>
  <si>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</si>
  <si>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</si>
  <si>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</si>
  <si>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</si>
  <si>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</si>
  <si>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</si>
  <si>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</si>
  <si>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</si>
  <si>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</si>
  <si>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</si>
  <si>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</si>
  <si>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</si>
  <si>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</si>
  <si>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</si>
  <si>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</si>
  <si>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</si>
  <si>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</si>
  <si>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</si>
  <si>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</si>
  <si>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</si>
  <si>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</si>
  <si>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</si>
  <si>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</si>
  <si>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</si>
  <si>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</si>
  <si>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</si>
  <si>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</si>
  <si>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</si>
  <si>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</si>
  <si>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</si>
  <si>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</si>
  <si>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</si>
  <si>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</si>
  <si>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</si>
  <si>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</si>
  <si>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</si>
  <si>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</si>
  <si>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</si>
  <si>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</si>
  <si>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</si>
  <si>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</si>
  <si>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</si>
  <si>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</si>
  <si>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</si>
  <si>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</si>
  <si>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</si>
  <si>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</si>
  <si>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</si>
  <si>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</si>
  <si>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</si>
  <si>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</si>
  <si>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</si>
  <si>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</si>
  <si>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</si>
  <si>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</si>
  <si>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</si>
  <si>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</si>
  <si>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</si>
  <si>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</si>
  <si>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</si>
  <si>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</si>
  <si>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</si>
  <si>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</si>
  <si>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</si>
  <si>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</si>
  <si>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</si>
  <si>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</si>
  <si>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</si>
  <si>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</si>
  <si>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</si>
  <si>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</si>
  <si>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</si>
  <si>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</si>
  <si>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</si>
  <si>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</si>
  <si>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</si>
  <si>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</si>
  <si>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</si>
  <si>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</si>
  <si>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</si>
  <si>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</si>
  <si>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</si>
  <si>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</si>
  <si>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</si>
  <si>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</si>
  <si>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</si>
  <si>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</si>
  <si>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</si>
  <si>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</si>
  <si>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</si>
  <si>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</si>
  <si>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</si>
  <si>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</si>
  <si>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</si>
  <si>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</si>
  <si>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</si>
  <si>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</si>
  <si>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</si>
  <si>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</si>
  <si>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</si>
  <si>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</si>
  <si>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</si>
  <si>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</si>
  <si>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</si>
  <si>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</si>
  <si>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</si>
  <si>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</si>
  <si>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</si>
  <si>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</si>
  <si>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</si>
  <si>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</si>
  <si>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</si>
  <si>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</si>
  <si>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</si>
  <si>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</si>
  <si>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</si>
  <si>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</si>
  <si>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</si>
  <si>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</si>
  <si>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</si>
  <si>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</si>
  <si>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</si>
  <si>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</si>
  <si>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</si>
  <si>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</si>
  <si>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</si>
  <si>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</si>
  <si>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</si>
  <si>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</si>
  <si>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</si>
  <si>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</si>
  <si>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</si>
  <si>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</si>
  <si>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</si>
  <si>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</si>
  <si>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</si>
  <si>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</si>
  <si>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</si>
  <si>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</si>
  <si>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</si>
  <si>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</si>
  <si>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</si>
  <si>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</si>
  <si>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</si>
  <si>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</si>
  <si>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</si>
  <si>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</si>
  <si>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</si>
  <si>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</si>
  <si>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</si>
  <si>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</si>
  <si>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</si>
  <si>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</si>
  <si>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</si>
  <si>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</si>
  <si>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</si>
  <si>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</si>
  <si>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</si>
  <si>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</si>
  <si>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</si>
  <si>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</si>
  <si>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</si>
  <si>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</si>
  <si>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</si>
  <si>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</si>
  <si>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</si>
  <si>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</si>
  <si>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</si>
  <si>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</si>
  <si>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</si>
  <si>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</si>
  <si>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</si>
  <si>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</si>
  <si>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</si>
  <si>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</si>
  <si>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</si>
  <si>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</si>
  <si>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</si>
  <si>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</si>
  <si>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</si>
  <si>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</si>
  <si>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</si>
  <si>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</si>
  <si>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</si>
  <si>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</si>
  <si>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</si>
  <si>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</si>
  <si>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</si>
  <si>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</si>
  <si>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</si>
  <si>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</si>
  <si>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</si>
  <si>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</si>
  <si>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</si>
  <si>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</si>
  <si>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</si>
  <si>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</si>
  <si>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</si>
  <si>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</si>
  <si>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</si>
  <si>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</si>
  <si>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</si>
  <si>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</si>
  <si>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</si>
  <si>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</si>
  <si>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</si>
  <si>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</si>
  <si>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</si>
  <si>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</si>
  <si>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</si>
  <si>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</si>
  <si>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</si>
  <si>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</si>
  <si>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</si>
  <si>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</si>
  <si>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</si>
  <si>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</si>
  <si>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</si>
  <si>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</si>
  <si>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</si>
  <si>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</si>
  <si>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</si>
  <si>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</si>
  <si>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</si>
  <si>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</si>
  <si>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</si>
  <si>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</si>
  <si>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</si>
  <si>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</si>
  <si>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</si>
  <si>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</si>
  <si>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</si>
  <si>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</si>
  <si>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</si>
  <si>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</si>
  <si>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</si>
  <si>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</si>
  <si>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</si>
  <si>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</si>
  <si>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</si>
  <si>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</si>
  <si>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</si>
  <si>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</si>
  <si>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</si>
  <si>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</si>
  <si>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</si>
  <si>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</si>
  <si>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</si>
  <si>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</si>
  <si>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</si>
  <si>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</si>
  <si>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</si>
  <si>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</si>
  <si>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</si>
  <si>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</si>
  <si>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</si>
  <si>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</si>
  <si>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</si>
  <si>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</si>
  <si>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</si>
  <si>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</si>
  <si>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</si>
  <si>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</si>
  <si>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</si>
  <si>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</si>
  <si>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</si>
  <si>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</si>
  <si>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</si>
  <si>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</si>
  <si>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</si>
  <si>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</si>
  <si>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</si>
  <si>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</si>
  <si>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</si>
  <si>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</si>
  <si>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</si>
  <si>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</si>
  <si>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</si>
  <si>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</si>
  <si>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</si>
  <si>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</si>
  <si>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</si>
  <si>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</si>
  <si>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</si>
  <si>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</si>
  <si>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</si>
  <si>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</si>
  <si>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</si>
  <si>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</si>
  <si>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</si>
  <si>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</si>
  <si>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</si>
  <si>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</si>
  <si>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</si>
  <si>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</si>
  <si>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</si>
  <si>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</si>
  <si>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</si>
  <si>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</si>
  <si>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</si>
  <si>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</si>
  <si>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</si>
  <si>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</si>
  <si>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</si>
  <si>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</si>
  <si>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</si>
  <si>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</si>
  <si>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</si>
  <si>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</si>
  <si>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</si>
  <si>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</si>
  <si>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</si>
  <si>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</si>
  <si>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</si>
  <si>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</si>
  <si>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</si>
  <si>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</si>
  <si>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</si>
  <si>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</si>
  <si>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</si>
  <si>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</si>
  <si>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</si>
  <si>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</si>
  <si>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</si>
  <si>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</si>
  <si>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</si>
  <si>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</si>
  <si>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</si>
  <si>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</si>
  <si>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</si>
  <si>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</si>
  <si>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</si>
  <si>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</si>
  <si>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</si>
  <si>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</si>
  <si>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</si>
  <si>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</si>
  <si>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</si>
  <si>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</si>
  <si>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</si>
  <si>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</si>
  <si>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</si>
  <si>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</si>
  <si>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</si>
  <si>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</si>
  <si>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</si>
  <si>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</si>
  <si>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</si>
  <si>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</si>
  <si>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</si>
  <si>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</si>
  <si>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</si>
  <si>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</si>
  <si>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</si>
  <si>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</si>
  <si>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</si>
  <si>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</si>
  <si>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</si>
  <si>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</si>
  <si>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</si>
  <si>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</si>
  <si>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</si>
  <si>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</si>
  <si>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</si>
  <si>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</si>
  <si>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</si>
  <si>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</si>
  <si>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</si>
  <si>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</si>
  <si>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</si>
  <si>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</si>
  <si>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</si>
  <si>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</si>
  <si>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</si>
  <si>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</si>
  <si>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</si>
  <si>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</si>
  <si>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</si>
  <si>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</si>
  <si>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</si>
  <si>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</si>
  <si>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</si>
  <si>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</si>
  <si>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</si>
  <si>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</si>
  <si>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</si>
  <si>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</si>
  <si>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</si>
  <si>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</si>
  <si>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</si>
  <si>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</si>
  <si>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</si>
  <si>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</si>
  <si>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</si>
  <si>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</si>
  <si>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</si>
  <si>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</si>
  <si>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</si>
  <si>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</si>
  <si>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</si>
  <si>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</si>
  <si>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</si>
  <si>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</si>
  <si>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</si>
  <si>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</si>
  <si>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</si>
  <si>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</si>
  <si>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</si>
  <si>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</si>
  <si>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</si>
  <si>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</si>
  <si>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</si>
  <si>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</si>
  <si>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</si>
  <si>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</si>
  <si>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</si>
  <si>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</si>
  <si>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</si>
  <si>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</si>
  <si>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</si>
  <si>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</si>
  <si>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</si>
  <si>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</si>
  <si>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</si>
  <si>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</si>
  <si>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</si>
  <si>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</si>
  <si>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</si>
  <si>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</si>
  <si>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</si>
  <si>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</si>
  <si>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</si>
  <si>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</si>
  <si>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</si>
  <si>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</si>
  <si>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</si>
  <si>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</si>
  <si>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</si>
  <si>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</si>
  <si>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</si>
  <si>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</si>
  <si>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</si>
  <si>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</si>
  <si>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</si>
  <si>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</si>
  <si>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</si>
  <si>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</si>
  <si>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</si>
  <si>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</si>
  <si>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</si>
  <si>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</si>
  <si>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</si>
  <si>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</si>
  <si>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</si>
  <si>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</si>
  <si>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</si>
  <si>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</si>
  <si>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</si>
  <si>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</si>
  <si>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</si>
  <si>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</si>
  <si>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</si>
  <si>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</si>
  <si>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</si>
  <si>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</si>
  <si>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</si>
  <si>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</si>
  <si>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</si>
  <si>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</si>
  <si>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</si>
  <si>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</si>
  <si>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</si>
  <si>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</si>
  <si>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</si>
  <si>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</si>
  <si>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</si>
  <si>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</si>
  <si>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</si>
  <si>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</si>
  <si>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</si>
  <si>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</si>
  <si>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</si>
  <si>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</si>
  <si>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</si>
  <si>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</si>
  <si>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</si>
  <si>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</si>
  <si>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</si>
  <si>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</si>
  <si>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</si>
  <si>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</si>
  <si>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</si>
  <si>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</si>
  <si>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</si>
  <si>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</si>
  <si>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</si>
  <si>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</si>
  <si>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</si>
  <si>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</si>
  <si>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</si>
  <si>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</si>
  <si>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</si>
  <si>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</si>
  <si>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</si>
  <si>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</si>
  <si>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</si>
  <si>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</si>
  <si>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</si>
  <si>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</si>
  <si>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</si>
  <si>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</si>
  <si>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</si>
  <si>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</si>
  <si>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</si>
  <si>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</si>
  <si>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</si>
  <si>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</si>
  <si>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</si>
  <si>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</si>
  <si>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</si>
  <si>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</si>
  <si>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</si>
  <si>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</si>
  <si>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</si>
  <si>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</si>
  <si>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</si>
  <si>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</si>
  <si>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</si>
  <si>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</si>
  <si>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</si>
  <si>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</si>
  <si>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</si>
  <si>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</si>
  <si>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</si>
  <si>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</si>
  <si>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</si>
  <si>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</si>
  <si>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</si>
  <si>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</si>
  <si>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</si>
  <si>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</si>
  <si>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</si>
  <si>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</si>
  <si>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</si>
  <si>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</si>
  <si>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</si>
  <si>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</si>
  <si>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</si>
  <si>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</si>
  <si>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</si>
  <si>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</si>
  <si>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</si>
  <si>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</si>
  <si>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</si>
  <si>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</si>
  <si>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</si>
  <si>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</si>
  <si>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</si>
  <si>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</si>
  <si>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</si>
  <si>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</si>
  <si>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</si>
  <si>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</si>
  <si>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</si>
  <si>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</si>
  <si>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</si>
  <si>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</si>
  <si>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</si>
  <si>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</si>
  <si>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</si>
  <si>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</si>
  <si>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</si>
  <si>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</si>
  <si>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</si>
  <si>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</si>
  <si>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</si>
  <si>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</si>
  <si>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</si>
  <si>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</si>
  <si>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</si>
  <si>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</si>
  <si>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</si>
  <si>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</si>
  <si>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</si>
  <si>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</si>
  <si>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</si>
  <si>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</si>
  <si>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</si>
  <si>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</si>
  <si>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</si>
  <si>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</si>
  <si>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</si>
  <si>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</si>
  <si>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</si>
  <si>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</si>
  <si>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</si>
  <si>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</si>
  <si>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</si>
  <si>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</si>
  <si>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</si>
  <si>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</si>
  <si>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</si>
  <si>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</si>
  <si>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</si>
  <si>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</si>
  <si>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</si>
  <si>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</si>
  <si>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</si>
  <si>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</si>
  <si>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</si>
  <si>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</si>
  <si>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</si>
  <si>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</si>
  <si>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</si>
  <si>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</si>
  <si>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</si>
  <si>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</si>
  <si>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</si>
  <si>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</si>
  <si>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</si>
  <si>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</si>
  <si>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</si>
  <si>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</si>
  <si>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</si>
  <si>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</si>
  <si>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</si>
  <si>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</si>
  <si>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</si>
  <si>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</si>
  <si>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</si>
  <si>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</si>
  <si>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</si>
  <si>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</si>
  <si>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</si>
  <si>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</si>
  <si>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</si>
  <si>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</si>
  <si>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</si>
  <si>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</si>
  <si>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</si>
  <si>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</si>
  <si>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</si>
  <si>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</si>
  <si>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</si>
  <si>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</si>
  <si>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</si>
  <si>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</si>
  <si>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</si>
  <si>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</si>
  <si>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</si>
  <si>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</si>
  <si>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</si>
  <si>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</si>
  <si>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</si>
  <si>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</si>
  <si>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</si>
  <si>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</si>
  <si>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</si>
  <si>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</si>
  <si>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</si>
  <si>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</si>
  <si>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</si>
  <si>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</si>
  <si>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</si>
  <si>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</si>
  <si>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</si>
  <si>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</si>
  <si>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</si>
  <si>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</si>
  <si>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</si>
  <si>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</si>
  <si>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</si>
  <si>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</si>
  <si>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</si>
  <si>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</si>
  <si>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</si>
  <si>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</si>
  <si>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</si>
  <si>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</si>
  <si>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</si>
  <si>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</si>
  <si>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</si>
  <si>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</si>
  <si>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</si>
  <si>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</si>
  <si>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</si>
  <si>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</si>
  <si>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</si>
  <si>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</si>
  <si>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</si>
  <si>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</si>
  <si>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</si>
  <si>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</si>
  <si>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</si>
  <si>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</si>
  <si>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</si>
  <si>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</si>
  <si>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</si>
  <si>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</si>
  <si>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</si>
  <si>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</si>
  <si>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</si>
  <si>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</si>
  <si>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</si>
  <si>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</si>
  <si>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</si>
  <si>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</si>
  <si>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</si>
  <si>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</si>
  <si>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</si>
  <si>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</si>
  <si>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</si>
  <si>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</si>
  <si>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</si>
  <si>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</si>
  <si>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</si>
  <si>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</si>
  <si>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</si>
  <si>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</si>
  <si>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</si>
  <si>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</si>
  <si>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</si>
  <si>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</si>
  <si>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</si>
  <si>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</si>
  <si>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</si>
  <si>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</si>
  <si>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</si>
  <si>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</si>
  <si>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</si>
  <si>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</si>
  <si>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</si>
  <si>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</si>
  <si>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</si>
  <si>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</si>
  <si>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</si>
  <si>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</si>
  <si>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</si>
  <si>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</si>
  <si>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</si>
  <si>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</si>
  <si>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</si>
  <si>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</si>
  <si>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</si>
  <si>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</si>
  <si>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</si>
  <si>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</si>
  <si>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</si>
  <si>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</si>
  <si>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</si>
  <si>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</si>
  <si>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</si>
  <si>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</si>
  <si>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</si>
  <si>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</si>
  <si>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</si>
  <si>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</si>
  <si>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</si>
  <si>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</si>
  <si>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</si>
  <si>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</si>
  <si>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</si>
  <si>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</si>
  <si>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</si>
  <si>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</si>
  <si>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</si>
  <si>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</si>
  <si>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</si>
  <si>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</si>
  <si>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</si>
  <si>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</si>
  <si>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</si>
  <si>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</si>
  <si>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</si>
  <si>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</si>
  <si>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</si>
  <si>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</si>
  <si>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</si>
  <si>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</si>
  <si>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</si>
  <si>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</si>
  <si>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</si>
  <si>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</si>
  <si>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</si>
  <si>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</si>
  <si>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</si>
  <si>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</si>
  <si>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</si>
  <si>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</si>
  <si>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</si>
  <si>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</si>
  <si>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</si>
  <si>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</si>
  <si>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</si>
  <si>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</si>
  <si>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</si>
  <si>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</si>
  <si>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</si>
  <si>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</si>
  <si>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</si>
  <si>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</si>
  <si>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</si>
  <si>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</si>
  <si>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</si>
  <si>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</si>
  <si>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</si>
  <si>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</si>
  <si>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</si>
  <si>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</si>
  <si>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</si>
  <si>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</si>
  <si>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</si>
  <si>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</si>
  <si>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</si>
  <si>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</si>
  <si>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</si>
  <si>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</si>
  <si>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</si>
  <si>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</si>
  <si>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</si>
  <si>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</si>
  <si>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</si>
  <si>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</si>
  <si>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</si>
  <si>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</si>
  <si>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</si>
  <si>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</si>
  <si>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</si>
  <si>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</si>
  <si>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</si>
  <si>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</si>
  <si>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</si>
  <si>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</si>
  <si>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</si>
  <si>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</si>
  <si>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</si>
  <si>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</si>
  <si>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</si>
  <si>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</si>
  <si>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</si>
  <si>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</si>
  <si>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</si>
  <si>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</si>
  <si>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</si>
  <si>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</si>
  <si>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</si>
  <si>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</si>
  <si>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</si>
  <si>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</si>
  <si>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</si>
  <si>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</si>
  <si>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</si>
  <si>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</si>
  <si>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</si>
  <si>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</si>
  <si>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</si>
  <si>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</si>
  <si>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</si>
  <si>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</si>
  <si>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</si>
  <si>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</si>
  <si>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</si>
  <si>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</si>
  <si>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</si>
  <si>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</si>
  <si>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</si>
  <si>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</si>
  <si>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</si>
  <si>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</si>
  <si>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</si>
  <si>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</si>
  <si>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</si>
  <si>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</si>
  <si>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</si>
  <si>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</si>
  <si>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</si>
  <si>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</si>
  <si>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</si>
  <si>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</si>
  <si>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</si>
  <si>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</si>
  <si>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</si>
  <si>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</si>
  <si>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</si>
  <si>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</si>
  <si>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</si>
  <si>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</si>
  <si>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</si>
  <si>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</si>
  <si>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</si>
  <si>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</si>
  <si>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</si>
  <si>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</si>
  <si>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</si>
  <si>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</si>
  <si>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</si>
  <si>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</si>
  <si>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</si>
  <si>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</si>
  <si>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</si>
  <si>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</si>
  <si>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</si>
  <si>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</si>
  <si>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</si>
  <si>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</si>
  <si>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</si>
  <si>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</si>
  <si>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</si>
  <si>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</si>
  <si>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</si>
  <si>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</si>
  <si>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</si>
  <si>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</si>
  <si>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</si>
  <si>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</si>
  <si>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</si>
  <si>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</si>
  <si>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</si>
  <si>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</si>
  <si>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</si>
  <si>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</si>
  <si>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</si>
  <si>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</si>
  <si>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</si>
  <si>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</si>
  <si>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</si>
  <si>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</si>
  <si>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</si>
  <si>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</si>
  <si>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</si>
  <si>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</si>
  <si>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</si>
  <si>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</si>
  <si>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</si>
  <si>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</si>
  <si>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</si>
  <si>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</si>
  <si>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</si>
  <si>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</si>
  <si>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</si>
  <si>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</si>
  <si>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</si>
  <si>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</si>
  <si>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</si>
  <si>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</si>
  <si>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</si>
  <si>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</si>
  <si>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</si>
  <si>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</si>
  <si>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</si>
  <si>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</si>
  <si>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</si>
  <si>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</si>
  <si>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</si>
  <si>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</si>
  <si>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</si>
  <si>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</si>
  <si>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</si>
  <si>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</si>
  <si>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</si>
  <si>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</si>
  <si>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</si>
  <si>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</si>
  <si>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</si>
  <si>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</si>
  <si>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</si>
  <si>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</si>
  <si>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</si>
  <si>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</si>
  <si>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</si>
  <si>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</si>
  <si>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</si>
  <si>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</si>
  <si>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</si>
  <si>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</si>
  <si>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</si>
  <si>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</si>
  <si>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</si>
  <si>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</si>
  <si>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</si>
  <si>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</si>
  <si>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</si>
  <si>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</si>
  <si>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</si>
  <si>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</si>
  <si>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</si>
  <si>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</si>
  <si>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</si>
  <si>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</si>
  <si>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</si>
  <si>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</si>
  <si>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</si>
  <si>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</si>
  <si>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</si>
  <si>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</si>
  <si>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</si>
  <si>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</si>
  <si>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</si>
  <si>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</si>
  <si>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</si>
  <si>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</si>
  <si>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</si>
  <si>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</si>
  <si>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</si>
  <si>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</si>
  <si>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</si>
  <si>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</si>
  <si>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</si>
  <si>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</si>
  <si>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</si>
  <si>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</si>
  <si>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</si>
  <si>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</si>
  <si>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</si>
  <si>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</si>
  <si>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</si>
  <si>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</si>
  <si>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</si>
  <si>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</si>
  <si>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</si>
  <si>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</si>
  <si>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</si>
  <si>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</si>
  <si>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</si>
  <si>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</si>
  <si>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</si>
  <si>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</si>
  <si>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</si>
  <si>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</si>
  <si>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</si>
  <si>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</si>
  <si>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</si>
  <si>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</si>
  <si>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</si>
  <si>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</si>
  <si>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</si>
  <si>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</si>
  <si>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</si>
  <si>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</si>
  <si>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</si>
  <si>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</si>
  <si>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</si>
  <si>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</si>
  <si>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</si>
  <si>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</si>
  <si>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</si>
  <si>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</si>
  <si>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</si>
  <si>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</si>
  <si>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</si>
  <si>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</si>
  <si>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</si>
  <si>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</si>
  <si>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</si>
  <si>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</si>
  <si>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</si>
  <si>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</si>
  <si>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</si>
  <si>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</si>
  <si>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</si>
  <si>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</si>
  <si>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</si>
  <si>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</si>
  <si>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</si>
  <si>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</si>
  <si>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</si>
  <si>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</si>
  <si>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</si>
  <si>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</si>
  <si>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</si>
  <si>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</si>
  <si>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</si>
  <si>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</si>
  <si>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</si>
  <si>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</si>
  <si>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</si>
  <si>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</si>
  <si>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</si>
  <si>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</si>
  <si>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</si>
  <si>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</si>
  <si>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</si>
  <si>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</si>
  <si>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</si>
  <si>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</si>
  <si>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</si>
  <si>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</si>
  <si>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</si>
  <si>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</si>
  <si>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</si>
  <si>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</si>
  <si>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</si>
  <si>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</si>
  <si>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</si>
  <si>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</si>
  <si>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</si>
  <si>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</si>
  <si>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</si>
  <si>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</si>
  <si>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</si>
  <si>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</si>
  <si>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</si>
  <si>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</si>
  <si>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</si>
  <si>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</si>
  <si>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</si>
  <si>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</si>
  <si>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</si>
  <si>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</si>
  <si>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</si>
  <si>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</si>
  <si>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</si>
  <si>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</si>
  <si>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</si>
  <si>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</si>
  <si>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</si>
  <si>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</si>
  <si>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</si>
  <si>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</si>
  <si>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</si>
  <si>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</si>
  <si>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</si>
  <si>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</si>
  <si>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</si>
  <si>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</si>
  <si>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</si>
  <si>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</si>
  <si>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</si>
  <si>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</si>
  <si>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</si>
  <si>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</si>
  <si>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</si>
  <si>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</si>
  <si>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</si>
  <si>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</si>
  <si>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</si>
  <si>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</si>
  <si>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</si>
  <si>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</si>
  <si>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</si>
  <si>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</si>
  <si>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</si>
  <si>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</si>
  <si>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</si>
  <si>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</si>
  <si>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</si>
  <si>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</si>
  <si>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</si>
  <si>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</si>
  <si>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</si>
  <si>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</si>
  <si>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</si>
  <si>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</si>
  <si>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</si>
  <si>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</si>
  <si>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</si>
  <si>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</si>
  <si>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</si>
  <si>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</si>
  <si>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</si>
  <si>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</si>
  <si>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</si>
  <si>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</si>
  <si>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</si>
  <si>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</si>
  <si>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</si>
  <si>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</si>
  <si>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</si>
  <si>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</si>
  <si>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</si>
  <si>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</si>
  <si>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</si>
  <si>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</si>
  <si>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</si>
  <si>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</si>
  <si>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</si>
  <si>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</si>
  <si>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</si>
  <si>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</si>
  <si>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</si>
  <si>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</si>
  <si>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</si>
  <si>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</si>
  <si>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</si>
  <si>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</si>
  <si>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</si>
  <si>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</si>
  <si>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</si>
  <si>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</si>
  <si>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</si>
  <si>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</si>
  <si>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</si>
  <si>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</si>
  <si>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</si>
  <si>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</si>
  <si>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</si>
  <si>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</si>
  <si>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</si>
  <si>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</si>
  <si>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</si>
  <si>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</si>
  <si>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</si>
  <si>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</si>
  <si>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</si>
  <si>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</si>
  <si>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</si>
  <si>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</si>
  <si>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</si>
  <si>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</si>
  <si>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</si>
  <si>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</si>
  <si>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</si>
  <si>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</si>
  <si>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</si>
  <si>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</si>
  <si>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</si>
  <si>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</si>
  <si>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</si>
  <si>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</si>
  <si>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</si>
  <si>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</si>
  <si>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</si>
  <si>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</si>
  <si>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</si>
  <si>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</si>
  <si>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</si>
  <si>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</si>
  <si>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</si>
  <si>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</si>
  <si>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</si>
  <si>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</si>
  <si>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</si>
  <si>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</si>
  <si>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</si>
  <si>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</si>
  <si>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</si>
  <si>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</si>
  <si>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</si>
  <si>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</si>
  <si>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</si>
  <si>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</si>
  <si>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</si>
  <si>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</si>
  <si>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</si>
  <si>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</si>
  <si>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</si>
  <si>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</si>
  <si>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</si>
  <si>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</si>
  <si>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</si>
  <si>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</si>
  <si>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</si>
  <si>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</si>
  <si>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</si>
  <si>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</si>
  <si>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</si>
  <si>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</si>
  <si>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</si>
  <si>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</si>
  <si>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</si>
  <si>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</si>
  <si>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</si>
  <si>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</si>
  <si>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</si>
  <si>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</si>
  <si>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</si>
  <si>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</si>
  <si>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</si>
  <si>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</si>
  <si>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</si>
  <si>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</si>
  <si>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</si>
  <si>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</si>
  <si>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</si>
  <si>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</si>
  <si>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</si>
  <si>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</si>
  <si>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</si>
  <si>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</si>
  <si>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</si>
  <si>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</si>
  <si>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</si>
  <si>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</si>
  <si>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</si>
  <si>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</si>
  <si>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</si>
  <si>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</si>
  <si>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</si>
  <si>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</si>
  <si>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</si>
  <si>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</si>
  <si>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</si>
  <si>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</si>
  <si>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</si>
  <si>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</si>
  <si>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</si>
  <si>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</si>
  <si>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</si>
  <si>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</si>
  <si>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</si>
  <si>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</si>
  <si>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</si>
  <si>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</si>
  <si>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</si>
  <si>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</si>
  <si>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</si>
  <si>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</si>
  <si>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</si>
  <si>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</si>
  <si>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</si>
  <si>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</si>
  <si>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</si>
  <si>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</si>
  <si>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</si>
  <si>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</si>
  <si>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</si>
  <si>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</si>
  <si>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</si>
  <si>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</si>
  <si>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</si>
  <si>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</si>
  <si>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</si>
  <si>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</si>
  <si>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</si>
  <si>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</si>
  <si>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</si>
  <si>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</si>
  <si>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</si>
  <si>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</si>
  <si>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</si>
  <si>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</si>
  <si>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</si>
  <si>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</si>
  <si>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</si>
  <si>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</si>
  <si>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</si>
  <si>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</si>
  <si>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</si>
  <si>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</si>
  <si>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</si>
  <si>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</si>
  <si>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</si>
  <si>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</si>
  <si>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</si>
  <si>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</si>
  <si>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</si>
  <si>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</si>
  <si>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</si>
  <si>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</si>
  <si>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</si>
  <si>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</si>
  <si>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</si>
  <si>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</si>
  <si>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</si>
  <si>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</si>
  <si>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</si>
  <si>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</si>
  <si>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</si>
  <si>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</si>
  <si>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</si>
  <si>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</si>
  <si>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</si>
  <si>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</si>
  <si>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</si>
  <si>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</si>
  <si>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</si>
  <si>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</si>
  <si>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</si>
  <si>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</si>
  <si>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</si>
  <si>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</si>
  <si>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</si>
  <si>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</si>
  <si>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</si>
  <si>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</si>
  <si>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</si>
  <si>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</si>
  <si>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</si>
  <si>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</si>
  <si>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</si>
  <si>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</si>
  <si>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</si>
  <si>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</si>
  <si>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</si>
  <si>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</si>
  <si>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</si>
  <si>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</si>
  <si>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</si>
  <si>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</si>
  <si>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</si>
  <si>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</si>
  <si>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</si>
  <si>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</si>
  <si>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</si>
  <si>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</si>
  <si>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</si>
  <si>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</si>
  <si>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</si>
  <si>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</si>
  <si>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</si>
  <si>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</si>
  <si>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</si>
  <si>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</si>
  <si>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</si>
  <si>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</si>
  <si>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</si>
  <si>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</si>
  <si>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</si>
  <si>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</si>
  <si>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</si>
  <si>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</si>
  <si>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</si>
  <si>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</si>
  <si>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</si>
  <si>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</si>
  <si>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</si>
  <si>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</si>
  <si>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</si>
  <si>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</si>
  <si>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</si>
  <si>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</si>
  <si>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</si>
  <si>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</si>
  <si>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</si>
  <si>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</si>
  <si>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</si>
  <si>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</si>
  <si>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</si>
  <si>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</si>
  <si>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</si>
  <si>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</si>
  <si>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</si>
  <si>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</si>
  <si>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</si>
  <si>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</si>
  <si>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</si>
  <si>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</si>
  <si>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</si>
  <si>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</si>
  <si>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</si>
  <si>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</si>
  <si>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</si>
  <si>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</si>
  <si>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</si>
  <si>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</si>
  <si>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</si>
  <si>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</si>
  <si>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</si>
  <si>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</si>
  <si>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</si>
  <si>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</si>
  <si>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</si>
  <si>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</si>
  <si>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</si>
  <si>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</si>
  <si>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</si>
  <si>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</si>
  <si>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</si>
  <si>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</si>
  <si>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</si>
  <si>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</si>
  <si>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</si>
  <si>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</si>
  <si>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</si>
  <si>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</si>
  <si>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</si>
  <si>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</si>
  <si>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</si>
  <si>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</si>
  <si>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</si>
  <si>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</si>
  <si>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</si>
  <si>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</si>
  <si>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</si>
  <si>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</si>
  <si>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</si>
  <si>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</si>
  <si>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</si>
  <si>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</si>
  <si>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</si>
  <si>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</si>
  <si>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</si>
  <si>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</si>
  <si>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</si>
  <si>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</si>
  <si>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</si>
  <si>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</si>
  <si>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</si>
  <si>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</si>
  <si>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</si>
  <si>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</si>
  <si>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</si>
  <si>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</si>
  <si>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</si>
  <si>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</si>
  <si>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</si>
  <si>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</si>
  <si>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</si>
  <si>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</si>
  <si>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</si>
  <si>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</si>
  <si>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</si>
  <si>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</si>
  <si>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</si>
  <si>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</si>
  <si>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</si>
  <si>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</si>
  <si>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</si>
  <si>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</si>
  <si>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</si>
  <si>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</si>
  <si>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</si>
  <si>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</si>
  <si>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</si>
  <si>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</si>
  <si>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</si>
  <si>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</si>
  <si>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</si>
  <si>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</si>
  <si>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</si>
  <si>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</si>
  <si>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</si>
  <si>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</si>
  <si>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</si>
  <si>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</si>
  <si>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</si>
  <si>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</si>
  <si>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</si>
  <si>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</si>
  <si>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</si>
  <si>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</si>
  <si>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</si>
  <si>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</si>
  <si>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</si>
  <si>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</si>
  <si>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</si>
  <si>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</si>
  <si>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</si>
  <si>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</si>
  <si>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</si>
  <si>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</si>
  <si>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</si>
  <si>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</si>
  <si>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</si>
  <si>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</si>
  <si>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</si>
  <si>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</si>
  <si>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</si>
  <si>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</si>
  <si>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</si>
  <si>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</si>
  <si>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</si>
  <si>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</si>
  <si>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</si>
  <si>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</si>
  <si>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</si>
  <si>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</si>
  <si>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</si>
  <si>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</si>
  <si>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</si>
  <si>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</si>
  <si>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</si>
  <si>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</si>
  <si>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</si>
  <si>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</si>
  <si>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</si>
  <si>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</si>
  <si>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</si>
  <si>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</si>
  <si>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</si>
  <si>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</si>
  <si>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</si>
  <si>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</si>
  <si>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</si>
  <si>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</si>
  <si>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</si>
  <si>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</si>
  <si>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</si>
  <si>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</si>
  <si>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</si>
  <si>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</si>
  <si>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</si>
  <si>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</si>
  <si>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</si>
  <si>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</si>
  <si>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</si>
  <si>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</si>
  <si>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</si>
  <si>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</si>
  <si>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</si>
  <si>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</si>
  <si>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</si>
  <si>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</si>
  <si>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</si>
  <si>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</si>
  <si>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</si>
  <si>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</si>
  <si>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</si>
  <si>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</si>
  <si>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</si>
  <si>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</si>
  <si>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</si>
  <si>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</si>
  <si>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</si>
  <si>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</si>
  <si>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</si>
  <si>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</si>
  <si>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</si>
  <si>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</si>
  <si>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</si>
  <si>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</si>
  <si>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</si>
  <si>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</si>
  <si>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</si>
  <si>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</si>
  <si>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</si>
  <si>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</si>
  <si>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</si>
  <si>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</si>
  <si>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</si>
  <si>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</si>
  <si>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</si>
  <si>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</si>
  <si>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</si>
  <si>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</si>
  <si>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</si>
  <si>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</si>
  <si>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</si>
  <si>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</si>
  <si>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</si>
  <si>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</si>
  <si>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</si>
  <si>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</si>
  <si>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</si>
  <si>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</si>
  <si>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</si>
  <si>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</si>
  <si>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</si>
  <si>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</si>
  <si>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</si>
  <si>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</si>
  <si>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</si>
  <si>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</si>
  <si>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</si>
  <si>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</si>
  <si>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</si>
  <si>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</si>
  <si>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</si>
  <si>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</si>
  <si>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</si>
  <si>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</si>
  <si>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</si>
  <si>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</si>
  <si>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</si>
  <si>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</si>
  <si>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</si>
  <si>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</si>
  <si>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</si>
  <si>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</si>
  <si>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</si>
  <si>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</si>
  <si>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</si>
  <si>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</si>
  <si>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</si>
  <si>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</si>
  <si>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</si>
  <si>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</si>
  <si>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</si>
  <si>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</si>
  <si>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</si>
  <si>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</si>
  <si>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</si>
  <si>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</si>
  <si>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</si>
  <si>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</si>
  <si>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</si>
  <si>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</si>
  <si>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</si>
  <si>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</si>
  <si>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</si>
  <si>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</si>
  <si>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</si>
  <si>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</si>
  <si>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</si>
  <si>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</si>
  <si>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</si>
  <si>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</si>
  <si>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</si>
  <si>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</si>
  <si>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</si>
  <si>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</si>
  <si>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</si>
  <si>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</si>
  <si>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</si>
  <si>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</si>
  <si>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</si>
  <si>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</si>
  <si>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</si>
  <si>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</si>
  <si>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</si>
  <si>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</si>
  <si>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</si>
  <si>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</si>
  <si>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</si>
  <si>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</si>
  <si>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</si>
  <si>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</si>
  <si>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</si>
  <si>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</si>
  <si>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</si>
  <si>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</si>
  <si>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</si>
  <si>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</si>
  <si>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</si>
  <si>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</si>
  <si>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</si>
  <si>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</si>
  <si>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</si>
  <si>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</si>
  <si>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</si>
  <si>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</si>
  <si>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</si>
  <si>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</si>
  <si>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</si>
  <si>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</si>
  <si>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</si>
  <si>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</si>
  <si>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</si>
  <si>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</si>
  <si>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</si>
  <si>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</si>
  <si>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</si>
  <si>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</si>
  <si>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</si>
  <si>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</si>
  <si>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</si>
  <si>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</si>
  <si>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</si>
  <si>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</si>
  <si>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</si>
  <si>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</si>
  <si>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</si>
  <si>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</si>
  <si>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</si>
  <si>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</si>
  <si>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</si>
  <si>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</si>
  <si>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</si>
  <si>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</si>
  <si>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</si>
  <si>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</si>
  <si>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</si>
  <si>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</si>
  <si>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</si>
  <si>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</si>
  <si>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</si>
  <si>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</si>
  <si>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</si>
  <si>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</si>
  <si>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</si>
  <si>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</si>
  <si>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</si>
  <si>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</si>
  <si>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</si>
  <si>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</si>
  <si>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</si>
  <si>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</si>
  <si>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</si>
  <si>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</si>
  <si>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</si>
  <si>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</si>
  <si>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</si>
  <si>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</si>
  <si>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</si>
  <si>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</si>
  <si>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</si>
  <si>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</si>
  <si>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</si>
  <si>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</si>
  <si>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</si>
  <si>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</si>
  <si>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</si>
  <si>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</si>
  <si>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</si>
  <si>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</si>
  <si>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</si>
  <si>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</si>
  <si>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</si>
  <si>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</si>
  <si>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</si>
  <si>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</si>
  <si>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</si>
  <si>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</si>
  <si>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</si>
  <si>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</si>
  <si>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</si>
  <si>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</si>
  <si>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</si>
  <si>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</si>
  <si>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</si>
  <si>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</si>
  <si>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</si>
  <si>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</si>
  <si>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</si>
  <si>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</si>
  <si>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</si>
  <si>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</si>
  <si>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</si>
  <si>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</si>
  <si>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</si>
  <si>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</si>
  <si>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</si>
  <si>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</si>
  <si>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</si>
  <si>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</si>
  <si>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</si>
  <si>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</si>
  <si>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</si>
  <si>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</si>
  <si>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</si>
  <si>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</si>
  <si>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</si>
  <si>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</si>
  <si>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</si>
  <si>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</si>
  <si>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</si>
  <si>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</si>
  <si>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</si>
  <si>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</si>
  <si>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</si>
  <si>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</si>
  <si>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</si>
  <si>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</si>
  <si>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</si>
  <si>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</si>
  <si>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</si>
  <si>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</si>
  <si>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</si>
  <si>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</si>
  <si>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</si>
  <si>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</si>
  <si>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</si>
  <si>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</si>
  <si>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</si>
  <si>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</si>
  <si>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</si>
  <si>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</si>
  <si>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</si>
  <si>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</si>
  <si>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</si>
  <si>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</si>
  <si>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</si>
  <si>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</si>
  <si>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</si>
  <si>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</si>
  <si>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</si>
  <si>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</si>
  <si>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</si>
  <si>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</si>
  <si>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</si>
  <si>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</si>
  <si>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</si>
  <si>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</si>
  <si>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</si>
  <si>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</si>
  <si>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</si>
  <si>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</si>
  <si>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</si>
  <si>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</si>
  <si>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</si>
  <si>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</si>
  <si>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</si>
  <si>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</si>
  <si>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</si>
  <si>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</si>
  <si>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</si>
  <si>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</si>
  <si>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</si>
  <si>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</si>
  <si>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</si>
  <si>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</si>
  <si>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</si>
  <si>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</si>
  <si>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</si>
  <si>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</si>
  <si>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</si>
  <si>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</si>
  <si>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</si>
  <si>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</si>
  <si>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</si>
  <si>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</si>
  <si>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</si>
  <si>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</si>
  <si>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</si>
  <si>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</si>
  <si>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</si>
  <si>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</si>
  <si>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</si>
  <si>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</si>
  <si>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</si>
  <si>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</si>
  <si>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</si>
  <si>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</si>
  <si>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</si>
  <si>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</si>
  <si>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</si>
  <si>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</si>
  <si>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</si>
  <si>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</si>
  <si>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</si>
  <si>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</si>
  <si>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</si>
  <si>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</si>
  <si>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</si>
  <si>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</si>
  <si>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</si>
  <si>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</si>
  <si>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</si>
  <si>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</si>
  <si>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</si>
  <si>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</si>
  <si>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</si>
  <si>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</si>
  <si>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</si>
  <si>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</si>
  <si>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</si>
  <si>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</si>
  <si>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</si>
  <si>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</si>
  <si>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</si>
  <si>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</si>
  <si>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</si>
  <si>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</si>
  <si>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</si>
  <si>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</si>
  <si>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</si>
  <si>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</si>
  <si>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</si>
  <si>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</si>
  <si>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</si>
  <si>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</si>
  <si>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</si>
  <si>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</si>
  <si>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</si>
  <si>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</si>
  <si>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</si>
  <si>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</si>
  <si>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</si>
  <si>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</si>
  <si>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</si>
  <si>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</si>
  <si>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</si>
  <si>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</si>
  <si>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</si>
  <si>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</si>
  <si>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</si>
  <si>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</si>
  <si>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</si>
  <si>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</si>
  <si>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</si>
  <si>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</si>
  <si>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</si>
  <si>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</si>
  <si>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</si>
  <si>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</si>
  <si>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</si>
  <si>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</si>
  <si>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</si>
  <si>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</si>
  <si>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</si>
  <si>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</si>
  <si>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</si>
  <si>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</si>
  <si>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</si>
  <si>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</si>
  <si>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</si>
  <si>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</si>
  <si>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</si>
  <si>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</si>
  <si>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</si>
  <si>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</si>
  <si>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</si>
  <si>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</si>
  <si>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</si>
  <si>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</si>
  <si>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</si>
  <si>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</si>
  <si>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</si>
  <si>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</si>
  <si>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</si>
  <si>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</si>
  <si>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</si>
  <si>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</si>
  <si>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</si>
  <si>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</si>
  <si>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</si>
  <si>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</si>
  <si>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</si>
  <si>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</si>
  <si>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</si>
  <si>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</si>
  <si>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</si>
  <si>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</si>
  <si>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</si>
  <si>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</si>
  <si>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</si>
  <si>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</si>
  <si>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</si>
  <si>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</si>
  <si>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</si>
  <si>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</si>
  <si>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</si>
  <si>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</si>
  <si>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</si>
  <si>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</si>
  <si>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</si>
  <si>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</si>
  <si>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</si>
  <si>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</si>
  <si>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</si>
  <si>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</si>
  <si>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</si>
  <si>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</si>
  <si>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</si>
  <si>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</si>
  <si>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</si>
  <si>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</si>
  <si>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</si>
  <si>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</si>
  <si>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</si>
  <si>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</si>
  <si>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</si>
  <si>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</si>
  <si>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</si>
  <si>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</si>
  <si>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</si>
  <si>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</si>
  <si>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</si>
  <si>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</si>
  <si>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</si>
  <si>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</si>
  <si>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</si>
  <si>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</si>
  <si>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</si>
  <si>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</si>
  <si>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</si>
  <si>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</si>
  <si>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</si>
  <si>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</si>
  <si>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</si>
  <si>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</si>
  <si>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</si>
  <si>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</si>
  <si>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</si>
  <si>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</si>
  <si>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</si>
  <si>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</si>
  <si>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</si>
  <si>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</si>
  <si>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</si>
  <si>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</si>
  <si>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</si>
  <si>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</si>
  <si>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</si>
  <si>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</si>
  <si>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</si>
  <si>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</si>
  <si>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</si>
  <si>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</si>
  <si>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</si>
  <si>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</si>
  <si>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</si>
  <si>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</si>
  <si>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</si>
  <si>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</si>
  <si>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</si>
  <si>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</si>
  <si>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</si>
  <si>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</si>
  <si>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</si>
  <si>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</si>
  <si>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</si>
  <si>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</si>
  <si>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</si>
  <si>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</si>
  <si>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</si>
  <si>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</si>
  <si>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</si>
  <si>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</si>
  <si>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</si>
  <si>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</si>
  <si>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</si>
  <si>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</si>
  <si>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</si>
  <si>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</si>
  <si>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</si>
  <si>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</si>
  <si>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</si>
  <si>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</si>
  <si>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</si>
  <si>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</si>
  <si>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</si>
  <si>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</si>
  <si>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</si>
  <si>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</si>
  <si>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</si>
  <si>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</si>
  <si>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</si>
  <si>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</si>
  <si>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</si>
  <si>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</si>
  <si>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</si>
  <si>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</si>
  <si>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</si>
  <si>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</si>
  <si>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</si>
  <si>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</si>
  <si>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</si>
  <si>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</si>
  <si>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</si>
  <si>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</si>
  <si>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</si>
  <si>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</si>
  <si>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</si>
  <si>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</si>
  <si>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</si>
  <si>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</si>
  <si>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</si>
  <si>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</si>
  <si>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</si>
  <si>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</si>
  <si>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</si>
  <si>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</si>
  <si>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</si>
  <si>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</si>
  <si>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</si>
  <si>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</si>
  <si>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</si>
  <si>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</si>
  <si>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</si>
  <si>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</si>
  <si>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</si>
  <si>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</si>
  <si>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</si>
  <si>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</si>
  <si>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</si>
  <si>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</si>
  <si>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</si>
  <si>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</si>
  <si>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</si>
  <si>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</si>
  <si>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</si>
  <si>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</si>
  <si>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</si>
  <si>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</si>
  <si>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</si>
  <si>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</si>
  <si>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</si>
  <si>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</si>
  <si>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</si>
  <si>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</si>
  <si>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</si>
  <si>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</si>
  <si>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</si>
  <si>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</si>
  <si>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</si>
  <si>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</si>
  <si>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</si>
  <si>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</si>
  <si>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</si>
  <si>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</si>
  <si>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</si>
  <si>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</si>
  <si>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</si>
  <si>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</si>
  <si>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</si>
  <si>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</si>
  <si>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</si>
  <si>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</si>
  <si>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</si>
  <si>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</si>
  <si>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</si>
  <si>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</si>
  <si>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</si>
  <si>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</si>
  <si>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</si>
  <si>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</si>
  <si>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</si>
  <si>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</si>
  <si>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</si>
  <si>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</si>
  <si>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</si>
  <si>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</si>
  <si>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</si>
  <si>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</si>
  <si>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</si>
  <si>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</si>
  <si>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</si>
  <si>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</si>
  <si>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</si>
  <si>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</si>
  <si>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</si>
  <si>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</si>
  <si>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</si>
  <si>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</si>
  <si>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</si>
  <si>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</si>
  <si>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</si>
  <si>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</si>
  <si>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</si>
  <si>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</si>
  <si>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</si>
  <si>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</si>
  <si>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</si>
  <si>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</si>
  <si>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</si>
  <si>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</si>
  <si>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</si>
  <si>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</si>
  <si>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</si>
  <si>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</si>
  <si>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</si>
  <si>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</si>
  <si>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</si>
  <si>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</si>
  <si>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</si>
  <si>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</si>
  <si>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</si>
  <si>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</si>
  <si>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</si>
  <si>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</si>
  <si>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</si>
  <si>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</si>
  <si>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</si>
  <si>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</si>
  <si>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</si>
  <si>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</si>
  <si>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</si>
  <si>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</si>
  <si>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</si>
  <si>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</si>
  <si>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</si>
  <si>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</si>
  <si>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</si>
  <si>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</si>
  <si>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</si>
  <si>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</si>
  <si>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</si>
  <si>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</si>
  <si>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</si>
  <si>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</si>
  <si>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</si>
  <si>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</si>
  <si>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</si>
  <si>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</si>
  <si>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</si>
  <si>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</si>
  <si>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</si>
  <si>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</si>
  <si>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</si>
  <si>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</si>
  <si>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</si>
  <si>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</si>
  <si>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</si>
  <si>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</si>
  <si>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</si>
  <si>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</si>
  <si>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</si>
  <si>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</si>
  <si>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</si>
  <si>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</si>
  <si>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</si>
  <si>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</si>
  <si>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</si>
  <si>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</si>
  <si>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</si>
  <si>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</si>
  <si>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</si>
  <si>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</si>
  <si>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</si>
  <si>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</si>
  <si>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</si>
  <si>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</si>
  <si>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</si>
  <si>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</si>
  <si>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</si>
  <si>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</si>
  <si>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</si>
  <si>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</si>
  <si>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</si>
  <si>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</si>
  <si>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</si>
  <si>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</si>
  <si>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</si>
  <si>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</si>
  <si>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</si>
  <si>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</si>
  <si>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</si>
  <si>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</si>
  <si>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</si>
  <si>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</si>
  <si>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</si>
  <si>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</si>
  <si>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</si>
  <si>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</si>
  <si>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</si>
  <si>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</si>
  <si>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</si>
  <si>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</si>
  <si>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</si>
  <si>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</si>
  <si>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</si>
  <si>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</si>
  <si>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</si>
  <si>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</si>
  <si>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</si>
  <si>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</si>
  <si>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</si>
  <si>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</si>
  <si>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</si>
  <si>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</si>
  <si>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</si>
  <si>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</si>
  <si>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</si>
  <si>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</si>
  <si>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</si>
  <si>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</si>
  <si>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</si>
  <si>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</si>
  <si>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</si>
  <si>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</si>
  <si>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</si>
  <si>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</si>
  <si>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</si>
  <si>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</si>
  <si>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</si>
  <si>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</si>
  <si>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</si>
  <si>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</si>
  <si>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</si>
  <si>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</si>
  <si>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</si>
  <si>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</si>
  <si>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</si>
  <si>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</si>
  <si>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</si>
  <si>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</si>
  <si>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</si>
  <si>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</si>
  <si>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</si>
  <si>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</si>
  <si>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</si>
  <si>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</si>
  <si>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</si>
  <si>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</si>
  <si>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</si>
  <si>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</si>
  <si>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</si>
  <si>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</si>
  <si>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</si>
  <si>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</si>
  <si>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</si>
  <si>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</si>
  <si>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</si>
  <si>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</si>
  <si>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</si>
  <si>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</si>
  <si>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</si>
  <si>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</si>
  <si>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</si>
  <si>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</si>
  <si>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</si>
  <si>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</si>
  <si>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</si>
  <si>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</si>
  <si>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</si>
  <si>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</si>
  <si>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</si>
  <si>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</si>
  <si>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</si>
  <si>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</si>
  <si>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</si>
  <si>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</si>
  <si>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</si>
  <si>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</si>
  <si>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</si>
  <si>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</si>
  <si>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</si>
  <si>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</si>
  <si>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</si>
  <si>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</si>
  <si>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</si>
  <si>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</si>
  <si>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</si>
  <si>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</si>
  <si>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</si>
  <si>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</si>
  <si>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</si>
  <si>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</si>
  <si>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</si>
  <si>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</si>
  <si>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</si>
  <si>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</si>
  <si>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</si>
  <si>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</si>
  <si>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</si>
  <si>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</si>
  <si>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</si>
  <si>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</si>
  <si>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</si>
  <si>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</si>
  <si>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</si>
  <si>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</si>
  <si>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</si>
  <si>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</si>
  <si>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</si>
  <si>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</si>
  <si>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</si>
  <si>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</si>
  <si>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</si>
  <si>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</si>
  <si>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</si>
  <si>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</si>
  <si>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</si>
  <si>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</si>
  <si>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</si>
  <si>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</si>
  <si>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</si>
  <si>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</si>
  <si>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</si>
  <si>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</si>
  <si>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</si>
  <si>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</si>
  <si>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</si>
  <si>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</si>
  <si>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</si>
  <si>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</si>
  <si>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</si>
  <si>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</si>
  <si>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</si>
  <si>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</si>
  <si>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</si>
  <si>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</si>
  <si>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</si>
  <si>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</si>
  <si>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</si>
  <si>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</si>
  <si>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</si>
  <si>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</si>
  <si>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</si>
  <si>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</si>
  <si>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</si>
  <si>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</si>
  <si>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</si>
  <si>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</si>
  <si>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</si>
  <si>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</si>
  <si>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</si>
  <si>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</si>
  <si>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</si>
  <si>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</si>
  <si>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</si>
  <si>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</si>
  <si>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</si>
  <si>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</si>
  <si>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</si>
  <si>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</si>
  <si>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</si>
  <si>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</si>
  <si>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</si>
  <si>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</si>
  <si>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</si>
  <si>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</si>
  <si>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</si>
  <si>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</si>
  <si>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</si>
  <si>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</si>
  <si>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</si>
  <si>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</si>
  <si>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</si>
  <si>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</si>
  <si>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</si>
  <si>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</si>
  <si>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</si>
  <si>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</si>
  <si>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</si>
  <si>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</si>
  <si>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</si>
  <si>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</si>
  <si>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</si>
  <si>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</si>
  <si>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</si>
  <si>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</si>
  <si>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</si>
  <si>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</si>
  <si>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</si>
  <si>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</si>
  <si>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</si>
  <si>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</si>
  <si>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</si>
  <si>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</si>
  <si>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</si>
  <si>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</si>
  <si>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</si>
  <si>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</si>
  <si>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</si>
  <si>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</si>
  <si>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</si>
  <si>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</si>
  <si>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</si>
  <si>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</si>
  <si>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</si>
  <si>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</si>
  <si>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</si>
  <si>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</si>
  <si>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</si>
  <si>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</si>
  <si>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</si>
  <si>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</si>
  <si>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</si>
  <si>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</si>
  <si>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</si>
  <si>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</si>
  <si>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</si>
  <si>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</si>
  <si>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</si>
  <si>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</si>
  <si>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</si>
  <si>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</si>
  <si>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</si>
  <si>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</si>
  <si>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</si>
  <si>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</si>
  <si>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</si>
  <si>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</si>
  <si>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</si>
  <si>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</si>
  <si>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</si>
  <si>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</si>
  <si>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</si>
  <si>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</si>
  <si>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</si>
  <si>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</si>
  <si>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</si>
  <si>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</si>
  <si>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</si>
  <si>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</si>
  <si>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</si>
  <si>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</si>
  <si>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</si>
  <si>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</si>
  <si>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</si>
  <si>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</si>
  <si>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</si>
  <si>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</si>
  <si>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</si>
  <si>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</si>
  <si>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</si>
  <si>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</si>
  <si>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</si>
  <si>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</si>
  <si>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</si>
  <si>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</si>
  <si>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</si>
  <si>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</si>
  <si>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</si>
  <si>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</si>
  <si>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</si>
  <si>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</si>
  <si>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</si>
  <si>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</si>
  <si>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</si>
  <si>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</si>
  <si>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</si>
  <si>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</si>
  <si>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</si>
  <si>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</si>
  <si>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</si>
  <si>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</si>
  <si>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</si>
  <si>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</si>
  <si>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</si>
  <si>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</si>
  <si>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</si>
  <si>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</si>
  <si>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</si>
  <si>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</si>
  <si>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</si>
  <si>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</si>
  <si>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</si>
  <si>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</si>
  <si>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</si>
  <si>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</si>
  <si>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</si>
  <si>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</si>
  <si>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</si>
  <si>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</si>
  <si>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</si>
  <si>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</si>
  <si>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</si>
  <si>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</si>
  <si>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</si>
  <si>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</si>
  <si>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</si>
  <si>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</si>
  <si>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</si>
  <si>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</si>
  <si>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</si>
  <si>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</si>
  <si>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</si>
  <si>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</si>
  <si>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</si>
  <si>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</si>
  <si>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</si>
  <si>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</si>
  <si>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</si>
  <si>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</si>
  <si>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</si>
  <si>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</si>
  <si>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</si>
  <si>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</si>
  <si>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</si>
  <si>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</si>
  <si>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</si>
  <si>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</si>
  <si>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</si>
  <si>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</si>
  <si>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</si>
  <si>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</si>
  <si>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</si>
  <si>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</si>
  <si>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</si>
  <si>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</si>
  <si>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</si>
  <si>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</si>
  <si>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</si>
  <si>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</si>
  <si>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</si>
  <si>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</si>
  <si>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</si>
  <si>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</si>
  <si>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</si>
  <si>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</si>
  <si>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</si>
  <si>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</si>
  <si>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</si>
  <si>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</si>
  <si>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</si>
  <si>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</si>
  <si>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</si>
  <si>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</si>
  <si>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</si>
  <si>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</si>
  <si>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</si>
  <si>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</si>
  <si>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</si>
  <si>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</si>
  <si>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</si>
  <si>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</si>
  <si>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</si>
  <si>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</si>
  <si>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</si>
  <si>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</si>
  <si>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</si>
  <si>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</si>
  <si>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</si>
  <si>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</si>
  <si>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</si>
  <si>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</si>
  <si>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</si>
  <si>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</si>
  <si>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</si>
  <si>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</si>
  <si>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</si>
  <si>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</si>
  <si>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</si>
  <si>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</si>
  <si>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</si>
  <si>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</si>
  <si>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</si>
  <si>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</si>
  <si>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</si>
  <si>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</si>
  <si>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</si>
  <si>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</si>
  <si>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</si>
  <si>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</si>
  <si>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</si>
  <si>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</si>
  <si>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</si>
  <si>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</si>
  <si>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</si>
  <si>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</si>
  <si>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</si>
  <si>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</si>
  <si>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</si>
  <si>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</si>
  <si>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</si>
  <si>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</si>
  <si>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</si>
  <si>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</si>
  <si>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</si>
  <si>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</si>
  <si>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</si>
  <si>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</si>
  <si>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</si>
  <si>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</si>
  <si>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</si>
  <si>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</si>
  <si>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</si>
  <si>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</si>
  <si>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</si>
  <si>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</si>
  <si>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</si>
  <si>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</si>
  <si>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</si>
  <si>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</si>
  <si>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</si>
  <si>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</si>
  <si>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</si>
  <si>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</si>
  <si>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</si>
  <si>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</si>
  <si>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</si>
  <si>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</si>
  <si>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</si>
  <si>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</si>
  <si>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</si>
  <si>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</si>
  <si>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</si>
  <si>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</si>
  <si>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</si>
  <si>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</si>
  <si>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</si>
  <si>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</si>
  <si>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</si>
  <si>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</si>
  <si>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</si>
  <si>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</si>
  <si>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</si>
  <si>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</si>
  <si>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</si>
  <si>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</si>
  <si>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</si>
  <si>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</si>
  <si>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</si>
  <si>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</si>
  <si>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</si>
  <si>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</si>
  <si>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</si>
  <si>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</si>
  <si>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</si>
  <si>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</si>
  <si>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</si>
  <si>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</si>
  <si>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</si>
  <si>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</si>
  <si>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</si>
  <si>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</si>
  <si>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</si>
  <si>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</si>
  <si>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</si>
  <si>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</si>
  <si>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</si>
  <si>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</si>
  <si>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</si>
  <si>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</si>
  <si>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</si>
  <si>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</si>
  <si>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</si>
  <si>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</si>
  <si>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</si>
  <si>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</si>
  <si>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</si>
  <si>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</si>
  <si>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</si>
  <si>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</si>
  <si>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</si>
  <si>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</si>
  <si>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</si>
  <si>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</si>
  <si>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</si>
  <si>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</si>
  <si>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</si>
  <si>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</si>
  <si>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</si>
  <si>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</si>
  <si>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</si>
  <si>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</si>
  <si>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</si>
  <si>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</si>
  <si>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</si>
  <si>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</si>
  <si>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</si>
  <si>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</si>
  <si>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</si>
  <si>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</si>
  <si>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</si>
  <si>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</si>
  <si>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</si>
  <si>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</si>
  <si>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</si>
  <si>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</si>
  <si>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</si>
  <si>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</si>
  <si>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</si>
  <si>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</si>
  <si>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</si>
  <si>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</si>
  <si>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</si>
  <si>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</si>
  <si>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</si>
  <si>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</si>
  <si>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</si>
  <si>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</si>
  <si>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</si>
  <si>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</si>
  <si>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</si>
  <si>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</si>
  <si>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</si>
  <si>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</si>
  <si>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</si>
  <si>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</si>
  <si>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</si>
  <si>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</si>
  <si>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</si>
  <si>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</si>
  <si>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</si>
  <si>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</si>
  <si>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</si>
  <si>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</si>
  <si>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</si>
  <si>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</si>
  <si>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</si>
  <si>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</si>
  <si>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</si>
  <si>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</si>
  <si>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</si>
  <si>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</si>
  <si>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</si>
  <si>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</si>
  <si>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</si>
  <si>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</si>
  <si>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</si>
  <si>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</si>
  <si>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</si>
  <si>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</si>
  <si>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</si>
  <si>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</si>
  <si>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</si>
  <si>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</si>
  <si>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</si>
  <si>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</si>
  <si>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</si>
  <si>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</si>
  <si>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</si>
  <si>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</si>
  <si>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</si>
  <si>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</si>
  <si>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</si>
  <si>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</si>
  <si>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</si>
  <si>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</si>
  <si>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</si>
  <si>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</si>
  <si>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</si>
  <si>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</si>
  <si>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</si>
  <si>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</si>
  <si>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</si>
  <si>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</si>
  <si>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</si>
  <si>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</si>
  <si>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</si>
  <si>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</si>
  <si>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</si>
  <si>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</si>
  <si>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</si>
  <si>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</si>
  <si>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</si>
  <si>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</si>
  <si>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</si>
  <si>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</si>
  <si>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</si>
  <si>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</si>
  <si>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</si>
  <si>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</si>
  <si>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</si>
  <si>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</si>
  <si>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</si>
  <si>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</si>
  <si>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</si>
  <si>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</si>
  <si>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</si>
  <si>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</si>
  <si>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</si>
  <si>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</si>
  <si>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</si>
  <si>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</si>
  <si>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</si>
  <si>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</si>
  <si>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</si>
  <si>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</si>
  <si>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</si>
  <si>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</si>
  <si>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</si>
  <si>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</si>
  <si>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</si>
  <si>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</si>
  <si>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</si>
  <si>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</si>
  <si>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</si>
  <si>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</si>
  <si>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</si>
  <si>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</si>
  <si>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</si>
  <si>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</si>
  <si>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</si>
  <si>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</si>
  <si>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</si>
  <si>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</si>
  <si>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</si>
  <si>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</si>
  <si>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</si>
  <si>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</si>
  <si>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</si>
  <si>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</si>
  <si>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</si>
  <si>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</si>
  <si>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</si>
  <si>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</si>
  <si>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</si>
  <si>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</si>
  <si>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</si>
  <si>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</si>
  <si>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</si>
  <si>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</si>
  <si>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</si>
  <si>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</si>
  <si>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</si>
  <si>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</si>
  <si>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</si>
  <si>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</si>
  <si>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</si>
  <si>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</si>
  <si>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</si>
  <si>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</si>
  <si>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</si>
  <si>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</si>
  <si>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</si>
  <si>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</si>
  <si>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</si>
  <si>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</si>
  <si>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</si>
  <si>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</si>
  <si>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</si>
  <si>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</si>
  <si>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</si>
  <si>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</si>
  <si>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</si>
  <si>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</si>
  <si>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</si>
  <si>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</si>
  <si>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</si>
  <si>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</si>
  <si>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</si>
  <si>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</si>
  <si>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</si>
  <si>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</si>
  <si>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</si>
  <si>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</si>
  <si>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</si>
  <si>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</si>
  <si>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</si>
  <si>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</si>
  <si>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</si>
  <si>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</si>
  <si>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</si>
  <si>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</si>
  <si>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</si>
  <si>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</si>
  <si>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</si>
  <si>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</si>
  <si>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</si>
  <si>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</si>
  <si>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</si>
  <si>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</si>
  <si>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</si>
  <si>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</si>
  <si>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</si>
  <si>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</si>
  <si>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</si>
  <si>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</si>
  <si>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</si>
  <si>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</si>
  <si>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</si>
  <si>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</si>
  <si>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</si>
  <si>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</si>
  <si>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</si>
  <si>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</si>
  <si>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</si>
  <si>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</si>
  <si>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</si>
  <si>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</si>
  <si>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</si>
  <si>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</si>
  <si>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</si>
  <si>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</si>
  <si>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</si>
  <si>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</si>
  <si>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</si>
  <si>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</si>
  <si>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</si>
  <si>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</si>
  <si>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</si>
  <si>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</si>
  <si>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</si>
  <si>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</si>
  <si>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</si>
  <si>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</si>
  <si>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</si>
  <si>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</si>
  <si>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</si>
  <si>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</si>
  <si>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</si>
  <si>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</si>
  <si>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</si>
  <si>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</si>
  <si>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</si>
  <si>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</si>
  <si>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</si>
  <si>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</si>
  <si>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</si>
  <si>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</si>
  <si>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</si>
  <si>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</si>
  <si>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</si>
  <si>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</si>
  <si>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</si>
  <si>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</si>
  <si>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</si>
  <si>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</si>
  <si>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</si>
  <si>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</si>
  <si>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</si>
  <si>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</si>
  <si>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</si>
  <si>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</si>
  <si>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</si>
  <si>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</si>
  <si>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</si>
  <si>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</si>
  <si>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</si>
  <si>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</si>
  <si>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</si>
  <si>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</si>
  <si>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</si>
  <si>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</si>
  <si>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</si>
  <si>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</si>
  <si>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</si>
  <si>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</si>
  <si>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</si>
  <si>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</si>
  <si>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</si>
  <si>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</si>
  <si>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</si>
  <si>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</si>
  <si>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</si>
  <si>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</si>
  <si>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</si>
  <si>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</si>
  <si>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</si>
  <si>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</si>
  <si>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</si>
  <si>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</si>
  <si>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</si>
  <si>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</si>
  <si>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</si>
  <si>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</si>
  <si>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</si>
  <si>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</si>
  <si>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</si>
  <si>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</si>
  <si>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</si>
  <si>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</si>
  <si>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</si>
  <si>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</si>
  <si>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</si>
  <si>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</si>
  <si>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</si>
  <si>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</si>
  <si>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</si>
  <si>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</si>
  <si>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</si>
  <si>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</si>
  <si>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</si>
  <si>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</si>
  <si>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</si>
  <si>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</si>
  <si>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</si>
  <si>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</si>
  <si>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</si>
  <si>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</si>
  <si>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</si>
  <si>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</si>
  <si>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</si>
  <si>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</si>
  <si>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</si>
  <si>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</si>
  <si>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</si>
  <si>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</si>
  <si>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</si>
  <si>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</si>
  <si>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</si>
  <si>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</si>
  <si>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</si>
  <si>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</si>
  <si>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</si>
  <si>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</si>
  <si>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</si>
  <si>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</si>
  <si>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</si>
  <si>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</si>
  <si>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</si>
  <si>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</si>
  <si>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</si>
  <si>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</si>
  <si>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</si>
  <si>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</si>
  <si>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</si>
  <si>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</si>
  <si>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</si>
  <si>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</si>
  <si>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</si>
  <si>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</si>
  <si>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</si>
  <si>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</si>
  <si>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</si>
  <si>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</si>
  <si>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</si>
  <si>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</si>
  <si>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</si>
  <si>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</si>
  <si>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</si>
  <si>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</si>
  <si>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</si>
  <si>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</si>
  <si>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</si>
  <si>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</si>
  <si>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</si>
  <si>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</si>
  <si>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</si>
  <si>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</si>
  <si>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</si>
  <si>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</si>
  <si>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</si>
  <si>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</si>
  <si>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</si>
  <si>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</si>
  <si>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</si>
  <si>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</si>
  <si>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</si>
  <si>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</si>
  <si>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</si>
  <si>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</si>
  <si>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</si>
  <si>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</si>
  <si>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</si>
  <si>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</si>
  <si>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</si>
  <si>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</si>
  <si>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</si>
  <si>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</si>
  <si>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</si>
  <si>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</si>
  <si>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</si>
  <si>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</si>
  <si>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</si>
  <si>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</si>
  <si>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</si>
  <si>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</si>
  <si>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</si>
  <si>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</si>
  <si>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</si>
  <si>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</si>
  <si>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</si>
  <si>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</si>
  <si>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</si>
  <si>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</si>
  <si>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</si>
  <si>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</si>
  <si>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</si>
  <si>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</si>
  <si>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</si>
  <si>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</si>
  <si>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</si>
  <si>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</si>
  <si>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</si>
  <si>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</si>
  <si>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</si>
  <si>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</si>
  <si>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</si>
  <si>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</si>
  <si>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</si>
  <si>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</si>
  <si>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</si>
  <si>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</si>
  <si>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</si>
  <si>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</si>
  <si>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</si>
  <si>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</si>
  <si>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</si>
  <si>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</si>
  <si>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</si>
  <si>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</si>
  <si>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</si>
  <si>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</si>
  <si>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</si>
  <si>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</si>
  <si>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</si>
  <si>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</si>
  <si>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</si>
  <si>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</si>
  <si>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</si>
  <si>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</si>
  <si>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</si>
  <si>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</si>
  <si>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</si>
  <si>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</si>
  <si>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</si>
  <si>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</si>
  <si>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</si>
  <si>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</si>
  <si>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</si>
  <si>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</si>
  <si>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</si>
  <si>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</si>
  <si>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</si>
  <si>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</si>
  <si>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</si>
  <si>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</si>
  <si>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</si>
  <si>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</si>
  <si>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</si>
  <si>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</si>
  <si>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</si>
  <si>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</si>
  <si>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</si>
  <si>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</si>
  <si>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</si>
  <si>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</si>
  <si>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</si>
  <si>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</si>
  <si>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</si>
  <si>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</si>
  <si>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</si>
  <si>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</si>
  <si>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</si>
  <si>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</si>
  <si>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</si>
  <si>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</si>
  <si>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</si>
  <si>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</si>
  <si>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</si>
  <si>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</si>
  <si>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</si>
  <si>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</si>
  <si>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</si>
  <si>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</si>
  <si>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</si>
  <si>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</si>
  <si>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</si>
  <si>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</si>
  <si>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</si>
  <si>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</si>
  <si>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</si>
  <si>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</si>
  <si>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</si>
  <si>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</si>
  <si>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</si>
  <si>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</si>
  <si>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</si>
  <si>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</si>
  <si>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</si>
  <si>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</si>
  <si>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</si>
  <si>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</si>
  <si>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</si>
  <si>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</si>
  <si>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</si>
  <si>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</si>
  <si>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</si>
  <si>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</si>
  <si>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</si>
  <si>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</si>
  <si>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</si>
  <si>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</si>
  <si>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</si>
  <si>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</si>
  <si>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</si>
  <si>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</si>
  <si>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</si>
  <si>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</si>
  <si>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</si>
  <si>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</si>
  <si>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</si>
  <si>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</si>
  <si>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</si>
  <si>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</si>
  <si>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</si>
  <si>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</si>
  <si>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</si>
  <si>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</si>
  <si>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</si>
  <si>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</si>
  <si>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</si>
  <si>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</si>
  <si>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</si>
  <si>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</si>
  <si>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</si>
  <si>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</si>
  <si>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</si>
  <si>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</si>
  <si>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</si>
  <si>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</si>
  <si>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</si>
  <si>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</si>
  <si>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</si>
  <si>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</si>
  <si>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</si>
  <si>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</si>
  <si>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</si>
  <si>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</si>
  <si>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</si>
  <si>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</si>
  <si>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</si>
  <si>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</si>
  <si>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</si>
  <si>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</si>
  <si>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</si>
  <si>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</si>
  <si>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</si>
  <si>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</si>
  <si>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</si>
  <si>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</si>
  <si>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</si>
  <si>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</si>
  <si>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</si>
  <si>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</si>
  <si>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</si>
  <si>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</si>
  <si>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</si>
  <si>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</si>
  <si>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</si>
  <si>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</si>
  <si>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</si>
  <si>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</si>
  <si>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</si>
  <si>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</si>
  <si>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</si>
  <si>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</si>
  <si>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</si>
  <si>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</si>
  <si>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</si>
  <si>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</si>
  <si>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</si>
  <si>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</si>
  <si>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</si>
  <si>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</si>
  <si>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</si>
  <si>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</si>
  <si>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</si>
  <si>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</si>
  <si>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</si>
  <si>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</si>
  <si>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</si>
  <si>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</si>
  <si>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</si>
  <si>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</si>
  <si>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</si>
  <si>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</si>
  <si>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</si>
  <si>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</si>
  <si>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</si>
  <si>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</si>
  <si>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</si>
  <si>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</si>
  <si>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</si>
  <si>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</si>
  <si>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</si>
  <si>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</si>
  <si>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</si>
  <si>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</si>
  <si>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</si>
  <si>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</si>
  <si>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</si>
  <si>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</si>
  <si>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</si>
  <si>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</si>
  <si>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</si>
  <si>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</si>
  <si>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</si>
  <si>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</si>
  <si>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</si>
  <si>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</si>
  <si>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</si>
  <si>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</si>
  <si>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</si>
  <si>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</si>
  <si>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</si>
  <si>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</si>
  <si>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</si>
  <si>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</si>
  <si>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</si>
  <si>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</si>
  <si>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</si>
  <si>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</si>
  <si>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</si>
  <si>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</si>
  <si>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</si>
  <si>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</si>
  <si>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</si>
  <si>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</si>
  <si>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</si>
  <si>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</si>
  <si>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</si>
  <si>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</si>
  <si>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</si>
  <si>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</si>
  <si>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</si>
  <si>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</si>
  <si>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</si>
  <si>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</si>
  <si>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</si>
  <si>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</si>
  <si>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</si>
  <si>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</si>
  <si>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</si>
  <si>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</si>
  <si>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</si>
  <si>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</si>
  <si>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</si>
  <si>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</si>
  <si>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</si>
  <si>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</si>
  <si>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</si>
  <si>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</si>
  <si>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</si>
  <si>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</si>
  <si>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</si>
  <si>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</si>
  <si>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</si>
  <si>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</si>
  <si>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</si>
  <si>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</si>
  <si>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</si>
  <si>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</si>
  <si>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</si>
  <si>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</si>
  <si>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</si>
  <si>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</si>
  <si>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</si>
  <si>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</si>
  <si>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</si>
  <si>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</si>
  <si>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</si>
  <si>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</si>
  <si>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</si>
  <si>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</si>
  <si>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</si>
  <si>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</si>
  <si>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</si>
  <si>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</si>
  <si>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</si>
  <si>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</si>
  <si>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</si>
  <si>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</si>
  <si>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</si>
  <si>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</si>
  <si>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</si>
  <si>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</si>
  <si>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</si>
  <si>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</si>
  <si>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</si>
  <si>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</si>
  <si>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</si>
  <si>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</si>
  <si>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</si>
  <si>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</si>
  <si>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</si>
  <si>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</si>
  <si>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</si>
  <si>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</si>
  <si>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</si>
  <si>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</si>
  <si>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</si>
  <si>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</si>
  <si>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</si>
  <si>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</si>
  <si>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</si>
  <si>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</si>
  <si>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</si>
  <si>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</si>
  <si>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</si>
  <si>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</si>
  <si>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</si>
  <si>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</si>
  <si>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</si>
  <si>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</si>
  <si>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</si>
  <si>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</si>
  <si>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</si>
  <si>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</si>
  <si>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</si>
  <si>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</si>
  <si>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</si>
  <si>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</si>
  <si>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</si>
  <si>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</si>
  <si>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</si>
  <si>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</si>
  <si>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</si>
  <si>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</si>
  <si>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</si>
  <si>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</si>
  <si>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</si>
  <si>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</si>
  <si>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</si>
  <si>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</si>
  <si>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</si>
  <si>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</si>
  <si>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</si>
  <si>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</si>
  <si>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</si>
  <si>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</si>
  <si>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</si>
  <si>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</si>
  <si>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</si>
  <si>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</si>
  <si>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</si>
  <si>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</si>
  <si>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</si>
  <si>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</si>
  <si>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</si>
  <si>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</si>
  <si>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</si>
  <si>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</si>
  <si>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</si>
  <si>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</si>
  <si>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</si>
  <si>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</si>
  <si>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</si>
  <si>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</si>
  <si>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</si>
  <si>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</si>
  <si>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</si>
  <si>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</si>
  <si>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</si>
  <si>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</si>
  <si>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</si>
  <si>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</si>
  <si>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</si>
  <si>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</si>
  <si>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</si>
  <si>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</si>
  <si>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</si>
  <si>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</si>
  <si>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</si>
  <si>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</si>
  <si>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</si>
  <si>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</si>
  <si>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</si>
  <si>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</si>
  <si>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</si>
  <si>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</si>
  <si>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</si>
  <si>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</si>
  <si>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</si>
  <si>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</si>
  <si>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</si>
  <si>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</si>
  <si>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</si>
  <si>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</si>
  <si>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</si>
  <si>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</si>
  <si>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</si>
  <si>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</si>
  <si>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</si>
  <si>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</si>
  <si>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</si>
  <si>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</si>
  <si>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</si>
  <si>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</si>
  <si>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</si>
  <si>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</si>
  <si>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</si>
  <si>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</si>
  <si>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</si>
  <si>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</si>
  <si>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</si>
  <si>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</si>
  <si>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</si>
  <si>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</si>
  <si>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</si>
  <si>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</si>
  <si>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</si>
  <si>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</si>
  <si>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</si>
  <si>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</si>
  <si>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</si>
  <si>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</si>
  <si>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</si>
  <si>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</si>
  <si>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</si>
  <si>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</si>
  <si>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</si>
  <si>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</si>
  <si>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</si>
  <si>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</si>
  <si>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</si>
  <si>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</si>
  <si>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</si>
  <si>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</si>
  <si>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</si>
  <si>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</si>
  <si>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</si>
  <si>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</si>
  <si>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</si>
  <si>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</si>
  <si>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</si>
  <si>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</si>
  <si>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</si>
  <si>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</si>
  <si>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</si>
  <si>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</si>
  <si>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</si>
  <si>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</si>
  <si>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</si>
  <si>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</si>
  <si>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</si>
  <si>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</si>
  <si>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</si>
  <si>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</si>
  <si>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</si>
  <si>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</si>
  <si>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</si>
  <si>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</si>
  <si>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</si>
  <si>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</si>
  <si>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</si>
  <si>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</si>
  <si>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</si>
  <si>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</si>
  <si>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</si>
  <si>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</si>
  <si>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</si>
  <si>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</si>
  <si>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</si>
  <si>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</si>
  <si>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</si>
  <si>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</si>
  <si>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</si>
  <si>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</si>
  <si>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</si>
  <si>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</si>
  <si>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</si>
  <si>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</si>
  <si>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</si>
  <si>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</si>
  <si>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</si>
  <si>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</si>
  <si>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</si>
  <si>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</si>
  <si>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</si>
  <si>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</si>
  <si>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</si>
  <si>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</si>
  <si>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</si>
  <si>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</si>
  <si>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</si>
  <si>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</si>
  <si>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</si>
  <si>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</si>
  <si>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</si>
  <si>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</si>
  <si>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</si>
  <si>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</si>
  <si>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</si>
  <si>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</si>
  <si>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</si>
  <si>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</si>
  <si>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</si>
  <si>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</si>
  <si>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</si>
  <si>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</si>
  <si>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</si>
  <si>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</si>
  <si>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</si>
  <si>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</si>
  <si>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</si>
  <si>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</si>
  <si>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</si>
  <si>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</si>
  <si>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</si>
  <si>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</si>
  <si>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</si>
  <si>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</si>
  <si>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</si>
  <si>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</si>
  <si>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</si>
  <si>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</si>
  <si>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</si>
  <si>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</si>
  <si>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</si>
  <si>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</si>
  <si>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</si>
  <si>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</si>
  <si>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</si>
  <si>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</si>
  <si>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</si>
  <si>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</si>
  <si>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</si>
  <si>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</si>
  <si>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</si>
  <si>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</si>
  <si>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</si>
  <si>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</si>
  <si>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</si>
  <si>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</si>
  <si>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</si>
  <si>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</si>
  <si>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</si>
  <si>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</si>
  <si>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</si>
  <si>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</si>
  <si>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</si>
  <si>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</si>
  <si>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</si>
  <si>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</si>
  <si>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</si>
  <si>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</si>
  <si>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</si>
  <si>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</si>
  <si>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</si>
  <si>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</si>
  <si>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</si>
  <si>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</si>
  <si>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</si>
  <si>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</si>
  <si>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</si>
  <si>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</si>
  <si>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</si>
  <si>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</si>
  <si>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</si>
  <si>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</si>
  <si>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</si>
  <si>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</si>
  <si>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</si>
  <si>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</si>
  <si>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</si>
  <si>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</si>
  <si>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</si>
  <si>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</si>
  <si>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</si>
  <si>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</si>
  <si>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</si>
  <si>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</si>
  <si>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</si>
  <si>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</si>
  <si>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</si>
  <si>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</si>
  <si>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</si>
  <si>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</si>
  <si>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</si>
  <si>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</si>
  <si>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</si>
  <si>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</si>
  <si>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</si>
  <si>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</si>
  <si>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</si>
  <si>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</si>
  <si>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</si>
  <si>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</si>
  <si>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</si>
  <si>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</si>
  <si>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</si>
  <si>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</si>
  <si>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</si>
  <si>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</si>
  <si>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</si>
  <si>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</si>
  <si>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</si>
  <si>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</si>
  <si>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</si>
  <si>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</si>
  <si>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</si>
  <si>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</si>
  <si>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</si>
  <si>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</si>
  <si>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</si>
  <si>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</si>
  <si>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</si>
  <si>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</si>
  <si>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</si>
  <si>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</si>
  <si>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</si>
  <si>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</si>
  <si>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</si>
  <si>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</si>
  <si>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</si>
  <si>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</si>
  <si>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</si>
  <si>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</si>
  <si>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</si>
  <si>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</si>
  <si>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</si>
  <si>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</si>
  <si>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</si>
  <si>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</si>
  <si>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</si>
  <si>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</si>
  <si>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</si>
  <si>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</si>
  <si>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</si>
  <si>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</si>
  <si>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</si>
  <si>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</si>
  <si>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</si>
  <si>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</si>
  <si>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</si>
  <si>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</si>
  <si>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</si>
  <si>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</si>
  <si>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</si>
  <si>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</si>
  <si>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</si>
  <si>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</si>
  <si>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</si>
  <si>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</si>
  <si>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</si>
  <si>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</si>
  <si>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</si>
  <si>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</si>
  <si>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</si>
  <si>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</si>
  <si>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</si>
  <si>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</si>
  <si>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</si>
  <si>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</si>
  <si>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</si>
  <si>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</si>
  <si>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</si>
  <si>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</si>
  <si>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</si>
  <si>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</si>
  <si>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</si>
  <si>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</si>
  <si>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</si>
  <si>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</si>
  <si>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</si>
  <si>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</si>
  <si>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</si>
  <si>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</si>
  <si>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</si>
  <si>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</si>
  <si>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</si>
  <si>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</si>
  <si>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</si>
  <si>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</si>
  <si>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</si>
  <si>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</si>
  <si>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</si>
  <si>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</si>
  <si>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</si>
  <si>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</si>
  <si>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</si>
  <si>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</si>
  <si>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</si>
  <si>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</si>
  <si>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</si>
  <si>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</si>
  <si>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</si>
  <si>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</si>
  <si>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</si>
  <si>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</si>
  <si>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</si>
  <si>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</si>
  <si>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</si>
  <si>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</si>
  <si>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</si>
  <si>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</si>
  <si>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</si>
  <si>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</si>
  <si>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</si>
  <si>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</si>
  <si>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</si>
  <si>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</si>
  <si>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</si>
  <si>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</si>
  <si>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</si>
  <si>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</si>
  <si>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</si>
  <si>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</si>
  <si>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</si>
  <si>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</si>
  <si>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</si>
  <si>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</si>
  <si>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</si>
  <si>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</si>
  <si>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</si>
  <si>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</si>
  <si>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</si>
  <si>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</si>
  <si>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</si>
  <si>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</si>
  <si>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</si>
  <si>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</si>
  <si>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</si>
  <si>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</si>
  <si>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</si>
  <si>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</si>
  <si>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</si>
  <si>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</si>
  <si>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</si>
  <si>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</si>
  <si>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</si>
  <si>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</si>
  <si>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</si>
  <si>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</si>
  <si>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</si>
  <si>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</si>
  <si>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</si>
  <si>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</si>
  <si>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</si>
  <si>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</si>
  <si>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</si>
  <si>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</si>
  <si>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</si>
  <si>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</si>
  <si>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</si>
  <si>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</si>
  <si>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</si>
  <si>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</si>
  <si>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</si>
  <si>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</si>
  <si>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</si>
  <si>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</si>
  <si>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</si>
  <si>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</si>
  <si>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</si>
  <si>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</si>
  <si>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</si>
  <si>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</si>
  <si>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</si>
  <si>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</si>
  <si>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</si>
  <si>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</si>
  <si>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</si>
  <si>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</si>
  <si>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</si>
  <si>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</si>
  <si>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</si>
  <si>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</si>
  <si>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</si>
  <si>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</si>
  <si>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</si>
  <si>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</si>
  <si>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</si>
  <si>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</si>
  <si>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</si>
  <si>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</si>
  <si>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</si>
  <si>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</si>
  <si>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</si>
  <si>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</si>
  <si>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</si>
  <si>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</si>
  <si>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</si>
  <si>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</si>
  <si>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</si>
  <si>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</si>
  <si>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</si>
  <si>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</si>
  <si>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</si>
  <si>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</si>
  <si>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</si>
  <si>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</si>
  <si>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</si>
  <si>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</si>
  <si>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</si>
  <si>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</si>
  <si>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</si>
  <si>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</si>
  <si>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</si>
  <si>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</si>
  <si>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</si>
  <si>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</si>
  <si>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</si>
  <si>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</si>
  <si>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</si>
  <si>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</si>
  <si>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</si>
  <si>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</si>
  <si>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</si>
  <si>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</si>
  <si>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</si>
  <si>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</si>
  <si>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</si>
  <si>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</si>
  <si>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</si>
  <si>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</si>
  <si>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</si>
  <si>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</si>
  <si>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</si>
  <si>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</si>
  <si>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</si>
  <si>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</si>
  <si>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</si>
  <si>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</si>
  <si>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</si>
  <si>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</si>
  <si>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</si>
  <si>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</si>
  <si>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</si>
  <si>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</si>
  <si>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</si>
  <si>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</si>
  <si>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</si>
  <si>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</si>
  <si>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</si>
  <si>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</si>
  <si>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</si>
  <si>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</si>
  <si>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</si>
  <si>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</si>
  <si>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</si>
  <si>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</si>
  <si>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</si>
  <si>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</si>
  <si>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</si>
  <si>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</si>
  <si>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</si>
  <si>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</si>
  <si>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</si>
  <si>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</si>
  <si>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</si>
  <si>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</si>
  <si>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</si>
  <si>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</si>
  <si>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</si>
  <si>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</si>
  <si>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</si>
  <si>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</si>
  <si>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</si>
  <si>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</si>
  <si>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</si>
  <si>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</si>
  <si>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</si>
  <si>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</si>
  <si>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</si>
  <si>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</si>
  <si>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</si>
  <si>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</si>
  <si>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</si>
  <si>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</si>
  <si>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</si>
  <si>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</si>
  <si>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</si>
  <si>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</si>
  <si>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</si>
  <si>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</si>
  <si>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</si>
  <si>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</si>
  <si>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</si>
  <si>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</si>
  <si>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</si>
  <si>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</si>
  <si>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</si>
  <si>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</si>
  <si>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</si>
  <si>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</si>
  <si>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</si>
  <si>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</si>
  <si>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</si>
  <si>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</si>
  <si>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</si>
  <si>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</si>
  <si>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</si>
  <si>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</si>
  <si>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</si>
  <si>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</si>
  <si>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</si>
  <si>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</si>
  <si>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</si>
  <si>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</si>
  <si>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</si>
  <si>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</si>
  <si>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</si>
  <si>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</si>
  <si>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</si>
  <si>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</si>
  <si>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</si>
  <si>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</si>
  <si>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</si>
  <si>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</si>
  <si>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</si>
  <si>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</si>
  <si>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</si>
  <si>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</si>
  <si>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</si>
  <si>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</si>
  <si>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</si>
  <si>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</si>
  <si>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</si>
  <si>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</si>
  <si>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</si>
  <si>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</si>
  <si>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</si>
  <si>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</si>
  <si>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</si>
  <si>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</si>
  <si>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</si>
  <si>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</si>
  <si>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</si>
  <si>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</si>
  <si>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</si>
  <si>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</si>
  <si>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</si>
  <si>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</si>
  <si>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</si>
  <si>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</si>
  <si>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</si>
  <si>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</si>
  <si>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</si>
  <si>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</si>
  <si>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</si>
  <si>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</si>
  <si>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</si>
  <si>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</si>
  <si>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</si>
  <si>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</si>
  <si>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</si>
  <si>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</si>
  <si>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</si>
  <si>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</si>
  <si>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</si>
  <si>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</si>
  <si>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</si>
  <si>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</si>
  <si>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</si>
  <si>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</si>
  <si>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</si>
  <si>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</si>
  <si>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</si>
  <si>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</si>
  <si>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</si>
  <si>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</si>
  <si>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</si>
  <si>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</si>
  <si>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</si>
  <si>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</si>
  <si>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</si>
  <si>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</si>
  <si>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</si>
  <si>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</si>
  <si>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</si>
  <si>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</si>
  <si>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</si>
  <si>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</si>
  <si>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</si>
  <si>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</si>
  <si>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</si>
  <si>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</si>
  <si>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</si>
  <si>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</si>
  <si>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</si>
  <si>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</si>
  <si>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</si>
  <si>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</si>
  <si>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</si>
  <si>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</si>
  <si>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</si>
  <si>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</si>
  <si>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</si>
  <si>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</si>
  <si>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</si>
  <si>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</si>
  <si>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</si>
  <si>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</si>
  <si>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</si>
  <si>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</si>
  <si>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</si>
  <si>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</si>
  <si>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</si>
  <si>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</si>
  <si>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</si>
  <si>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</si>
  <si>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</si>
  <si>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</si>
  <si>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</si>
  <si>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</si>
  <si>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</si>
  <si>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</si>
  <si>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</si>
  <si>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</si>
  <si>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</si>
  <si>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</si>
  <si>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</si>
  <si>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</si>
  <si>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</si>
  <si>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</si>
  <si>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</si>
  <si>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</si>
  <si>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</si>
  <si>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</si>
  <si>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</si>
  <si>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</si>
  <si>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</si>
  <si>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</si>
  <si>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</si>
  <si>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</si>
  <si>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</si>
  <si>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</si>
  <si>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</si>
  <si>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</si>
  <si>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</si>
  <si>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</si>
  <si>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</si>
  <si>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</si>
  <si>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</si>
  <si>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</si>
  <si>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</si>
  <si>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</si>
  <si>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</si>
  <si>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</si>
  <si>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</si>
  <si>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</si>
  <si>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</si>
  <si>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</si>
  <si>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</si>
  <si>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</si>
  <si>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</si>
  <si>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</si>
  <si>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</si>
  <si>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</si>
  <si>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</si>
  <si>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</si>
  <si>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</si>
  <si>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</si>
  <si>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</si>
  <si>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</si>
  <si>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</si>
  <si>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</si>
  <si>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</si>
  <si>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</si>
  <si>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</si>
  <si>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</si>
  <si>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</si>
  <si>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</si>
  <si>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</si>
  <si>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</si>
  <si>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</si>
  <si>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</si>
  <si>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</si>
  <si>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</si>
  <si>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</si>
  <si>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</si>
  <si>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</si>
  <si>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</si>
  <si>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</si>
  <si>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</si>
  <si>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</si>
  <si>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</si>
  <si>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</si>
  <si>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</si>
  <si>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</si>
  <si>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</si>
  <si>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</si>
  <si>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</si>
  <si>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</si>
  <si>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</si>
  <si>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</si>
  <si>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</si>
  <si>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</si>
  <si>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</si>
  <si>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</si>
  <si>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</si>
  <si>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</si>
  <si>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</si>
  <si>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</si>
  <si>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</si>
  <si>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</si>
  <si>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</si>
  <si>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</si>
  <si>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</si>
  <si>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</si>
  <si>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</si>
  <si>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</si>
  <si>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</si>
  <si>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</si>
  <si>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</si>
  <si>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</si>
  <si>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</si>
  <si>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</si>
  <si>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</si>
  <si>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</si>
  <si>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</si>
  <si>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</si>
  <si>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</si>
  <si>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</si>
  <si>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</si>
  <si>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</si>
  <si>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</si>
  <si>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</si>
  <si>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</si>
  <si>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</si>
  <si>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</si>
  <si>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</si>
  <si>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</si>
  <si>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</si>
  <si>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</si>
  <si>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</si>
  <si>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</si>
  <si>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</si>
  <si>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</si>
  <si>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</si>
  <si>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</si>
  <si>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</si>
  <si>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</si>
  <si>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</si>
  <si>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</si>
  <si>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</si>
  <si>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</si>
  <si>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</si>
  <si>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</si>
  <si>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</si>
  <si>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</si>
  <si>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</si>
  <si>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</si>
  <si>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</si>
  <si>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</si>
  <si>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</si>
  <si>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</si>
  <si>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</si>
  <si>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</si>
  <si>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</si>
  <si>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</si>
  <si>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</si>
  <si>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</si>
  <si>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</si>
  <si>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</si>
  <si>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</si>
  <si>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</si>
  <si>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</si>
  <si>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</si>
  <si>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</si>
  <si>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</si>
  <si>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</si>
  <si>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</si>
  <si>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</si>
  <si>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</si>
  <si>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</si>
  <si>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</si>
  <si>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</si>
  <si>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</si>
  <si>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</si>
  <si>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</si>
  <si>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</si>
  <si>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</si>
  <si>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</si>
  <si>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</si>
  <si>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</si>
  <si>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</si>
  <si>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</si>
  <si>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</si>
  <si>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</si>
  <si>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</si>
  <si>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</si>
  <si>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</si>
  <si>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</si>
  <si>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</si>
  <si>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</si>
  <si>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</si>
  <si>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</si>
  <si>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</si>
  <si>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</si>
  <si>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</si>
  <si>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</si>
  <si>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</si>
  <si>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</si>
  <si>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</si>
  <si>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</si>
  <si>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</si>
  <si>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</si>
  <si>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</si>
  <si>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</si>
  <si>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</si>
  <si>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</si>
  <si>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</si>
  <si>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</si>
  <si>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</si>
  <si>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</si>
  <si>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</si>
  <si>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</si>
  <si>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</si>
  <si>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</si>
  <si>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</si>
  <si>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</si>
  <si>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</si>
  <si>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</si>
  <si>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</si>
  <si>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</si>
  <si>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</si>
  <si>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</si>
  <si>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</si>
  <si>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</si>
  <si>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</si>
  <si>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</si>
  <si>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</si>
  <si>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</si>
  <si>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</si>
  <si>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</si>
  <si>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</si>
  <si>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</si>
  <si>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</si>
  <si>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</si>
  <si>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</si>
  <si>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</si>
  <si>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</si>
  <si>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</si>
  <si>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</si>
  <si>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</si>
  <si>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</si>
  <si>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</si>
  <si>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</si>
  <si>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</si>
  <si>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</si>
  <si>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</si>
  <si>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</si>
  <si>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</si>
  <si>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</si>
  <si>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</si>
  <si>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</si>
  <si>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</si>
  <si>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</si>
  <si>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</si>
  <si>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</si>
  <si>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</si>
  <si>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</si>
  <si>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</si>
  <si>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</si>
  <si>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</si>
  <si>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</si>
  <si>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</si>
  <si>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</si>
  <si>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</si>
  <si>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</si>
  <si>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</si>
  <si>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</si>
  <si>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</si>
  <si>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</si>
  <si>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</si>
  <si>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</si>
  <si>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</si>
  <si>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</si>
  <si>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</si>
  <si>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</si>
  <si>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</si>
  <si>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</si>
  <si>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</si>
  <si>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</si>
  <si>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</si>
  <si>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</si>
  <si>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</si>
  <si>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</si>
  <si>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</si>
  <si>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</si>
  <si>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</si>
  <si>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</si>
  <si>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</si>
  <si>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</si>
  <si>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</si>
  <si>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</si>
  <si>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</si>
  <si>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</si>
  <si>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</si>
  <si>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</si>
  <si>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</si>
  <si>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</si>
  <si>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</si>
  <si>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</si>
  <si>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</si>
  <si>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</si>
  <si>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</si>
  <si>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</si>
  <si>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</si>
  <si>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</si>
  <si>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</si>
  <si>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</si>
  <si>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</si>
  <si>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</si>
  <si>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</si>
  <si>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</si>
  <si>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</si>
  <si>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</si>
  <si>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</si>
  <si>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</si>
  <si>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</si>
  <si>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</si>
  <si>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</si>
  <si>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</si>
  <si>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</si>
  <si>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</si>
  <si>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</si>
  <si>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</si>
  <si>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</si>
  <si>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</si>
  <si>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</si>
  <si>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</si>
  <si>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</si>
  <si>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</si>
  <si>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</si>
  <si>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</si>
  <si>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</si>
  <si>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</si>
  <si>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</si>
  <si>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</si>
  <si>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</si>
  <si>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</si>
  <si>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</si>
  <si>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</si>
  <si>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</si>
  <si>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</si>
  <si>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</si>
  <si>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</si>
  <si>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</si>
  <si>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</si>
  <si>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</si>
  <si>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</si>
  <si>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</si>
  <si>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</si>
  <si>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</si>
  <si>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</si>
  <si>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</si>
  <si>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</si>
  <si>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</si>
  <si>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</si>
  <si>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</si>
  <si>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</si>
  <si>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</si>
  <si>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</si>
  <si>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</si>
  <si>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</si>
  <si>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</si>
  <si>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</si>
  <si>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</si>
  <si>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</si>
  <si>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</si>
  <si>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</si>
  <si>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</si>
  <si>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</si>
  <si>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</si>
  <si>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</si>
  <si>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</si>
  <si>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</si>
  <si>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</si>
  <si>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</si>
  <si>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</si>
  <si>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</si>
  <si>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</si>
  <si>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</si>
  <si>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</si>
  <si>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</si>
  <si>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</si>
  <si>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</si>
  <si>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</si>
  <si>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</si>
  <si>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</si>
  <si>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</si>
  <si>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</si>
  <si>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</si>
  <si>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</si>
  <si>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</si>
  <si>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</si>
  <si>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</si>
  <si>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</si>
  <si>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</si>
  <si>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</si>
  <si>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</si>
  <si>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</si>
  <si>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</si>
  <si>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</si>
  <si>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</si>
  <si>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</si>
  <si>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</si>
  <si>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</si>
  <si>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</si>
  <si>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</si>
  <si>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</si>
  <si>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</si>
  <si>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</si>
  <si>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</si>
  <si>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</si>
  <si>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</si>
  <si>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</si>
  <si>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</si>
  <si>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</si>
  <si>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</si>
  <si>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</si>
  <si>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</si>
  <si>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</si>
  <si>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</si>
  <si>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</si>
  <si>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</si>
  <si>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</si>
  <si>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</si>
  <si>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</si>
  <si>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</si>
  <si>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</si>
  <si>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</si>
  <si>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</si>
  <si>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</si>
  <si>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</si>
  <si>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</si>
  <si>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</si>
  <si>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</si>
  <si>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</si>
  <si>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</si>
  <si>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</si>
  <si>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</si>
  <si>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</si>
  <si>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</si>
  <si>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</si>
  <si>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</si>
  <si>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</si>
  <si>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</si>
  <si>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</si>
  <si>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</si>
  <si>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</si>
  <si>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</si>
  <si>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</si>
  <si>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</si>
  <si>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</si>
  <si>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</si>
  <si>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</si>
  <si>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</si>
  <si>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</si>
  <si>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</si>
  <si>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</si>
  <si>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</si>
  <si>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</si>
  <si>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</si>
  <si>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</si>
  <si>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</si>
  <si>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</si>
  <si>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</si>
  <si>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</si>
  <si>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</si>
  <si>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</si>
  <si>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</si>
  <si>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</si>
  <si>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</si>
  <si>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</si>
  <si>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</si>
  <si>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</si>
  <si>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</si>
  <si>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</si>
  <si>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</si>
  <si>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</si>
  <si>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</si>
  <si>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</si>
  <si>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</si>
  <si>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</si>
  <si>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</si>
  <si>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</si>
  <si>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</si>
  <si>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</si>
  <si>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</si>
  <si>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</si>
  <si>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</si>
  <si>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</si>
  <si>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</si>
  <si>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</si>
  <si>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</si>
  <si>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</si>
  <si>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</si>
  <si>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</si>
  <si>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</si>
  <si>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</si>
  <si>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</si>
  <si>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</si>
  <si>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</si>
  <si>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</si>
  <si>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</si>
  <si>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</si>
  <si>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</si>
  <si>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</si>
  <si>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</si>
  <si>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</si>
  <si>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</si>
  <si>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</si>
  <si>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</si>
  <si>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</si>
  <si>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</si>
  <si>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</si>
  <si>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</si>
  <si>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</si>
  <si>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</si>
  <si>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</si>
  <si>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</si>
  <si>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</si>
  <si>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</si>
  <si>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</si>
  <si>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</si>
  <si>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</si>
  <si>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</si>
  <si>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</si>
  <si>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</si>
  <si>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</si>
  <si>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</si>
  <si>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</si>
  <si>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</si>
  <si>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</si>
  <si>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</si>
  <si>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</si>
  <si>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</si>
  <si>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</si>
  <si>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</si>
  <si>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</si>
  <si>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</si>
  <si>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</si>
  <si>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</si>
  <si>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</si>
  <si>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</si>
  <si>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</si>
  <si>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</si>
  <si>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</si>
  <si>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</si>
  <si>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</si>
  <si>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</si>
  <si>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</si>
  <si>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</si>
  <si>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</si>
  <si>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</si>
  <si>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</si>
  <si>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</si>
  <si>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</si>
  <si>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</si>
  <si>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</si>
  <si>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</si>
  <si>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</si>
  <si>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</si>
  <si>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</si>
  <si>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</si>
  <si>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</si>
  <si>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</si>
  <si>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</si>
  <si>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</si>
  <si>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</si>
  <si>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</si>
  <si>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</si>
  <si>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</si>
  <si>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</si>
  <si>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</si>
  <si>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</si>
  <si>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</si>
  <si>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</si>
  <si>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</si>
  <si>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</si>
  <si>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</si>
  <si>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</si>
  <si>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</si>
  <si>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</si>
  <si>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</si>
  <si>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</si>
  <si>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</si>
  <si>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</si>
  <si>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</si>
  <si>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</si>
  <si>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</si>
  <si>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</si>
  <si>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</si>
  <si>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</si>
  <si>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</si>
  <si>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</si>
  <si>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</si>
  <si>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</si>
  <si>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</si>
  <si>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</si>
  <si>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</si>
  <si>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</si>
  <si>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</si>
  <si>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</si>
  <si>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</si>
  <si>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</si>
  <si>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</si>
  <si>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</si>
  <si>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</si>
  <si>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</si>
  <si>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</si>
  <si>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</si>
  <si>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</si>
  <si>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</si>
  <si>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</si>
  <si>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</si>
  <si>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</si>
  <si>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</si>
  <si>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</si>
  <si>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</si>
  <si>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</si>
  <si>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</si>
  <si>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</si>
  <si>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</si>
  <si>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</si>
  <si>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</si>
  <si>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</si>
  <si>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</si>
  <si>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</si>
  <si>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</si>
  <si>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</si>
  <si>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</si>
  <si>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</si>
  <si>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</si>
  <si>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</si>
  <si>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</si>
  <si>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</si>
  <si>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</si>
  <si>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</si>
  <si>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</si>
  <si>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</si>
  <si>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</si>
  <si>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</si>
  <si>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</si>
  <si>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</si>
  <si>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</si>
  <si>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</si>
  <si>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</si>
  <si>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</si>
  <si>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</si>
  <si>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</si>
  <si>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</si>
  <si>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</si>
  <si>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</si>
  <si>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</si>
  <si>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</si>
  <si>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</si>
  <si>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</si>
  <si>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</si>
  <si>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</si>
  <si>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</si>
  <si>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</si>
  <si>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</si>
  <si>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</si>
  <si>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</si>
  <si>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</si>
  <si>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</si>
  <si>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</si>
  <si>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</si>
  <si>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</si>
  <si>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</si>
  <si>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</si>
  <si>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</si>
  <si>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</si>
  <si>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</si>
  <si>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</si>
  <si>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</si>
  <si>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</si>
  <si>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</si>
  <si>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</si>
  <si>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</si>
  <si>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</si>
  <si>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</si>
  <si>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</si>
  <si>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</si>
  <si>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</si>
  <si>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</si>
  <si>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</si>
  <si>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</si>
  <si>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</si>
  <si>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</si>
  <si>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</si>
  <si>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</si>
  <si>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</si>
  <si>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</si>
  <si>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</si>
  <si>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</si>
  <si>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</si>
  <si>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</si>
  <si>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</si>
  <si>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</si>
  <si>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</si>
  <si>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</si>
  <si>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</si>
  <si>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</si>
  <si>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</si>
  <si>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</si>
  <si>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</si>
  <si>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</si>
  <si>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</si>
  <si>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</si>
  <si>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</si>
  <si>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</si>
  <si>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</si>
  <si>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</si>
  <si>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</si>
  <si>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</si>
  <si>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</si>
  <si>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</si>
  <si>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</si>
  <si>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</si>
  <si>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</si>
  <si>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</si>
  <si>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</si>
  <si>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</si>
  <si>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</si>
  <si>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</si>
  <si>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</si>
  <si>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</si>
  <si>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</si>
  <si>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</si>
  <si>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</si>
  <si>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</si>
  <si>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</si>
  <si>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</si>
  <si>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</si>
  <si>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</si>
  <si>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</si>
  <si>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</si>
  <si>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</si>
  <si>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</si>
  <si>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</si>
  <si>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</si>
  <si>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</si>
  <si>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</si>
  <si>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</si>
  <si>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</si>
  <si>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</si>
  <si>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</si>
  <si>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</si>
  <si>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</si>
  <si>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</si>
  <si>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</si>
  <si>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</si>
  <si>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</si>
  <si>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</si>
  <si>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</si>
  <si>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</si>
  <si>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</si>
  <si>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</si>
  <si>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</si>
  <si>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</si>
  <si>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</si>
  <si>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</si>
  <si>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</si>
  <si>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</si>
  <si>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</si>
  <si>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</si>
  <si>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</si>
  <si>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</si>
  <si>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</si>
  <si>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</si>
  <si>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</si>
  <si>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</si>
  <si>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</si>
  <si>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</si>
  <si>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</si>
  <si>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</si>
  <si>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</si>
  <si>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</si>
  <si>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</si>
  <si>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</si>
  <si>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</si>
  <si>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</si>
  <si>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</si>
  <si>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</si>
  <si>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</si>
  <si>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</si>
  <si>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</si>
  <si>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</si>
  <si>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</si>
  <si>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</si>
  <si>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</si>
  <si>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</si>
  <si>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</si>
  <si>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</si>
  <si>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</si>
  <si>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</si>
  <si>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</si>
  <si>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</si>
  <si>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</si>
  <si>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</si>
  <si>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</si>
  <si>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</si>
  <si>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</si>
  <si>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</si>
  <si>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</si>
  <si>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</si>
  <si>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</si>
  <si>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</si>
  <si>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</si>
  <si>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</si>
  <si>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</si>
  <si>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</si>
  <si>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</si>
  <si>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</si>
  <si>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</si>
  <si>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</si>
  <si>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</si>
  <si>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</si>
  <si>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</si>
  <si>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</si>
  <si>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</si>
  <si>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</si>
  <si>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</si>
  <si>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</si>
  <si>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</si>
  <si>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</si>
  <si>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</si>
  <si>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</si>
  <si>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</si>
  <si>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</si>
  <si>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</si>
  <si>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</si>
  <si>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</si>
  <si>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</si>
  <si>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</si>
  <si>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</si>
  <si>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</si>
  <si>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</si>
  <si>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</si>
  <si>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</si>
  <si>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</si>
  <si>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</si>
  <si>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</si>
  <si>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</si>
  <si>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</si>
  <si>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</si>
  <si>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</si>
  <si>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</si>
  <si>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</si>
  <si>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</si>
  <si>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</si>
  <si>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</si>
  <si>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</si>
  <si>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</si>
  <si>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</si>
  <si>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</si>
  <si>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</si>
  <si>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</si>
  <si>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</si>
  <si>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</si>
  <si>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</si>
  <si>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</si>
  <si>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</si>
  <si>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</si>
  <si>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</si>
  <si>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</si>
  <si>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</si>
  <si>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</si>
  <si>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</si>
  <si>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</si>
  <si>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</si>
  <si>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</si>
  <si>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</si>
  <si>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</si>
  <si>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</si>
  <si>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</si>
  <si>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</si>
  <si>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</si>
  <si>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</si>
  <si>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</si>
  <si>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</si>
  <si>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</si>
  <si>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</si>
  <si>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</si>
  <si>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</si>
  <si>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</si>
  <si>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</si>
  <si>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</si>
  <si>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</si>
  <si>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</si>
  <si>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</si>
  <si>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</si>
  <si>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</si>
  <si>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</si>
  <si>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</si>
  <si>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</si>
  <si>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</si>
  <si>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</si>
  <si>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</si>
  <si>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</si>
  <si>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</si>
  <si>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</si>
  <si>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</si>
  <si>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</si>
  <si>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</si>
  <si>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</si>
  <si>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</si>
  <si>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</si>
  <si>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</si>
  <si>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</si>
  <si>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</si>
  <si>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</si>
  <si>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</si>
  <si>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</si>
  <si>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</si>
  <si>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</si>
  <si>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</si>
  <si>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</si>
  <si>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</si>
  <si>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</si>
  <si>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</si>
  <si>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</si>
  <si>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</si>
  <si>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</si>
  <si>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</si>
  <si>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</si>
  <si>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</si>
  <si>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</si>
  <si>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</si>
  <si>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</si>
  <si>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</si>
  <si>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</si>
  <si>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</si>
  <si>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</si>
  <si>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</si>
  <si>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</si>
  <si>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</si>
  <si>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</si>
  <si>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</si>
  <si>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</si>
  <si>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</si>
  <si>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</si>
  <si>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</si>
  <si>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</si>
  <si>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</si>
  <si>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</si>
  <si>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</si>
  <si>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</si>
  <si>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</si>
  <si>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</si>
  <si>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</si>
  <si>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</si>
  <si>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</si>
  <si>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</si>
  <si>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</si>
  <si>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</si>
  <si>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</si>
  <si>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</si>
  <si>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</si>
  <si>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</si>
  <si>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</si>
  <si>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</si>
  <si>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</si>
  <si>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</si>
  <si>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</si>
  <si>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</si>
  <si>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</si>
  <si>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</si>
  <si>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</si>
  <si>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</si>
  <si>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</si>
  <si>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</si>
  <si>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</si>
  <si>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</si>
  <si>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</si>
  <si>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</si>
  <si>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</si>
  <si>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</si>
  <si>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</si>
  <si>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</si>
  <si>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</si>
  <si>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</si>
  <si>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</si>
  <si>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</si>
  <si>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</si>
  <si>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</si>
  <si>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</si>
  <si>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</si>
  <si>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</si>
  <si>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</si>
  <si>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</si>
  <si>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</si>
  <si>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</si>
  <si>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</si>
  <si>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</si>
  <si>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</si>
  <si>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</si>
  <si>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</si>
  <si>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</si>
  <si>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</si>
  <si>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</si>
  <si>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</si>
  <si>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</si>
  <si>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</si>
  <si>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</si>
  <si>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</si>
  <si>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</si>
  <si>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</si>
  <si>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</si>
  <si>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</si>
  <si>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</si>
  <si>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</si>
  <si>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</si>
  <si>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</si>
  <si>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</si>
  <si>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</si>
  <si>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</si>
  <si>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</si>
  <si>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</si>
  <si>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</si>
  <si>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</si>
  <si>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</si>
  <si>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</si>
  <si>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</si>
  <si>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</si>
  <si>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</si>
  <si>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</si>
  <si>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</si>
  <si>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</si>
  <si>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</si>
  <si>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</si>
  <si>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</si>
  <si>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</si>
  <si>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</si>
  <si>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</si>
  <si>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</si>
  <si>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</si>
  <si>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</si>
  <si>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</si>
  <si>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</si>
  <si>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</si>
  <si>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</si>
  <si>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</si>
  <si>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</si>
  <si>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</si>
  <si>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</si>
  <si>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</si>
  <si>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</si>
  <si>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</si>
  <si>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</si>
  <si>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</si>
  <si>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</si>
  <si>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</si>
  <si>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</si>
  <si>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</si>
  <si>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</si>
  <si>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</si>
  <si>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</si>
  <si>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</si>
  <si>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</si>
  <si>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</si>
  <si>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</si>
  <si>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</si>
  <si>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</si>
  <si>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</si>
  <si>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</si>
  <si>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</si>
  <si>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</si>
  <si>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</si>
  <si>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</si>
  <si>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</si>
  <si>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</si>
  <si>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</si>
  <si>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</si>
  <si>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</si>
  <si>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</si>
  <si>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</si>
  <si>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</si>
  <si>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</si>
  <si>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</si>
  <si>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</si>
  <si>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</si>
  <si>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</si>
  <si>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</si>
  <si>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</si>
  <si>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</si>
  <si>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</si>
  <si>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</si>
  <si>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</si>
  <si>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</si>
  <si>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</si>
  <si>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</si>
  <si>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</si>
  <si>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</si>
  <si>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</si>
  <si>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</si>
  <si>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</si>
  <si>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</si>
  <si>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</si>
  <si>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</si>
  <si>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</si>
  <si>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</si>
  <si>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</si>
  <si>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</si>
  <si>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</si>
  <si>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</si>
  <si>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</si>
  <si>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</si>
  <si>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</si>
  <si>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</si>
  <si>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</si>
  <si>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</si>
  <si>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</si>
  <si>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</si>
  <si>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</si>
  <si>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</si>
  <si>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</si>
  <si>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</si>
  <si>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</si>
  <si>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</si>
  <si>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</si>
  <si>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</si>
  <si>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</si>
  <si>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</si>
  <si>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</si>
  <si>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</si>
  <si>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</si>
  <si>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</si>
  <si>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</si>
  <si>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</si>
  <si>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</si>
  <si>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</si>
  <si>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</si>
  <si>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</si>
  <si>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</si>
  <si>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</si>
  <si>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</si>
  <si>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</si>
  <si>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</si>
  <si>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</si>
  <si>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</si>
  <si>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</si>
  <si>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</si>
  <si>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</si>
  <si>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</si>
  <si>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</si>
  <si>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</si>
  <si>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</si>
  <si>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</si>
  <si>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</si>
  <si>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</si>
  <si>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</si>
  <si>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</si>
  <si>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</si>
  <si>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</si>
  <si>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</si>
  <si>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</si>
  <si>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</si>
  <si>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</si>
  <si>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</si>
  <si>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</si>
  <si>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</si>
  <si>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</si>
  <si>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</si>
  <si>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</si>
  <si>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</si>
  <si>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</si>
  <si>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</si>
  <si>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</si>
  <si>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</si>
  <si>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</si>
  <si>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</si>
  <si>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</si>
  <si>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</si>
  <si>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</si>
  <si>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</si>
  <si>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</si>
  <si>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</si>
  <si>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</si>
  <si>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</si>
  <si>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</si>
  <si>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</si>
  <si>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</si>
  <si>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</si>
  <si>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</si>
  <si>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</si>
  <si>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</si>
  <si>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</si>
  <si>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</si>
  <si>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</si>
  <si>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</si>
  <si>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</si>
  <si>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</si>
  <si>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</si>
  <si>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</si>
  <si>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</si>
  <si>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</si>
  <si>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</si>
  <si>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</si>
  <si>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</si>
  <si>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</si>
  <si>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</si>
  <si>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</si>
  <si>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</si>
  <si>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</si>
  <si>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</si>
  <si>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</si>
  <si>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</si>
  <si>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</si>
  <si>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</si>
  <si>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</si>
  <si>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</si>
  <si>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</si>
  <si>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</si>
  <si>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</si>
  <si>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</si>
  <si>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</si>
  <si>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</si>
  <si>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</si>
  <si>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</si>
  <si>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</si>
  <si>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</si>
  <si>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</si>
  <si>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</si>
  <si>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</si>
  <si>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</si>
  <si>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</si>
  <si>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</si>
  <si>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</si>
  <si>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</si>
  <si>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</si>
  <si>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</si>
  <si>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</si>
  <si>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</si>
  <si>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</si>
  <si>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</si>
  <si>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</si>
  <si>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</si>
  <si>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</si>
  <si>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</si>
  <si>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</si>
  <si>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</si>
  <si>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</si>
  <si>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</si>
  <si>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</si>
  <si>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</si>
  <si>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</si>
  <si>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</si>
  <si>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</si>
  <si>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</si>
  <si>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</si>
  <si>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</si>
  <si>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</si>
  <si>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</si>
  <si>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</si>
  <si>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</si>
  <si>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</si>
  <si>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</si>
  <si>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</si>
  <si>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</si>
  <si>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</si>
  <si>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</si>
  <si>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</si>
  <si>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</si>
  <si>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</si>
  <si>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</si>
  <si>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</si>
  <si>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</si>
  <si>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</si>
  <si>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</si>
  <si>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</si>
  <si>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</si>
  <si>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</si>
  <si>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</si>
  <si>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</si>
  <si>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</si>
  <si>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</si>
  <si>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</si>
  <si>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</si>
  <si>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</si>
  <si>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</si>
  <si>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</si>
  <si>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</si>
  <si>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</si>
  <si>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</si>
  <si>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</si>
  <si>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</si>
  <si>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</si>
  <si>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</si>
  <si>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</si>
  <si>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</si>
  <si>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</si>
  <si>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</si>
  <si>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</si>
  <si>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</si>
  <si>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</si>
  <si>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</si>
  <si>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</si>
  <si>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</si>
  <si>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</si>
  <si>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</si>
  <si>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</si>
  <si>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</si>
  <si>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</si>
  <si>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</si>
  <si>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</si>
  <si>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</si>
  <si>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</si>
  <si>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</si>
  <si>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</si>
  <si>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</si>
  <si>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</si>
  <si>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</si>
  <si>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</si>
  <si>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</si>
  <si>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</si>
  <si>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</si>
  <si>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</si>
  <si>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</si>
  <si>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</si>
  <si>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</si>
  <si>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</si>
  <si>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</si>
  <si>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</si>
  <si>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</si>
  <si>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</si>
  <si>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</si>
  <si>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</si>
  <si>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</si>
  <si>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</si>
  <si>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</si>
  <si>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</si>
  <si>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</si>
  <si>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</si>
  <si>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</si>
  <si>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</si>
  <si>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</si>
  <si>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</si>
  <si>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</si>
  <si>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</si>
  <si>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</si>
  <si>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</si>
  <si>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</si>
  <si>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</si>
  <si>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</si>
  <si>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</si>
  <si>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</si>
  <si>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</si>
  <si>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</si>
  <si>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</si>
  <si>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</si>
  <si>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</si>
  <si>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</si>
  <si>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</si>
  <si>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</si>
  <si>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</si>
  <si>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</si>
  <si>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</si>
  <si>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</si>
  <si>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</si>
  <si>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</si>
  <si>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</si>
  <si>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</si>
  <si>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</si>
  <si>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</si>
  <si>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</si>
  <si>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</si>
  <si>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</si>
  <si>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</si>
  <si>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</si>
  <si>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</si>
  <si>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</si>
  <si>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</si>
  <si>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</si>
  <si>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</si>
  <si>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</si>
  <si>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</si>
  <si>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</si>
  <si>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</si>
  <si>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</si>
  <si>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</si>
  <si>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</si>
  <si>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</si>
  <si>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</si>
  <si>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</si>
  <si>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</si>
  <si>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</si>
  <si>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</si>
  <si>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</si>
  <si>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</si>
  <si>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</si>
  <si>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</si>
  <si>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</si>
  <si>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</si>
  <si>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</si>
  <si>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</si>
  <si>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</si>
  <si>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</si>
  <si>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</si>
  <si>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</si>
  <si>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</si>
  <si>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</si>
  <si>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</si>
  <si>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</si>
  <si>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</si>
  <si>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</si>
  <si>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</si>
  <si>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</si>
  <si>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</si>
  <si>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</si>
  <si>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</si>
  <si>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</si>
  <si>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</si>
  <si>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</si>
  <si>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</si>
  <si>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</si>
  <si>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</si>
  <si>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</si>
  <si>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</si>
  <si>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</si>
  <si>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</si>
  <si>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</si>
  <si>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</si>
  <si>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</si>
  <si>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</si>
  <si>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</si>
  <si>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</si>
  <si>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</si>
  <si>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</si>
  <si>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</si>
  <si>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</si>
  <si>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</si>
  <si>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</si>
  <si>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</si>
  <si>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</si>
  <si>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</si>
  <si>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</si>
  <si>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</si>
  <si>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</si>
  <si>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</si>
  <si>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</si>
  <si>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</si>
  <si>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</si>
  <si>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</si>
  <si>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</si>
  <si>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</si>
  <si>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</si>
  <si>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</si>
  <si>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</si>
  <si>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</si>
  <si>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</si>
  <si>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</si>
  <si>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</si>
  <si>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</si>
  <si>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</si>
  <si>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</si>
  <si>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</si>
  <si>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</si>
  <si>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</si>
  <si>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</si>
  <si>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</si>
  <si>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</si>
  <si>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</si>
  <si>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</si>
  <si>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</si>
  <si>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</si>
  <si>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</si>
  <si>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</si>
  <si>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</si>
  <si>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</si>
  <si>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</si>
  <si>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</si>
  <si>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</si>
  <si>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</si>
  <si>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</si>
  <si>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</si>
  <si>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</si>
  <si>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</si>
  <si>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</si>
  <si>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</si>
  <si>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</si>
  <si>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</si>
  <si>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</si>
  <si>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</si>
  <si>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</si>
  <si>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</si>
  <si>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</si>
  <si>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</si>
  <si>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</si>
  <si>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</si>
  <si>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</si>
  <si>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</si>
  <si>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</si>
  <si>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</si>
  <si>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</si>
  <si>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</si>
  <si>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</si>
  <si>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</si>
  <si>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</si>
  <si>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</si>
  <si>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</si>
  <si>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</si>
  <si>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</si>
  <si>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</si>
  <si>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</si>
  <si>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</si>
  <si>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</si>
  <si>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</si>
  <si>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</si>
  <si>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</si>
  <si>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</si>
  <si>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</si>
  <si>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</si>
  <si>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</si>
  <si>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</si>
  <si>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</si>
  <si>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</si>
  <si>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</si>
  <si>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</si>
  <si>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</si>
  <si>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</si>
  <si>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</si>
  <si>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</si>
  <si>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</si>
  <si>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</si>
  <si>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</si>
  <si>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</si>
  <si>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</si>
  <si>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</si>
  <si>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</si>
  <si>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</si>
  <si>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</si>
  <si>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</si>
  <si>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</si>
  <si>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</si>
  <si>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</si>
  <si>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</si>
  <si>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</si>
  <si>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</si>
  <si>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</si>
  <si>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</si>
  <si>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</si>
  <si>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</si>
  <si>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</si>
  <si>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</si>
  <si>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</si>
  <si>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</si>
  <si>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</si>
  <si>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</si>
  <si>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</si>
  <si>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</si>
  <si>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</si>
  <si>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</si>
  <si>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</si>
  <si>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</si>
  <si>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</si>
  <si>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</si>
  <si>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</si>
  <si>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</si>
  <si>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</si>
  <si>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</si>
  <si>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</si>
  <si>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</si>
  <si>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</si>
  <si>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</si>
  <si>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</si>
  <si>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</si>
  <si>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</si>
  <si>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</si>
  <si>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</si>
  <si>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</si>
  <si>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</si>
  <si>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</si>
  <si>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</si>
  <si>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</si>
  <si>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</si>
  <si>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</si>
  <si>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</si>
  <si>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</si>
  <si>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</si>
  <si>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</si>
  <si>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</si>
  <si>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</si>
  <si>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</si>
  <si>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</si>
  <si>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</si>
  <si>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</si>
  <si>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</si>
  <si>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</si>
  <si>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</si>
  <si>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</si>
  <si>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</si>
  <si>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</si>
  <si>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</si>
  <si>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</si>
  <si>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</si>
  <si>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</si>
  <si>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</si>
  <si>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</si>
  <si>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</si>
  <si>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</si>
  <si>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</si>
  <si>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</si>
  <si>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</si>
  <si>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</si>
  <si>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</si>
  <si>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</si>
  <si>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</si>
  <si>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</si>
  <si>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</si>
  <si>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</si>
  <si>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</si>
  <si>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</si>
  <si>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</si>
  <si>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</si>
  <si>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</si>
  <si>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</si>
  <si>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</si>
  <si>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</si>
  <si>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</si>
  <si>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</si>
  <si>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</si>
  <si>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</si>
  <si>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</si>
  <si>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</si>
  <si>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</si>
  <si>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</si>
  <si>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</si>
  <si>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</si>
  <si>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</si>
  <si>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</si>
  <si>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</si>
  <si>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</si>
  <si>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</si>
  <si>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</si>
  <si>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</si>
  <si>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</si>
  <si>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</si>
  <si>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</si>
  <si>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</si>
  <si>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</si>
  <si>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</si>
  <si>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</si>
  <si>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</si>
  <si>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</si>
  <si>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</si>
  <si>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</si>
  <si>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</si>
  <si>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</si>
  <si>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</si>
  <si>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</si>
  <si>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</si>
  <si>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</si>
  <si>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</si>
  <si>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</si>
  <si>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</si>
  <si>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</si>
  <si>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</si>
  <si>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</si>
  <si>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</si>
  <si>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</si>
  <si>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</si>
  <si>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</si>
  <si>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</si>
  <si>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</si>
  <si>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</si>
  <si>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</si>
  <si>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</si>
  <si>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</si>
  <si>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</si>
  <si>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</si>
  <si>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</si>
  <si>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</si>
  <si>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</si>
  <si>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</si>
  <si>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</si>
  <si>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</si>
  <si>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</si>
  <si>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</si>
  <si>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</si>
  <si>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</si>
  <si>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</si>
  <si>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</si>
  <si>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</si>
  <si>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</si>
  <si>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</si>
  <si>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</si>
  <si>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</si>
  <si>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</si>
  <si>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</si>
  <si>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</si>
  <si>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</si>
  <si>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</si>
  <si>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</si>
  <si>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</si>
  <si>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</si>
  <si>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</si>
  <si>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</si>
  <si>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</si>
  <si>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</si>
  <si>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</si>
  <si>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</si>
  <si>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</si>
  <si>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</si>
  <si>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</si>
  <si>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</si>
  <si>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</si>
  <si>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</si>
  <si>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</si>
  <si>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</si>
  <si>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</si>
  <si>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</si>
  <si>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</si>
  <si>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</si>
  <si>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</si>
  <si>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</si>
  <si>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</si>
  <si>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</si>
  <si>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</si>
  <si>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</si>
  <si>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</si>
  <si>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</si>
  <si>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</si>
  <si>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</si>
  <si>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</si>
  <si>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</si>
  <si>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</si>
  <si>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</si>
  <si>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</si>
  <si>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</si>
  <si>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</si>
  <si>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</si>
  <si>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</si>
  <si>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</si>
  <si>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</si>
  <si>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</si>
  <si>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</si>
  <si>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</si>
  <si>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</si>
  <si>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</si>
  <si>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</si>
  <si>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</si>
  <si>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</si>
  <si>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</si>
  <si>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</si>
  <si>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</si>
  <si>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</si>
  <si>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</si>
  <si>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</si>
  <si>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</si>
  <si>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</si>
  <si>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</si>
  <si>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</si>
  <si>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</si>
  <si>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</si>
  <si>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</si>
  <si>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</si>
  <si>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</si>
  <si>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</si>
  <si>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</si>
  <si>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</si>
  <si>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</si>
  <si>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</si>
  <si>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</si>
  <si>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</si>
  <si>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</si>
  <si>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</si>
  <si>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</si>
  <si>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</si>
  <si>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</si>
  <si>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</si>
  <si>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</si>
  <si>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</si>
  <si>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</si>
  <si>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</si>
  <si>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</si>
  <si>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</si>
  <si>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</si>
  <si>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</si>
  <si>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</si>
  <si>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</si>
  <si>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</si>
  <si>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</si>
  <si>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</si>
  <si>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</si>
  <si>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</si>
  <si>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</si>
  <si>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</si>
  <si>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</si>
  <si>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</si>
  <si>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</si>
  <si>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</si>
  <si>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</si>
  <si>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</si>
  <si>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</si>
  <si>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</si>
  <si>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</si>
  <si>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</si>
  <si>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</si>
  <si>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</si>
  <si>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</si>
  <si>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</si>
  <si>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</si>
  <si>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</si>
  <si>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</si>
  <si>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</si>
  <si>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</si>
  <si>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</si>
  <si>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</si>
  <si>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</si>
  <si>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</si>
  <si>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</si>
  <si>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</si>
  <si>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</si>
  <si>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</si>
  <si>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</si>
  <si>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</si>
  <si>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</si>
  <si>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</si>
  <si>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</si>
  <si>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</si>
  <si>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</si>
  <si>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</si>
  <si>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</si>
  <si>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</si>
  <si>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</si>
  <si>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</si>
  <si>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</si>
  <si>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</si>
  <si>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</si>
  <si>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</si>
  <si>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</si>
  <si>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</si>
  <si>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</si>
  <si>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</si>
  <si>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</si>
  <si>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</si>
  <si>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</si>
  <si>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</si>
  <si>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</si>
  <si>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</si>
  <si>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</si>
  <si>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</si>
  <si>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</si>
  <si>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</si>
  <si>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</si>
  <si>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</si>
  <si>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</si>
  <si>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</si>
  <si>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</si>
  <si>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</si>
  <si>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</si>
  <si>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</si>
  <si>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</si>
  <si>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</si>
  <si>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</si>
  <si>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</si>
  <si>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</si>
  <si>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</si>
  <si>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</si>
  <si>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</si>
  <si>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</si>
  <si>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</si>
  <si>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</si>
  <si>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</si>
  <si>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</si>
  <si>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</si>
  <si>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</si>
  <si>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</si>
  <si>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</si>
  <si>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</si>
  <si>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</si>
  <si>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</si>
  <si>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</si>
  <si>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</si>
  <si>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</si>
  <si>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</si>
  <si>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</si>
  <si>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</si>
  <si>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</si>
  <si>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</si>
  <si>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</si>
  <si>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</si>
  <si>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</si>
  <si>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</si>
  <si>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</si>
  <si>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</si>
  <si>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</si>
  <si>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</si>
  <si>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</si>
  <si>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</si>
  <si>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</si>
  <si>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</si>
  <si>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</si>
  <si>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</si>
  <si>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</si>
  <si>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</si>
  <si>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</si>
  <si>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</si>
  <si>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</si>
  <si>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</si>
  <si>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</si>
  <si>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</si>
  <si>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</si>
  <si>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</si>
  <si>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</si>
  <si>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</si>
  <si>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</si>
  <si>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</si>
  <si>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</si>
  <si>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</si>
  <si>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</si>
  <si>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</si>
  <si>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</si>
  <si>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</si>
  <si>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</si>
  <si>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</si>
  <si>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</si>
  <si>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</si>
  <si>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</si>
  <si>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</si>
  <si>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</si>
  <si>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</si>
  <si>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</si>
  <si>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</si>
  <si>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</si>
  <si>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</si>
  <si>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</si>
  <si>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</si>
  <si>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</si>
  <si>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</si>
  <si>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</si>
  <si>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</si>
  <si>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</si>
  <si>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</si>
  <si>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</si>
  <si>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</si>
  <si>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</si>
  <si>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</si>
  <si>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</si>
  <si>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</si>
  <si>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</si>
  <si>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</si>
  <si>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</si>
  <si>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</si>
  <si>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</si>
  <si>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</si>
  <si>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</si>
  <si>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</si>
  <si>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</si>
  <si>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</si>
  <si>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</si>
  <si>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</si>
  <si>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</si>
  <si>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</si>
  <si>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</si>
  <si>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</si>
  <si>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</si>
  <si>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</si>
  <si>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</si>
  <si>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</si>
  <si>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</si>
  <si>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</si>
  <si>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</si>
  <si>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</si>
  <si>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</si>
  <si>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</si>
  <si>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</si>
  <si>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</si>
  <si>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</si>
  <si>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</si>
  <si>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</si>
  <si>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</si>
  <si>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</si>
  <si>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</si>
  <si>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</si>
  <si>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</si>
  <si>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</si>
  <si>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</si>
  <si>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</si>
  <si>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</si>
  <si>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</si>
  <si>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</si>
  <si>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</si>
  <si>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</si>
  <si>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</si>
  <si>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</si>
  <si>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</si>
  <si>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</si>
  <si>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</si>
  <si>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</si>
  <si>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</si>
  <si>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</si>
  <si>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</si>
  <si>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</si>
  <si>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</si>
  <si>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</si>
  <si>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</si>
  <si>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</si>
  <si>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</si>
  <si>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</si>
  <si>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</si>
  <si>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</si>
  <si>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</si>
  <si>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</si>
  <si>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</si>
  <si>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</si>
  <si>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</si>
  <si>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</si>
  <si>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</si>
  <si>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</si>
  <si>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</si>
  <si>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</si>
  <si>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</si>
  <si>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</si>
  <si>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</si>
  <si>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</si>
  <si>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</si>
  <si>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</si>
  <si>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</si>
  <si>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</si>
  <si>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</si>
  <si>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</si>
  <si>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</si>
  <si>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</si>
  <si>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</si>
  <si>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</si>
  <si>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</si>
  <si>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</si>
  <si>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</si>
  <si>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</si>
  <si>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</si>
  <si>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</si>
  <si>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</si>
  <si>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</si>
  <si>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</si>
  <si>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</si>
  <si>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</si>
  <si>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</si>
  <si>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</si>
  <si>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</si>
  <si>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</si>
  <si>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</si>
  <si>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</si>
  <si>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</si>
  <si>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</si>
  <si>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</si>
  <si>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</si>
  <si>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</si>
  <si>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</si>
  <si>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</si>
  <si>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</si>
  <si>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</si>
  <si>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</si>
  <si>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</si>
  <si>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</si>
  <si>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</si>
  <si>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</si>
  <si>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</si>
  <si>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</si>
  <si>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</si>
  <si>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</si>
  <si>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</si>
  <si>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</si>
  <si>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</si>
  <si>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</si>
  <si>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</si>
  <si>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</si>
  <si>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</si>
  <si>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</si>
  <si>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</si>
  <si>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</si>
  <si>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</si>
  <si>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</si>
  <si>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</si>
  <si>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</si>
  <si>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</si>
  <si>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</si>
  <si>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</si>
  <si>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</si>
  <si>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</si>
  <si>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</si>
  <si>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</si>
  <si>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</si>
  <si>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</si>
  <si>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</si>
  <si>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</si>
  <si>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</si>
  <si>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</si>
  <si>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</si>
  <si>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</si>
  <si>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</si>
  <si>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</si>
  <si>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</si>
  <si>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</si>
  <si>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</si>
  <si>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</si>
  <si>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</si>
  <si>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</si>
  <si>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</si>
  <si>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</si>
  <si>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</si>
  <si>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</si>
  <si>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</si>
  <si>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</si>
  <si>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</si>
  <si>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</si>
  <si>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</si>
  <si>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</si>
  <si>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</si>
  <si>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</si>
  <si>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</si>
  <si>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</si>
  <si>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</si>
  <si>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</si>
  <si>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</si>
  <si>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</si>
  <si>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</si>
  <si>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</si>
  <si>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</si>
  <si>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</si>
  <si>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</si>
  <si>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</si>
  <si>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</si>
  <si>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</si>
  <si>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</si>
  <si>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</si>
  <si>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</si>
  <si>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</si>
  <si>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</si>
  <si>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</si>
  <si>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</si>
  <si>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</si>
  <si>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</si>
  <si>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</si>
  <si>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</si>
  <si>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</si>
  <si>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</si>
  <si>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</si>
  <si>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</si>
  <si>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</si>
  <si>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</si>
  <si>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</si>
  <si>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</si>
  <si>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</si>
  <si>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</si>
  <si>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</si>
  <si>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</si>
  <si>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</si>
  <si>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</si>
  <si>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</si>
  <si>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</si>
  <si>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</si>
  <si>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</si>
  <si>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</si>
  <si>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</si>
  <si>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</si>
  <si>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</si>
  <si>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</si>
  <si>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</si>
  <si>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</si>
  <si>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</si>
  <si>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</si>
  <si>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</si>
  <si>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</si>
  <si>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</si>
  <si>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</si>
  <si>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</si>
  <si>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</si>
  <si>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</si>
  <si>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</si>
  <si>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</si>
  <si>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</si>
  <si>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</si>
  <si>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</si>
  <si>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</si>
  <si>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</si>
  <si>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</si>
  <si>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</si>
  <si>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</si>
  <si>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</si>
  <si>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</si>
  <si>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</si>
  <si>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</si>
  <si>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</si>
  <si>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</si>
  <si>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</si>
  <si>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</si>
  <si>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</si>
  <si>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</si>
  <si>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</si>
  <si>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</si>
  <si>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</si>
  <si>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</si>
  <si>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</si>
  <si>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</si>
  <si>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</si>
  <si>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</si>
  <si>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</si>
  <si>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</si>
  <si>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</si>
  <si>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</si>
  <si>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</si>
  <si>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</si>
  <si>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</si>
  <si>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</si>
  <si>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</si>
  <si>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</si>
  <si>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</si>
  <si>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</si>
  <si>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</si>
  <si>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</si>
  <si>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</si>
  <si>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</si>
  <si>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</si>
  <si>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</si>
  <si>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</si>
  <si>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</si>
  <si>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</si>
  <si>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</si>
  <si>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</si>
  <si>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</si>
  <si>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</si>
  <si>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</si>
  <si>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</si>
  <si>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</si>
  <si>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</si>
  <si>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</si>
  <si>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</si>
  <si>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</si>
  <si>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</si>
  <si>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</si>
  <si>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</si>
  <si>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</si>
  <si>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</si>
  <si>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</si>
  <si>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</si>
  <si>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</si>
  <si>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</si>
  <si>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</si>
  <si>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</si>
  <si>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</si>
  <si>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</si>
  <si>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</si>
  <si>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</si>
  <si>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</si>
  <si>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</si>
  <si>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</si>
  <si>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</si>
  <si>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</si>
  <si>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</si>
  <si>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</si>
  <si>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</si>
  <si>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</si>
  <si>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</si>
  <si>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</si>
  <si>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</si>
  <si>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</si>
  <si>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</si>
  <si>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</si>
  <si>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</si>
  <si>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</si>
  <si>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</si>
  <si>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</si>
  <si>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</si>
  <si>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</si>
  <si>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</si>
  <si>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</si>
  <si>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</si>
  <si>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</si>
  <si>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</si>
  <si>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</si>
  <si>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</si>
  <si>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</si>
  <si>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</si>
  <si>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</si>
  <si>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</si>
  <si>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</si>
  <si>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</si>
  <si>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</si>
  <si>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</si>
  <si>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</si>
  <si>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</si>
  <si>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</si>
  <si>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</si>
  <si>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</si>
  <si>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</si>
  <si>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</si>
  <si>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</si>
  <si>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</si>
  <si>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</si>
  <si>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</si>
  <si>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</si>
  <si>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</si>
  <si>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</si>
  <si>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</si>
  <si>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</si>
  <si>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</si>
  <si>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</si>
  <si>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</si>
  <si>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</si>
  <si>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</si>
  <si>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</si>
  <si>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</si>
  <si>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</si>
  <si>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</si>
  <si>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</si>
  <si>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</si>
  <si>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</si>
  <si>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</si>
  <si>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</si>
  <si>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</si>
  <si>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</si>
  <si>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</si>
  <si>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</si>
  <si>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</si>
  <si>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</si>
  <si>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</si>
  <si>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</si>
  <si>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</si>
  <si>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</si>
  <si>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</si>
  <si>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</si>
  <si>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</si>
  <si>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</si>
  <si>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</si>
  <si>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</si>
  <si>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</si>
  <si>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</si>
  <si>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</si>
  <si>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</si>
  <si>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</si>
  <si>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</si>
  <si>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</si>
  <si>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</si>
  <si>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</si>
  <si>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</si>
  <si>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</si>
  <si>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</si>
  <si>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</si>
  <si>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</si>
  <si>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</si>
  <si>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</si>
  <si>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</si>
  <si>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</si>
  <si>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</si>
  <si>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</si>
  <si>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</si>
  <si>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</si>
  <si>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</si>
  <si>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</si>
  <si>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</si>
  <si>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</si>
  <si>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</si>
  <si>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</si>
  <si>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</si>
  <si>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</si>
  <si>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</si>
  <si>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</si>
  <si>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</si>
  <si>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</si>
  <si>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</si>
  <si>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</si>
  <si>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</si>
  <si>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</si>
  <si>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</si>
  <si>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</si>
  <si>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</si>
  <si>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</si>
  <si>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</si>
  <si>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</si>
  <si>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</si>
  <si>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</si>
  <si>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</si>
  <si>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</si>
  <si>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</si>
  <si>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</si>
  <si>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</si>
  <si>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</si>
  <si>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</si>
  <si>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</si>
  <si>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</si>
  <si>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</si>
  <si>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</si>
  <si>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</si>
  <si>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</si>
  <si>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</si>
  <si>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</si>
  <si>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</si>
  <si>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</si>
  <si>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</si>
  <si>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</si>
  <si>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</si>
  <si>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</si>
  <si>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</si>
  <si>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</si>
  <si>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</si>
  <si>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</si>
  <si>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</si>
  <si>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</si>
  <si>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</si>
  <si>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</si>
  <si>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</si>
  <si>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</si>
  <si>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</si>
  <si>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</si>
  <si>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</si>
  <si>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</si>
  <si>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</si>
  <si>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</si>
  <si>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</si>
  <si>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</si>
  <si>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</si>
  <si>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</si>
  <si>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</si>
  <si>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</si>
  <si>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</si>
  <si>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</si>
  <si>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</si>
  <si>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</si>
  <si>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</si>
  <si>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</si>
  <si>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</si>
  <si>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</si>
  <si>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</si>
  <si>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</si>
  <si>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</si>
  <si>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</si>
  <si>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</si>
  <si>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</si>
  <si>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</si>
  <si>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</si>
  <si>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</si>
  <si>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</si>
  <si>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</si>
  <si>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</si>
  <si>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</si>
  <si>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</si>
  <si>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</si>
  <si>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</si>
  <si>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</si>
  <si>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</si>
  <si>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</si>
  <si>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</si>
  <si>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</si>
  <si>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</si>
  <si>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</si>
  <si>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</si>
  <si>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</si>
  <si>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</si>
  <si>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</si>
  <si>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</si>
  <si>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</si>
  <si>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</si>
  <si>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</si>
  <si>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</si>
  <si>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</si>
  <si>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</si>
  <si>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</si>
  <si>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</si>
  <si>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</si>
  <si>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</si>
  <si>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</si>
  <si>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</si>
  <si>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</si>
  <si>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</si>
  <si>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</si>
  <si>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</si>
  <si>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</si>
  <si>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</si>
  <si>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</si>
  <si>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</si>
  <si>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</si>
  <si>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</si>
  <si>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</si>
  <si>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</si>
  <si>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</si>
  <si>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</si>
  <si>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</si>
  <si>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</si>
  <si>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</si>
  <si>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</si>
  <si>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</si>
  <si>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</si>
  <si>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</si>
  <si>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</si>
  <si>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</si>
  <si>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</si>
  <si>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</si>
  <si>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</si>
  <si>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</si>
  <si>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</si>
  <si>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</si>
  <si>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</si>
  <si>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</si>
  <si>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</si>
  <si>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</si>
  <si>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</si>
  <si>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</si>
  <si>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</si>
  <si>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</si>
  <si>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</si>
  <si>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</si>
  <si>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</si>
  <si>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</si>
  <si>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</si>
  <si>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</si>
  <si>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</si>
  <si>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</si>
  <si>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</si>
  <si>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</si>
  <si>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</si>
  <si>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</si>
  <si>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</si>
  <si>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</si>
  <si>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</si>
  <si>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</si>
  <si>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</si>
  <si>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</si>
  <si>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</si>
  <si>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</si>
  <si>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</si>
  <si>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</si>
  <si>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</si>
  <si>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</si>
  <si>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</si>
  <si>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</si>
  <si>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</si>
  <si>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</si>
  <si>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</si>
  <si>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</si>
  <si>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</si>
  <si>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</si>
  <si>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</si>
  <si>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</si>
  <si>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</si>
  <si>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</si>
  <si>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</si>
  <si>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</si>
  <si>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</si>
  <si>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</si>
  <si>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</si>
  <si>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</si>
  <si>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</si>
  <si>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</si>
  <si>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</si>
  <si>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</si>
  <si>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</si>
  <si>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</si>
  <si>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</si>
  <si>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</si>
  <si>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</si>
  <si>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</si>
  <si>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</si>
  <si>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</si>
  <si>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</si>
  <si>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</si>
  <si>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</si>
  <si>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</si>
  <si>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</si>
  <si>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</si>
  <si>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</si>
  <si>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</si>
  <si>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</si>
  <si>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</si>
  <si>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</si>
  <si>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</si>
  <si>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</si>
  <si>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</si>
  <si>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</si>
  <si>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</si>
  <si>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</si>
  <si>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</si>
  <si>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</si>
  <si>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</si>
  <si>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</si>
  <si>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</si>
  <si>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</si>
  <si>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</si>
  <si>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</si>
  <si>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</si>
  <si>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</si>
  <si>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</si>
  <si>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</si>
  <si>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</si>
  <si>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</si>
  <si>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</si>
  <si>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</si>
  <si>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</si>
  <si>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</si>
  <si>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</si>
  <si>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</si>
  <si>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</si>
  <si>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</si>
  <si>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</si>
  <si>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</si>
  <si>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</si>
  <si>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</si>
  <si>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</si>
  <si>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</si>
  <si>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</si>
  <si>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</si>
  <si>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</si>
  <si>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</si>
  <si>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</si>
  <si>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</si>
  <si>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</si>
  <si>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</si>
  <si>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</si>
  <si>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</si>
  <si>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</si>
  <si>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</si>
  <si>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</si>
  <si>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</si>
  <si>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</si>
  <si>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</si>
  <si>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</si>
  <si>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</si>
  <si>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</si>
  <si>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</si>
  <si>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</si>
  <si>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</si>
  <si>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</si>
  <si>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</si>
  <si>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</si>
  <si>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</si>
  <si>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</si>
  <si>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</si>
  <si>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</si>
  <si>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</si>
  <si>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</si>
  <si>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</si>
  <si>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</si>
  <si>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</si>
  <si>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</si>
  <si>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</si>
  <si>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</si>
  <si>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</si>
  <si>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</si>
  <si>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</si>
  <si>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</si>
  <si>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</si>
  <si>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</si>
  <si>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</si>
  <si>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</si>
  <si>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</si>
  <si>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</si>
  <si>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</si>
  <si>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</si>
  <si>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</si>
  <si>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</si>
  <si>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</si>
  <si>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</si>
  <si>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</si>
  <si>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</si>
  <si>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</si>
  <si>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</si>
  <si>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</si>
  <si>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</si>
  <si>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</si>
  <si>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</si>
  <si>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</si>
  <si>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</si>
  <si>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</si>
  <si>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</si>
  <si>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</si>
  <si>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</si>
  <si>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</si>
  <si>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</si>
  <si>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</si>
  <si>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</si>
  <si>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</si>
  <si>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</si>
  <si>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</si>
  <si>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</si>
  <si>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</si>
  <si>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</si>
  <si>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</si>
  <si>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</si>
  <si>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</si>
  <si>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</si>
  <si>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</si>
  <si>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</si>
  <si>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</si>
  <si>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</si>
  <si>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</si>
  <si>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</si>
  <si>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</si>
  <si>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</si>
  <si>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</si>
  <si>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</si>
  <si>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</si>
  <si>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</si>
  <si>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</si>
  <si>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</si>
  <si>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</si>
  <si>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</si>
  <si>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</si>
  <si>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</si>
  <si>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</si>
  <si>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</si>
  <si>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</si>
  <si>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</si>
  <si>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</si>
  <si>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</si>
  <si>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</si>
  <si>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</si>
  <si>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</si>
  <si>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</si>
  <si>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</si>
  <si>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</si>
  <si>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</si>
  <si>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</si>
  <si>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</si>
  <si>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</si>
  <si>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</si>
  <si>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</si>
  <si>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</si>
  <si>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</si>
  <si>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</si>
  <si>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</si>
  <si>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</si>
  <si>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</si>
  <si>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</si>
  <si>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</si>
  <si>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</si>
  <si>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</si>
  <si>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</si>
  <si>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</si>
  <si>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</si>
  <si>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</si>
  <si>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</si>
  <si>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</si>
  <si>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</si>
  <si>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</si>
  <si>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</si>
  <si>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</si>
  <si>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</si>
  <si>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</si>
  <si>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</si>
  <si>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</si>
  <si>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</si>
  <si>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</si>
  <si>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</si>
  <si>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</si>
  <si>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</si>
  <si>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</si>
  <si>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</si>
  <si>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</si>
  <si>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</si>
  <si>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</si>
  <si>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</si>
  <si>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</si>
  <si>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</si>
  <si>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</si>
  <si>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</si>
  <si>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</si>
  <si>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</si>
  <si>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</si>
  <si>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</si>
  <si>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</si>
  <si>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</si>
  <si>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</si>
  <si>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</si>
  <si>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</si>
  <si>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</si>
  <si>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</si>
  <si>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</si>
  <si>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</si>
  <si>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</si>
  <si>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</si>
  <si>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</si>
  <si>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</si>
  <si>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</si>
  <si>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</si>
  <si>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</si>
  <si>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</si>
  <si>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</si>
  <si>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</si>
  <si>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</si>
  <si>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</si>
  <si>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</si>
  <si>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</si>
  <si>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</si>
  <si>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</si>
  <si>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</si>
  <si>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</si>
  <si>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</si>
  <si>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</si>
  <si>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</si>
  <si>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</si>
  <si>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</si>
  <si>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</si>
  <si>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</si>
  <si>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</si>
  <si>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</si>
  <si>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</si>
  <si>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</si>
  <si>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</si>
  <si>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</si>
  <si>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</si>
  <si>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</si>
  <si>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</si>
  <si>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</si>
  <si>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</si>
  <si>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</si>
  <si>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</si>
  <si>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</si>
  <si>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</si>
  <si>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</si>
  <si>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</si>
  <si>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</si>
  <si>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</si>
  <si>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</si>
  <si>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</si>
  <si>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</si>
  <si>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</si>
  <si>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</si>
  <si>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</si>
  <si>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</si>
  <si>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</si>
  <si>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</si>
  <si>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</si>
  <si>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</si>
  <si>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</si>
  <si>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</si>
  <si>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</si>
  <si>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</si>
  <si>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</si>
  <si>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</si>
  <si>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</si>
  <si>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</si>
  <si>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</si>
  <si>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</si>
  <si>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</si>
  <si>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</si>
  <si>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</si>
  <si>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</si>
  <si>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</si>
  <si>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</si>
  <si>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</si>
  <si>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</si>
  <si>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</si>
  <si>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</si>
  <si>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</si>
  <si>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</si>
  <si>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</si>
  <si>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</si>
  <si>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</si>
  <si>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</si>
  <si>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</si>
  <si>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</si>
  <si>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</si>
  <si>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</si>
  <si>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</si>
  <si>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</si>
  <si>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</si>
  <si>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</si>
  <si>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</si>
  <si>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</si>
  <si>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</si>
  <si>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</si>
  <si>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</si>
  <si>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</si>
  <si>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</si>
  <si>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</si>
  <si>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</si>
  <si>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</si>
  <si>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</si>
  <si>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</si>
  <si>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</si>
  <si>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</si>
  <si>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</si>
  <si>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</si>
  <si>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</si>
  <si>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</si>
  <si>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</si>
  <si>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</si>
  <si>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</si>
  <si>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</si>
  <si>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</si>
  <si>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</si>
  <si>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</si>
  <si>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</si>
  <si>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</si>
  <si>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</si>
  <si>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</si>
  <si>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</si>
  <si>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</si>
  <si>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</si>
  <si>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</si>
  <si>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</si>
  <si>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</si>
  <si>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</si>
  <si>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</si>
  <si>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</si>
  <si>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</si>
  <si>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</si>
  <si>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</si>
  <si>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</si>
  <si>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</si>
  <si>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</si>
  <si>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</si>
  <si>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</si>
  <si>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</si>
  <si>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</si>
  <si>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</si>
  <si>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</si>
  <si>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</si>
  <si>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</si>
  <si>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</si>
  <si>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</si>
  <si>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</si>
  <si>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</si>
  <si>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</si>
  <si>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</si>
  <si>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</si>
  <si>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</si>
  <si>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</si>
  <si>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</si>
  <si>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</si>
  <si>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</si>
  <si>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</si>
  <si>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</si>
  <si>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</si>
  <si>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</si>
  <si>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</si>
  <si>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</si>
  <si>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</si>
  <si>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</si>
  <si>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</si>
  <si>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</si>
  <si>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</si>
  <si>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</si>
  <si>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</si>
  <si>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</si>
  <si>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</si>
  <si>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</si>
  <si>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</si>
  <si>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</si>
  <si>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</si>
  <si>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</si>
  <si>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</si>
  <si>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</si>
  <si>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</si>
  <si>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</si>
  <si>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</si>
  <si>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</si>
  <si>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</si>
  <si>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</si>
  <si>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</si>
  <si>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</si>
  <si>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</si>
  <si>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</si>
  <si>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</si>
  <si>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</si>
  <si>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</si>
  <si>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</si>
  <si>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</si>
  <si>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</si>
  <si>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</si>
  <si>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</si>
  <si>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</si>
  <si>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</si>
  <si>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</si>
  <si>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</si>
  <si>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</si>
  <si>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</si>
  <si>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</si>
  <si>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</si>
  <si>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</si>
  <si>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</si>
  <si>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</si>
  <si>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</si>
  <si>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</si>
  <si>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</si>
  <si>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</si>
  <si>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</si>
  <si>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</si>
  <si>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</si>
  <si>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</si>
  <si>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</si>
  <si>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</si>
  <si>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</si>
  <si>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</si>
  <si>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</si>
  <si>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</si>
  <si>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</si>
  <si>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</si>
  <si>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</si>
  <si>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</si>
  <si>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</si>
  <si>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</si>
  <si>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</si>
  <si>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</si>
  <si>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</si>
  <si>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</si>
  <si>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</si>
  <si>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</si>
  <si>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</si>
  <si>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</si>
  <si>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</si>
  <si>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</si>
  <si>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</si>
  <si>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</si>
  <si>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</si>
  <si>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</si>
  <si>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</si>
  <si>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</si>
  <si>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</si>
  <si>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</si>
  <si>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</si>
  <si>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</si>
  <si>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</si>
  <si>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</si>
  <si>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</si>
  <si>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</si>
  <si>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</si>
  <si>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</si>
  <si>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</si>
  <si>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</si>
  <si>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</si>
  <si>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</si>
  <si>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</si>
  <si>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</si>
  <si>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</si>
  <si>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</si>
  <si>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</si>
  <si>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</si>
  <si>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</si>
  <si>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</si>
  <si>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</si>
  <si>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</si>
  <si>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</si>
  <si>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</si>
  <si>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</si>
  <si>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</si>
  <si>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</si>
  <si>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</si>
  <si>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</si>
  <si>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</si>
  <si>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</si>
  <si>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</si>
  <si>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</si>
  <si>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</si>
  <si>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</si>
  <si>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</si>
  <si>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</si>
  <si>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</si>
  <si>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</si>
  <si>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</si>
  <si>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</si>
  <si>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</si>
  <si>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</si>
  <si>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</si>
  <si>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</si>
  <si>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</si>
  <si>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</si>
  <si>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</si>
  <si>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</si>
  <si>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</si>
  <si>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</si>
  <si>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</si>
  <si>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</si>
  <si>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</si>
  <si>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</si>
  <si>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</si>
  <si>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</si>
  <si>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</si>
  <si>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</si>
  <si>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</si>
  <si>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</si>
  <si>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</si>
  <si>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</si>
  <si>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</si>
  <si>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</si>
  <si>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</si>
  <si>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</si>
  <si>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</si>
  <si>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</si>
  <si>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</si>
  <si>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</si>
  <si>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</si>
  <si>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</si>
  <si>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</si>
  <si>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</si>
  <si>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</si>
  <si>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</si>
  <si>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</si>
  <si>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</si>
  <si>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</si>
  <si>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</si>
  <si>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</si>
  <si>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</si>
  <si>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</si>
  <si>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</si>
  <si>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</si>
  <si>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</si>
  <si>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</si>
  <si>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</si>
  <si>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</si>
  <si>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</si>
  <si>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</si>
  <si>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</si>
  <si>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</si>
  <si>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</si>
  <si>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</si>
  <si>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</si>
  <si>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</si>
  <si>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</si>
  <si>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</si>
  <si>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</si>
  <si>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</si>
  <si>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</si>
  <si>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</si>
  <si>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</si>
  <si>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</si>
  <si>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</si>
  <si>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</si>
  <si>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</si>
  <si>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</si>
  <si>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</si>
  <si>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</si>
  <si>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</si>
  <si>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</si>
  <si>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</si>
  <si>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</si>
  <si>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</si>
  <si>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</si>
  <si>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</si>
  <si>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</si>
  <si>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</si>
  <si>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</si>
  <si>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</si>
  <si>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</si>
  <si>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</si>
  <si>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</si>
  <si>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</si>
  <si>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</si>
  <si>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</si>
  <si>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</si>
  <si>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</si>
  <si>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</si>
  <si>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</si>
  <si>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</si>
  <si>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</si>
  <si>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</si>
  <si>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</si>
  <si>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</si>
  <si>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</si>
  <si>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</si>
  <si>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</si>
  <si>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</si>
  <si>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</si>
  <si>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</si>
  <si>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</si>
  <si>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</si>
  <si>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</si>
  <si>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</si>
  <si>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</si>
  <si>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</si>
  <si>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</si>
  <si>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</si>
  <si>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</si>
  <si>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</si>
  <si>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</si>
  <si>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</si>
  <si>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</si>
  <si>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</si>
  <si>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</si>
  <si>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</si>
  <si>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</si>
  <si>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</si>
  <si>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</si>
  <si>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</si>
  <si>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</si>
  <si>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</si>
  <si>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</si>
  <si>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</si>
  <si>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</si>
  <si>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</si>
  <si>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</si>
  <si>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</si>
  <si>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</si>
  <si>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</si>
  <si>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</si>
  <si>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</si>
  <si>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</si>
  <si>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</si>
  <si>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</si>
  <si>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</si>
  <si>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</si>
  <si>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</si>
  <si>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</si>
  <si>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</si>
  <si>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</si>
  <si>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</si>
  <si>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</si>
  <si>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</si>
  <si>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</si>
  <si>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</si>
  <si>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</si>
  <si>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</si>
  <si>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</si>
  <si>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</si>
  <si>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</si>
  <si>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</si>
  <si>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</si>
  <si>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</si>
  <si>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</si>
  <si>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</si>
  <si>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</si>
  <si>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</si>
  <si>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</si>
  <si>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</si>
  <si>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</si>
  <si>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</si>
  <si>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</si>
  <si>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</si>
  <si>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</si>
  <si>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</si>
  <si>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</si>
  <si>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</si>
  <si>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</si>
  <si>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</si>
  <si>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</si>
  <si>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</si>
  <si>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</si>
  <si>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</si>
  <si>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</si>
  <si>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</si>
  <si>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</si>
  <si>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</si>
  <si>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</si>
  <si>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</si>
  <si>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</si>
  <si>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</si>
  <si>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</si>
  <si>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</si>
  <si>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</si>
  <si>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</si>
  <si>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</si>
  <si>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</si>
  <si>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</si>
  <si>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</si>
  <si>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</si>
  <si>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</si>
  <si>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</si>
  <si>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</si>
  <si>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</si>
  <si>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</si>
  <si>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</si>
  <si>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</si>
  <si>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</si>
  <si>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</si>
  <si>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</si>
  <si>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</si>
  <si>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</si>
  <si>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</si>
  <si>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</si>
  <si>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</si>
  <si>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</si>
  <si>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</si>
  <si>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</si>
  <si>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</si>
  <si>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</si>
  <si>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</si>
  <si>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</si>
  <si>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</si>
  <si>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</si>
  <si>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</si>
  <si>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</si>
  <si>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</si>
  <si>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</si>
  <si>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</si>
  <si>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</si>
  <si>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</si>
  <si>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</si>
  <si>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</si>
  <si>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</si>
  <si>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</si>
  <si>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</si>
  <si>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</si>
  <si>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</si>
  <si>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</si>
  <si>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</si>
  <si>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</si>
  <si>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</si>
  <si>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</si>
  <si>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</si>
  <si>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</si>
  <si>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</si>
  <si>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</si>
  <si>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</si>
  <si>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</si>
  <si>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</si>
  <si>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</si>
  <si>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</si>
  <si>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</si>
  <si>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</si>
  <si>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</si>
  <si>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</si>
  <si>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</si>
  <si>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</si>
  <si>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</si>
  <si>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</si>
  <si>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</si>
  <si>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</si>
  <si>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</si>
  <si>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</si>
  <si>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</si>
  <si>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</si>
  <si>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</si>
  <si>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</si>
  <si>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</si>
  <si>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</si>
  <si>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</si>
  <si>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</si>
  <si>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</si>
  <si>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</si>
  <si>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</si>
  <si>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</si>
  <si>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</si>
  <si>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</si>
  <si>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</si>
  <si>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</si>
  <si>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</si>
  <si>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</si>
  <si>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</si>
  <si>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</si>
  <si>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</si>
  <si>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</si>
  <si>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</si>
  <si>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</si>
  <si>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</si>
  <si>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</si>
  <si>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</si>
  <si>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</si>
  <si>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</si>
  <si>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</si>
  <si>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</si>
  <si>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</si>
  <si>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</si>
  <si>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</si>
  <si>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</si>
  <si>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</si>
  <si>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</si>
  <si>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</si>
  <si>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</si>
  <si>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</si>
  <si>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</si>
  <si>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</si>
  <si>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</si>
  <si>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</si>
  <si>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</si>
  <si>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</si>
  <si>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</si>
  <si>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</si>
  <si>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</si>
  <si>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</si>
  <si>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</si>
  <si>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</si>
  <si>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</si>
  <si>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</si>
  <si>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</si>
  <si>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</si>
  <si>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</si>
  <si>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</si>
  <si>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</si>
  <si>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</si>
  <si>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</si>
  <si>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</si>
  <si>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</si>
  <si>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</si>
  <si>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</si>
  <si>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</si>
  <si>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</si>
  <si>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</si>
  <si>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</si>
  <si>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</si>
  <si>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</si>
  <si>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</si>
  <si>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</si>
  <si>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</si>
  <si>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</si>
  <si>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</si>
  <si>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</si>
  <si>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</si>
  <si>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</si>
  <si>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</si>
  <si>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</si>
  <si>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</si>
  <si>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</si>
  <si>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</si>
  <si>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</si>
  <si>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</si>
  <si>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</si>
  <si>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</si>
  <si>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</si>
  <si>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</si>
  <si>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</si>
  <si>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</si>
  <si>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</si>
  <si>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</si>
  <si>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</si>
  <si>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</si>
  <si>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</si>
  <si>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</si>
  <si>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</si>
  <si>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</si>
  <si>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</si>
  <si>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</si>
  <si>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</si>
  <si>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</si>
  <si>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</si>
  <si>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</si>
  <si>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</si>
  <si>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</si>
  <si>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</si>
  <si>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</si>
  <si>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</si>
  <si>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</si>
  <si>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</si>
  <si>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</si>
  <si>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</si>
  <si>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</si>
  <si>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</si>
  <si>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</si>
  <si>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</si>
  <si>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</si>
  <si>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</si>
  <si>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</si>
  <si>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</si>
  <si>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</si>
  <si>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</si>
  <si>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</si>
  <si>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</si>
  <si>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</si>
  <si>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</si>
  <si>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</si>
  <si>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</si>
  <si>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</si>
  <si>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</si>
  <si>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</si>
  <si>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</si>
  <si>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</si>
  <si>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</si>
  <si>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</si>
  <si>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</si>
  <si>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</si>
  <si>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</si>
  <si>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</si>
  <si>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</si>
  <si>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</si>
  <si>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</si>
  <si>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</si>
  <si>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</si>
  <si>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</si>
  <si>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</si>
  <si>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</si>
  <si>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</si>
  <si>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</si>
  <si>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</si>
  <si>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</si>
  <si>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</si>
  <si>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</si>
  <si>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</si>
  <si>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</si>
  <si>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</si>
  <si>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</si>
  <si>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</si>
  <si>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</si>
  <si>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</si>
  <si>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</si>
  <si>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</si>
  <si>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</si>
  <si>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</si>
  <si>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</si>
  <si>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</si>
  <si>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</si>
  <si>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</si>
  <si>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</si>
  <si>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</si>
  <si>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</si>
  <si>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</si>
  <si>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</si>
  <si>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</si>
  <si>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</si>
  <si>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</si>
  <si>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</si>
  <si>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</si>
  <si>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</si>
  <si>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</si>
  <si>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</si>
  <si>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</si>
  <si>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</si>
  <si>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</si>
  <si>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</si>
  <si>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</si>
  <si>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</si>
  <si>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</si>
  <si>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</si>
  <si>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</si>
  <si>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</si>
  <si>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</si>
  <si>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</si>
  <si>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</si>
  <si>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</si>
  <si>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</si>
  <si>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</si>
  <si>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</si>
  <si>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</si>
  <si>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</si>
  <si>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</si>
  <si>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</si>
  <si>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</si>
  <si>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</si>
  <si>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</si>
  <si>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</si>
  <si>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</si>
  <si>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</si>
  <si>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</si>
  <si>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</si>
  <si>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</si>
  <si>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</si>
  <si>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</si>
  <si>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</si>
  <si>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</si>
  <si>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</si>
  <si>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</si>
  <si>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</si>
  <si>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</si>
  <si>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</si>
  <si>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</si>
  <si>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</si>
  <si>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</si>
  <si>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</si>
  <si>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</si>
  <si>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</si>
  <si>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</si>
  <si>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</si>
  <si>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</si>
  <si>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</si>
  <si>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</si>
  <si>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</si>
  <si>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</si>
  <si>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</si>
  <si>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</si>
  <si>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</si>
  <si>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</si>
  <si>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</si>
  <si>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</si>
  <si>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</si>
  <si>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</si>
  <si>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</si>
  <si>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</si>
  <si>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</si>
  <si>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</si>
  <si>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</si>
  <si>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</si>
  <si>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</si>
  <si>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</si>
  <si>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</si>
  <si>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</si>
  <si>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</si>
  <si>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</si>
  <si>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</si>
  <si>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</si>
  <si>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</si>
  <si>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</si>
  <si>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</si>
  <si>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</si>
  <si>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</si>
  <si>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</si>
  <si>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</si>
  <si>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</si>
  <si>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</si>
  <si>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</si>
  <si>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</si>
  <si>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</si>
  <si>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</si>
  <si>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</si>
  <si>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</si>
  <si>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</si>
  <si>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</si>
  <si>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</si>
  <si>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</si>
  <si>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</si>
  <si>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</si>
  <si>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</si>
  <si>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</si>
  <si>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</si>
  <si>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</si>
  <si>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</si>
  <si>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</si>
  <si>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</si>
  <si>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</si>
  <si>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</si>
  <si>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</si>
  <si>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</si>
  <si>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</si>
  <si>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</si>
  <si>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</si>
  <si>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</si>
  <si>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</si>
  <si>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</si>
  <si>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</si>
  <si>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</si>
  <si>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</si>
  <si>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</si>
  <si>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</si>
  <si>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</si>
  <si>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</si>
  <si>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</si>
  <si>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</si>
  <si>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</si>
  <si>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</si>
  <si>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</si>
  <si>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</si>
  <si>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</si>
  <si>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</si>
  <si>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</si>
  <si>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</si>
  <si>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</si>
  <si>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</si>
  <si>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</si>
  <si>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</si>
  <si>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</si>
  <si>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</si>
  <si>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</si>
  <si>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</si>
  <si>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</si>
  <si>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</si>
  <si>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</si>
  <si>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</si>
  <si>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</si>
  <si>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</si>
  <si>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</si>
  <si>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</si>
  <si>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</si>
  <si>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</si>
  <si>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</si>
  <si>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</si>
  <si>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</si>
  <si>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</si>
  <si>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</si>
  <si>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</si>
  <si>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</si>
  <si>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</si>
  <si>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</si>
  <si>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</si>
  <si>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</si>
  <si>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</si>
  <si>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</si>
  <si>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</si>
  <si>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</si>
  <si>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</si>
  <si>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</si>
  <si>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</si>
  <si>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</si>
  <si>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</si>
  <si>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</si>
  <si>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</si>
  <si>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</si>
  <si>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</si>
  <si>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</si>
  <si>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</si>
  <si>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</si>
  <si>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</si>
  <si>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</si>
  <si>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</si>
  <si>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</si>
  <si>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</si>
  <si>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</si>
  <si>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</si>
  <si>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</si>
  <si>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</si>
  <si>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</si>
  <si>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</si>
  <si>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</si>
  <si>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</si>
  <si>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</si>
  <si>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</si>
  <si>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</si>
  <si>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</si>
  <si>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</si>
  <si>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</si>
  <si>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</si>
  <si>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</si>
  <si>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</si>
  <si>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</si>
  <si>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</si>
  <si>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</si>
  <si>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</si>
  <si>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</si>
  <si>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</si>
  <si>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</si>
  <si>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</si>
  <si>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</si>
  <si>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</si>
  <si>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</si>
  <si>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</si>
  <si>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</si>
  <si>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</si>
  <si>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</si>
  <si>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</si>
  <si>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</si>
  <si>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</si>
  <si>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</si>
  <si>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</si>
  <si>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</si>
  <si>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</si>
  <si>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</si>
  <si>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</si>
  <si>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</si>
  <si>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</si>
  <si>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</si>
  <si>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</si>
  <si>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</si>
  <si>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</si>
  <si>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</si>
  <si>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</si>
  <si>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</si>
  <si>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</si>
  <si>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</si>
  <si>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</si>
  <si>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</si>
  <si>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</si>
  <si>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</si>
  <si>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</si>
  <si>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</si>
  <si>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</si>
  <si>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</si>
  <si>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</si>
  <si>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</si>
  <si>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</si>
  <si>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</si>
  <si>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</si>
  <si>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</si>
  <si>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</si>
  <si>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</si>
  <si>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</si>
  <si>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</si>
  <si>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</si>
  <si>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</si>
  <si>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</si>
  <si>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</si>
  <si>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</si>
  <si>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</si>
  <si>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</si>
  <si>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</si>
  <si>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</si>
  <si>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</si>
  <si>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</si>
  <si>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</si>
  <si>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</si>
  <si>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</si>
  <si>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</si>
  <si>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</si>
  <si>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</si>
  <si>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</si>
  <si>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</si>
  <si>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</si>
  <si>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</si>
  <si>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</si>
  <si>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</si>
  <si>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</si>
  <si>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</si>
  <si>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</si>
  <si>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</si>
  <si>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</si>
  <si>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</si>
  <si>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</si>
  <si>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</si>
  <si>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</si>
  <si>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</si>
  <si>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</si>
  <si>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</si>
  <si>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</si>
  <si>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</si>
  <si>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</si>
  <si>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</si>
  <si>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</si>
  <si>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</si>
  <si>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</si>
  <si>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</si>
  <si>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</si>
  <si>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</si>
  <si>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</si>
  <si>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</si>
  <si>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</si>
  <si>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</si>
  <si>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</si>
  <si>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</si>
  <si>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</si>
  <si>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</si>
  <si>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</si>
  <si>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</si>
  <si>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</si>
  <si>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</si>
  <si>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</si>
  <si>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</si>
  <si>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</si>
  <si>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</si>
  <si>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</si>
  <si>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</si>
  <si>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</si>
  <si>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</si>
  <si>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</si>
  <si>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</si>
  <si>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</si>
  <si>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</si>
  <si>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</si>
  <si>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</si>
  <si>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</si>
  <si>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</si>
  <si>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</si>
  <si>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</si>
  <si>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</si>
  <si>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</si>
  <si>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</si>
  <si>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</si>
  <si>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</si>
  <si>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</si>
  <si>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</si>
  <si>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</si>
  <si>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</si>
  <si>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</si>
  <si>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</si>
  <si>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</si>
  <si>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</si>
  <si>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</si>
  <si>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</si>
  <si>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</si>
  <si>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</si>
  <si>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</si>
  <si>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</si>
  <si>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</si>
  <si>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</si>
  <si>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</si>
  <si>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</si>
  <si>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</si>
  <si>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</si>
  <si>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</si>
  <si>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</si>
  <si>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</si>
  <si>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</si>
  <si>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</si>
  <si>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</si>
  <si>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</si>
  <si>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</si>
  <si>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</si>
  <si>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</si>
  <si>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</si>
  <si>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</si>
  <si>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</si>
  <si>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</si>
  <si>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</si>
  <si>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</si>
  <si>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</si>
  <si>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</si>
  <si>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</si>
  <si>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</si>
  <si>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</si>
  <si>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</si>
  <si>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</si>
  <si>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</si>
  <si>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</si>
  <si>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</si>
  <si>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</si>
  <si>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</si>
  <si>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</si>
  <si>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</si>
  <si>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</si>
  <si>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</si>
  <si>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</si>
  <si>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</si>
  <si>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</si>
  <si>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</si>
  <si>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</si>
  <si>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</si>
  <si>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</si>
  <si>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</si>
  <si>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</si>
  <si>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</si>
  <si>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</si>
  <si>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</si>
  <si>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</si>
  <si>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</si>
  <si>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</si>
  <si>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</si>
  <si>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</si>
  <si>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</si>
  <si>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</si>
  <si>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</si>
  <si>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</si>
  <si>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</si>
  <si>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</si>
  <si>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</si>
  <si>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</si>
  <si>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</si>
  <si>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</si>
  <si>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</si>
  <si>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</si>
  <si>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</si>
  <si>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</si>
  <si>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</si>
  <si>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</si>
  <si>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</si>
  <si>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</si>
  <si>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</si>
  <si>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</si>
  <si>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</si>
  <si>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</si>
  <si>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</si>
  <si>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</si>
  <si>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</si>
  <si>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</si>
  <si>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</si>
  <si>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</si>
  <si>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</si>
  <si>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</si>
  <si>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</si>
  <si>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</si>
  <si>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</si>
  <si>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</si>
  <si>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</si>
  <si>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</si>
  <si>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</si>
  <si>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</si>
  <si>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</si>
  <si>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</si>
  <si>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</si>
  <si>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</si>
  <si>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</si>
  <si>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</si>
  <si>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</si>
  <si>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</si>
  <si>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</si>
  <si>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</si>
  <si>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</si>
  <si>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</si>
  <si>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</si>
  <si>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</si>
  <si>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</si>
  <si>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</si>
  <si>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</si>
  <si>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</si>
  <si>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</si>
  <si>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</si>
  <si>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</si>
  <si>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</si>
  <si>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</si>
  <si>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</si>
  <si>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</si>
  <si>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</si>
  <si>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</si>
  <si>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</si>
  <si>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</si>
  <si>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</si>
  <si>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</si>
  <si>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</si>
  <si>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</si>
  <si>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</si>
  <si>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</si>
  <si>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</si>
  <si>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</si>
  <si>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</si>
  <si>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</si>
  <si>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</si>
  <si>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</si>
  <si>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</si>
  <si>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</si>
  <si>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</si>
  <si>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</si>
  <si>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</si>
  <si>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</si>
  <si>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</si>
  <si>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</si>
  <si>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</si>
  <si>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</si>
  <si>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</si>
  <si>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</si>
  <si>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</si>
  <si>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</si>
  <si>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</si>
  <si>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</si>
  <si>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</si>
  <si>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</si>
  <si>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</si>
  <si>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</si>
  <si>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</si>
  <si>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</si>
  <si>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</si>
  <si>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</si>
  <si>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</si>
  <si>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</si>
  <si>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</si>
  <si>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</si>
  <si>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</si>
  <si>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</si>
  <si>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</si>
  <si>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</si>
  <si>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</si>
  <si>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</si>
  <si>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</si>
  <si>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</si>
  <si>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</si>
  <si>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</si>
  <si>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</si>
  <si>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</si>
  <si>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</si>
  <si>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</si>
  <si>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</si>
  <si>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</si>
  <si>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</si>
  <si>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</si>
  <si>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</si>
  <si>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</si>
  <si>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</si>
  <si>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</si>
  <si>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</si>
  <si>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</si>
  <si>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</si>
  <si>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</si>
  <si>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</si>
  <si>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</si>
  <si>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</si>
  <si>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</si>
  <si>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</si>
  <si>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</si>
  <si>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</si>
  <si>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</si>
  <si>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</si>
  <si>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</si>
  <si>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</si>
  <si>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</si>
  <si>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</si>
  <si>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</si>
  <si>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</si>
  <si>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</si>
  <si>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</si>
  <si>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</si>
  <si>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</si>
  <si>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</si>
  <si>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</si>
  <si>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</si>
  <si>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</si>
  <si>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</si>
  <si>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</si>
  <si>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</si>
  <si>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</si>
  <si>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</si>
  <si>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</si>
  <si>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</si>
  <si>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</si>
  <si>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</si>
  <si>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</si>
  <si>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</si>
  <si>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</si>
  <si>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</si>
  <si>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</si>
  <si>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</si>
  <si>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</si>
  <si>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</si>
  <si>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</si>
  <si>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</si>
  <si>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</si>
  <si>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</si>
  <si>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</si>
  <si>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</si>
  <si>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</si>
  <si>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</si>
  <si>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</si>
  <si>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</si>
  <si>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</si>
  <si>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</si>
  <si>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</si>
  <si>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</si>
  <si>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</si>
  <si>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</si>
  <si>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</si>
  <si>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</si>
  <si>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</si>
  <si>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</si>
  <si>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</si>
  <si>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</si>
  <si>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</si>
  <si>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</si>
  <si>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</si>
  <si>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</si>
  <si>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</si>
  <si>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</si>
  <si>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</si>
  <si>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</si>
  <si>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</si>
  <si>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</si>
  <si>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</si>
  <si>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</si>
  <si>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</si>
  <si>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</si>
  <si>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</si>
  <si>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</si>
  <si>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</si>
  <si>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</si>
  <si>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</si>
  <si>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</si>
  <si>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</si>
  <si>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</si>
  <si>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</si>
  <si>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</si>
  <si>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</si>
  <si>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</si>
  <si>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</si>
  <si>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</si>
  <si>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</si>
  <si>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</si>
  <si>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</si>
  <si>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</si>
  <si>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</si>
  <si>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</si>
  <si>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</si>
  <si>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</si>
  <si>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</si>
  <si>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</si>
  <si>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</si>
  <si>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</si>
  <si>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</si>
  <si>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</si>
  <si>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</si>
  <si>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</si>
  <si>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</si>
  <si>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</si>
  <si>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</si>
  <si>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</si>
  <si>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</si>
  <si>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</si>
  <si>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</si>
  <si>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</si>
  <si>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</si>
  <si>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</si>
  <si>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</si>
  <si>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</si>
  <si>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</si>
  <si>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</si>
  <si>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</si>
  <si>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</si>
  <si>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</si>
  <si>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</si>
  <si>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</si>
  <si>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</si>
  <si>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</si>
  <si>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</si>
  <si>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</si>
  <si>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</si>
  <si>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</si>
  <si>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</si>
  <si>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</si>
  <si>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</si>
  <si>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</si>
  <si>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</si>
  <si>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</si>
  <si>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</si>
  <si>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</si>
  <si>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</si>
  <si>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</si>
  <si>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</si>
  <si>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</si>
  <si>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</si>
  <si>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</si>
  <si>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</si>
  <si>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</si>
  <si>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</si>
  <si>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</si>
  <si>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</si>
  <si>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</si>
  <si>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</si>
  <si>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</si>
  <si>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</si>
  <si>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</si>
  <si>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</si>
  <si>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</si>
  <si>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</si>
  <si>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</si>
  <si>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</si>
  <si>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</si>
  <si>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</si>
  <si>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</si>
  <si>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</si>
  <si>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</si>
  <si>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</si>
  <si>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</si>
  <si>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</si>
  <si>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</si>
  <si>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</si>
  <si>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</si>
  <si>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</si>
  <si>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</si>
  <si>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</si>
  <si>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</si>
  <si>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</si>
  <si>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</si>
  <si>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</si>
  <si>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</si>
  <si>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</si>
  <si>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</si>
  <si>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</si>
  <si>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</si>
  <si>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</si>
  <si>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</si>
  <si>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</si>
  <si>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</si>
  <si>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</si>
  <si>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</si>
  <si>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</si>
  <si>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</si>
  <si>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</si>
  <si>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</si>
  <si>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</si>
  <si>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</si>
  <si>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</si>
  <si>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</si>
  <si>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</si>
  <si>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</si>
  <si>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</si>
  <si>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</si>
  <si>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</si>
  <si>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</si>
  <si>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</si>
  <si>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</si>
  <si>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</si>
  <si>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</si>
  <si>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</si>
  <si>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</si>
  <si>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</si>
  <si>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</si>
  <si>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</si>
  <si>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</si>
  <si>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</si>
  <si>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</si>
  <si>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</si>
  <si>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</si>
  <si>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</si>
  <si>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</si>
  <si>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</si>
  <si>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</si>
  <si>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</si>
  <si>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</si>
  <si>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</si>
  <si>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</si>
  <si>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</si>
  <si>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</si>
  <si>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</si>
  <si>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</si>
  <si>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</si>
  <si>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</si>
  <si>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</si>
  <si>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</si>
  <si>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</si>
  <si>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</si>
  <si>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</si>
  <si>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</si>
  <si>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</si>
  <si>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</si>
  <si>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</si>
  <si>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</si>
  <si>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</si>
  <si>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</si>
  <si>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</si>
  <si>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</si>
  <si>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</si>
  <si>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</si>
  <si>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</si>
  <si>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</si>
  <si>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</si>
  <si>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</si>
  <si>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</si>
  <si>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</si>
  <si>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</si>
  <si>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</si>
  <si>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</si>
  <si>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</si>
  <si>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</si>
  <si>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</si>
  <si>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</si>
  <si>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</si>
  <si>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</si>
  <si>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</si>
  <si>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</si>
  <si>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</si>
  <si>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</si>
  <si>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</si>
  <si>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</si>
  <si>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</si>
  <si>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</si>
  <si>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</si>
  <si>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</si>
  <si>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</si>
  <si>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</si>
  <si>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</si>
  <si>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</si>
  <si>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</si>
  <si>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</si>
  <si>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</si>
  <si>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</si>
  <si>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</si>
  <si>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</si>
  <si>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</si>
  <si>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</si>
  <si>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</si>
  <si>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</si>
  <si>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</si>
  <si>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</si>
  <si>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</si>
  <si>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</si>
  <si>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</si>
  <si>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</si>
  <si>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</si>
  <si>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</si>
  <si>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</si>
  <si>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</si>
  <si>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</si>
  <si>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</si>
  <si>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</si>
  <si>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</si>
  <si>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</si>
  <si>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</si>
  <si>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</si>
  <si>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</si>
  <si>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</si>
  <si>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</si>
  <si>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</si>
  <si>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</si>
  <si>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</si>
  <si>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</si>
  <si>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</si>
  <si>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</si>
  <si>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</si>
  <si>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</si>
  <si>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</si>
  <si>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</si>
  <si>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</si>
  <si>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</si>
  <si>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</si>
  <si>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</si>
  <si>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</si>
  <si>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</si>
  <si>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</si>
  <si>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</si>
  <si>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</si>
  <si>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</si>
  <si>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</si>
  <si>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</si>
  <si>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</si>
  <si>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</si>
  <si>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</si>
  <si>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</si>
  <si>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</si>
  <si>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</si>
  <si>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</si>
  <si>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</si>
  <si>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</si>
  <si>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</si>
  <si>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</si>
  <si>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</si>
  <si>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</si>
  <si>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</si>
  <si>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</si>
  <si>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</si>
  <si>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</si>
  <si>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</si>
  <si>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</si>
  <si>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</si>
  <si>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</si>
  <si>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</si>
  <si>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</si>
  <si>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</si>
  <si>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</si>
  <si>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</si>
  <si>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</si>
  <si>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</si>
  <si>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</si>
  <si>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</si>
  <si>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</si>
  <si>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</si>
  <si>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</si>
  <si>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</si>
  <si>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</si>
  <si>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</si>
  <si>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</si>
  <si>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</si>
  <si>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</si>
  <si>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</si>
  <si>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</si>
  <si>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</si>
  <si>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</si>
  <si>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</si>
  <si>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</si>
  <si>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</si>
  <si>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</si>
  <si>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</si>
  <si>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</si>
  <si>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</si>
  <si>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</si>
  <si>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</si>
  <si>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</si>
  <si>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</si>
  <si>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</si>
  <si>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</si>
  <si>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</si>
  <si>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</si>
  <si>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</si>
  <si>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</si>
  <si>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</si>
  <si>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</si>
  <si>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</si>
  <si>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</si>
  <si>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</si>
  <si>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</si>
  <si>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</si>
  <si>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</si>
  <si>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</si>
  <si>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</si>
  <si>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</si>
  <si>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</si>
  <si>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</si>
  <si>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</si>
  <si>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</si>
  <si>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</si>
  <si>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</si>
  <si>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</si>
  <si>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</si>
  <si>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</si>
  <si>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</si>
  <si>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</si>
  <si>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</si>
  <si>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</si>
  <si>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</si>
  <si>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</si>
  <si>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</si>
  <si>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</si>
  <si>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</si>
  <si>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</si>
  <si>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</si>
  <si>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</si>
  <si>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</si>
  <si>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</si>
  <si>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</si>
  <si>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</si>
  <si>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</si>
  <si>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</si>
  <si>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</si>
  <si>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</si>
  <si>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</si>
  <si>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</si>
  <si>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</si>
  <si>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</si>
  <si>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</si>
  <si>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</si>
  <si>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</si>
  <si>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</si>
  <si>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</si>
  <si>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</si>
  <si>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</si>
  <si>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</si>
  <si>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</si>
  <si>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</si>
  <si>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</si>
  <si>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</si>
  <si>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</si>
  <si>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</si>
  <si>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</si>
  <si>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</si>
  <si>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</si>
  <si>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</si>
  <si>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</si>
  <si>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</si>
  <si>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</si>
  <si>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</si>
  <si>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</si>
  <si>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</si>
  <si>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</si>
  <si>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</si>
  <si>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</si>
  <si>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</si>
  <si>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</si>
  <si>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</si>
  <si>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</si>
  <si>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</si>
  <si>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</si>
  <si>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</si>
  <si>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</si>
  <si>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</si>
  <si>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</si>
  <si>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</si>
  <si>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</si>
  <si>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</si>
  <si>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</si>
  <si>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</si>
  <si>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</si>
  <si>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</si>
  <si>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</si>
  <si>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</si>
  <si>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</si>
  <si>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</si>
  <si>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</si>
  <si>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</si>
  <si>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</si>
  <si>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</si>
  <si>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</si>
  <si>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</si>
  <si>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</si>
  <si>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</si>
  <si>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</si>
  <si>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</si>
  <si>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</si>
  <si>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</si>
  <si>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</si>
  <si>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</si>
  <si>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</si>
  <si>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</si>
  <si>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</si>
  <si>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</si>
  <si>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</si>
  <si>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</si>
  <si>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</si>
  <si>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</si>
  <si>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</si>
  <si>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</si>
  <si>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</si>
  <si>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</si>
  <si>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</si>
  <si>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</si>
  <si>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</si>
  <si>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</si>
  <si>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</si>
  <si>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</si>
  <si>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</si>
  <si>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</si>
  <si>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</si>
  <si>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</si>
  <si>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</si>
  <si>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</si>
  <si>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</si>
  <si>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</si>
  <si>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</si>
  <si>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</si>
  <si>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</si>
  <si>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</si>
  <si>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</si>
  <si>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</si>
  <si>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</si>
  <si>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</si>
  <si>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</si>
  <si>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</si>
  <si>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</si>
  <si>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</si>
  <si>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</si>
  <si>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</si>
  <si>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</si>
  <si>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</si>
  <si>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</si>
  <si>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</si>
  <si>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</si>
  <si>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</si>
  <si>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</si>
  <si>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</si>
  <si>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</si>
  <si>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</si>
  <si>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</si>
  <si>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</si>
  <si>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</si>
  <si>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</si>
  <si>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</si>
  <si>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</si>
  <si>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</si>
  <si>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</si>
  <si>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</si>
  <si>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</si>
  <si>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</si>
  <si>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</si>
  <si>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</si>
  <si>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</si>
  <si>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</si>
  <si>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</si>
  <si>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</si>
  <si>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</si>
  <si>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</si>
  <si>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</si>
  <si>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</si>
  <si>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</si>
  <si>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</si>
  <si>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</si>
  <si>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</si>
  <si>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</si>
  <si>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</si>
  <si>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</si>
  <si>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</si>
  <si>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</si>
  <si>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</si>
  <si>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</si>
  <si>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</si>
  <si>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</si>
  <si>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</si>
  <si>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</si>
  <si>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</si>
  <si>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</si>
  <si>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</si>
  <si>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</si>
  <si>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</si>
  <si>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</si>
  <si>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</si>
  <si>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</si>
  <si>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</si>
  <si>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</si>
  <si>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</si>
  <si>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</si>
  <si>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</si>
  <si>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</si>
  <si>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</si>
  <si>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</si>
  <si>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</si>
  <si>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</si>
  <si>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</si>
  <si>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</si>
  <si>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</si>
  <si>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</si>
  <si>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</si>
  <si>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</si>
  <si>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</si>
  <si>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</si>
  <si>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</si>
  <si>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</si>
  <si>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</si>
  <si>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</si>
  <si>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</si>
  <si>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</si>
  <si>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</si>
  <si>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</si>
  <si>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</si>
  <si>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</si>
  <si>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</si>
  <si>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</si>
  <si>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</si>
  <si>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</si>
  <si>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</si>
  <si>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</si>
  <si>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</si>
  <si>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</si>
  <si>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</si>
  <si>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</si>
  <si>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</si>
  <si>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</si>
  <si>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</si>
  <si>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</si>
  <si>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</si>
  <si>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</si>
  <si>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</si>
  <si>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</si>
  <si>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</si>
  <si>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</si>
  <si>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</si>
  <si>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</si>
  <si>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</si>
  <si>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</si>
  <si>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</si>
  <si>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</si>
  <si>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</si>
  <si>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</si>
  <si>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</si>
  <si>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</si>
  <si>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</si>
  <si>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</si>
  <si>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</si>
  <si>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</si>
  <si>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</si>
  <si>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</si>
  <si>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</si>
  <si>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</si>
  <si>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</si>
  <si>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</si>
  <si>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</si>
  <si>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</si>
  <si>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</si>
  <si>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</si>
  <si>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</si>
  <si>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</si>
  <si>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</si>
  <si>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</si>
  <si>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</si>
  <si>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</si>
  <si>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</si>
  <si>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</si>
  <si>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</si>
  <si>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</si>
  <si>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</si>
  <si>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</si>
  <si>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</si>
  <si>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</si>
  <si>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</si>
  <si>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</si>
  <si>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</si>
  <si>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</si>
  <si>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</si>
  <si>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</si>
  <si>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</si>
  <si>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</si>
  <si>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</si>
  <si>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</si>
  <si>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</si>
  <si>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</si>
  <si>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</si>
  <si>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</si>
  <si>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</si>
  <si>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</si>
  <si>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</si>
  <si>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</si>
  <si>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</si>
  <si>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</si>
  <si>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</si>
  <si>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</si>
  <si>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</si>
  <si>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</si>
  <si>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</si>
  <si>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</si>
  <si>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</si>
  <si>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</si>
  <si>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</si>
  <si>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</si>
  <si>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</si>
  <si>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</si>
  <si>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</si>
  <si>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</si>
  <si>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</si>
  <si>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</si>
  <si>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</si>
  <si>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</si>
  <si>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</si>
  <si>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</si>
  <si>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</si>
  <si>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</si>
  <si>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</si>
  <si>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</si>
  <si>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</si>
  <si>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</si>
  <si>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</si>
  <si>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</si>
  <si>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</si>
  <si>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</si>
  <si>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</si>
  <si>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</si>
  <si>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</si>
  <si>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</si>
  <si>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</si>
  <si>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</si>
  <si>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</si>
  <si>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</si>
  <si>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</si>
  <si>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</si>
  <si>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</si>
  <si>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</si>
  <si>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</si>
  <si>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</si>
  <si>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</si>
  <si>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</si>
  <si>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</si>
  <si>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</si>
  <si>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</si>
  <si>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</si>
  <si>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</si>
  <si>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</si>
  <si>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</si>
  <si>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</si>
  <si>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</si>
  <si>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</si>
  <si>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</si>
  <si>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</si>
  <si>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</si>
  <si>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</si>
  <si>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</si>
  <si>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</si>
  <si>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</si>
  <si>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</si>
  <si>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</si>
  <si>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</si>
  <si>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</si>
  <si>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</si>
  <si>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</si>
  <si>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</si>
  <si>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</si>
  <si>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</si>
  <si>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</si>
  <si>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</si>
  <si>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</si>
  <si>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</si>
  <si>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</si>
  <si>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</si>
  <si>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</si>
  <si>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</si>
  <si>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</si>
  <si>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</si>
  <si>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</si>
  <si>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</si>
  <si>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</si>
  <si>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</si>
  <si>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</si>
  <si>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</si>
  <si>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</si>
  <si>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</si>
  <si>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</si>
  <si>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</si>
  <si>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</si>
  <si>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</si>
  <si>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</si>
  <si>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</si>
  <si>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</si>
  <si>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</si>
  <si>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</si>
  <si>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</si>
  <si>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</si>
  <si>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</si>
  <si>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</si>
  <si>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</si>
  <si>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</si>
  <si>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</si>
  <si>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</si>
  <si>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</si>
  <si>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</si>
  <si>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</si>
  <si>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</si>
  <si>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</si>
  <si>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</si>
  <si>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</si>
  <si>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</si>
  <si>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</si>
  <si>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</si>
  <si>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</si>
  <si>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</si>
  <si>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</si>
  <si>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</si>
  <si>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</si>
  <si>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</si>
  <si>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</si>
  <si>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</si>
  <si>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</si>
  <si>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</si>
  <si>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</si>
  <si>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</si>
  <si>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</si>
  <si>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</si>
  <si>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</si>
  <si>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</si>
  <si>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</si>
  <si>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</si>
  <si>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</si>
  <si>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</si>
  <si>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</si>
  <si>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</si>
  <si>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</si>
  <si>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</si>
  <si>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</si>
  <si>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</si>
  <si>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</si>
  <si>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</si>
  <si>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</si>
  <si>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</si>
  <si>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</si>
  <si>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</si>
  <si>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</si>
  <si>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</si>
  <si>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</si>
  <si>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</si>
  <si>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</si>
  <si>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</si>
  <si>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</si>
  <si>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</si>
  <si>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</si>
  <si>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</si>
  <si>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</si>
  <si>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</si>
  <si>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</si>
  <si>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</si>
  <si>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</si>
  <si>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</si>
  <si>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</si>
  <si>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</si>
  <si>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</si>
  <si>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</si>
  <si>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</si>
  <si>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</si>
  <si>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</si>
  <si>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</si>
  <si>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</si>
  <si>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</si>
  <si>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</si>
  <si>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</si>
  <si>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</si>
  <si>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</si>
  <si>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</si>
  <si>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</si>
  <si>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</si>
  <si>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</si>
  <si>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</si>
  <si>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</si>
  <si>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</si>
  <si>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</si>
  <si>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</si>
  <si>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</si>
  <si>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</si>
  <si>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</si>
  <si>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</si>
  <si>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</si>
  <si>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</si>
  <si>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</si>
  <si>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</si>
  <si>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</si>
  <si>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</si>
  <si>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</si>
  <si>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</si>
  <si>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</si>
  <si>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</si>
  <si>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</si>
  <si>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</si>
  <si>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</si>
  <si>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</si>
  <si>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</si>
  <si>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</si>
  <si>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</si>
  <si>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</si>
  <si>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</si>
  <si>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</si>
  <si>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</si>
  <si>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</si>
  <si>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</si>
  <si>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</si>
  <si>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</si>
  <si>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</si>
  <si>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</si>
  <si>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</si>
  <si>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</si>
  <si>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</si>
  <si>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</si>
  <si>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</si>
  <si>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</si>
  <si>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</si>
  <si>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</si>
  <si>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</si>
  <si>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</si>
  <si>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</si>
  <si>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</si>
  <si>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</si>
  <si>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</si>
  <si>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</si>
  <si>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</si>
  <si>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</si>
  <si>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</si>
  <si>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</si>
  <si>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</si>
  <si>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</si>
  <si>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</si>
  <si>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</si>
  <si>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</si>
  <si>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</si>
  <si>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</si>
  <si>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</si>
  <si>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</si>
  <si>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</si>
  <si>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</si>
  <si>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</si>
  <si>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</si>
  <si>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</si>
  <si>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</si>
  <si>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</si>
  <si>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</si>
  <si>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</si>
  <si>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</si>
  <si>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</si>
  <si>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</si>
  <si>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</si>
  <si>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</si>
  <si>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</si>
  <si>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</si>
  <si>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</si>
  <si>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</si>
  <si>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</si>
  <si>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</si>
  <si>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</si>
  <si>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</si>
  <si>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</si>
  <si>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</si>
  <si>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</si>
  <si>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</si>
  <si>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</si>
  <si>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</si>
  <si>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</si>
  <si>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</si>
  <si>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</si>
  <si>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</si>
  <si>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</si>
  <si>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</si>
  <si>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</si>
  <si>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</si>
  <si>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</si>
  <si>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</si>
  <si>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</si>
  <si>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</si>
  <si>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</si>
  <si>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</si>
  <si>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</si>
  <si>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</si>
  <si>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</si>
  <si>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</si>
  <si>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</si>
  <si>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</si>
  <si>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</si>
  <si>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</si>
  <si>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</si>
  <si>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</si>
  <si>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</si>
  <si>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</si>
  <si>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</si>
  <si>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</si>
  <si>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</si>
  <si>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</si>
  <si>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</si>
  <si>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</si>
  <si>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</si>
  <si>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</si>
  <si>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</si>
  <si>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</si>
  <si>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</si>
  <si>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</si>
  <si>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</si>
  <si>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</si>
  <si>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</si>
  <si>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</si>
  <si>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</si>
  <si>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</si>
  <si>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</si>
  <si>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</si>
  <si>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</si>
  <si>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</si>
  <si>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</si>
  <si>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</si>
  <si>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</si>
  <si>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</si>
  <si>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</si>
  <si>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</si>
  <si>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</si>
  <si>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</si>
  <si>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</si>
  <si>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</si>
  <si>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</si>
  <si>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</si>
  <si>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</si>
  <si>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</si>
  <si>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</si>
  <si>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</si>
  <si>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</si>
  <si>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</si>
  <si>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</si>
  <si>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</si>
  <si>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</si>
  <si>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</si>
  <si>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</si>
  <si>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</si>
  <si>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</si>
  <si>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</si>
  <si>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</si>
  <si>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</si>
  <si>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</si>
  <si>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</si>
  <si>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</si>
  <si>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</si>
  <si>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</si>
  <si>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</si>
  <si>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</si>
  <si>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</si>
  <si>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</si>
  <si>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</si>
  <si>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</si>
  <si>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</si>
  <si>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</si>
  <si>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</si>
  <si>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</si>
  <si>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</si>
  <si>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</si>
  <si>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</si>
  <si>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</si>
  <si>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</si>
  <si>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</si>
  <si>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</si>
  <si>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</si>
  <si>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</si>
  <si>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</si>
  <si>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</si>
  <si>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</si>
  <si>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</si>
  <si>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</si>
  <si>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</si>
  <si>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</si>
  <si>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</si>
  <si>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</si>
  <si>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</si>
  <si>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</si>
  <si>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</si>
  <si>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</si>
  <si>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</si>
  <si>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</si>
  <si>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</si>
  <si>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</si>
  <si>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</si>
  <si>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</si>
  <si>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</si>
  <si>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</si>
  <si>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</si>
  <si>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</si>
  <si>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</si>
  <si>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</si>
  <si>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</si>
  <si>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</si>
  <si>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</si>
  <si>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</si>
  <si>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</si>
  <si>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</si>
  <si>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</si>
  <si>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</si>
  <si>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</si>
  <si>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</si>
  <si>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</si>
  <si>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</si>
  <si>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</si>
  <si>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</si>
  <si>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</si>
  <si>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</si>
  <si>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</si>
  <si>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</si>
  <si>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</si>
  <si>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</si>
  <si>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</si>
  <si>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</si>
  <si>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</si>
  <si>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</si>
  <si>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</si>
  <si>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</si>
  <si>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</si>
  <si>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</si>
  <si>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</si>
  <si>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</si>
  <si>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</si>
  <si>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</si>
  <si>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</si>
  <si>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</si>
  <si>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</si>
  <si>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</si>
  <si>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</si>
  <si>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</si>
  <si>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</si>
  <si>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</si>
  <si>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</si>
  <si>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</si>
  <si>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</si>
  <si>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</si>
  <si>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</si>
  <si>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</si>
  <si>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</si>
  <si>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</si>
  <si>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</si>
  <si>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</si>
  <si>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</si>
  <si>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</si>
  <si>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</si>
  <si>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</si>
  <si>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</si>
  <si>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</si>
  <si>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</si>
  <si>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</si>
  <si>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</si>
  <si>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</si>
  <si>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</si>
  <si>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</si>
  <si>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</si>
  <si>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</si>
  <si>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</si>
  <si>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</si>
  <si>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</si>
  <si>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</si>
  <si>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</si>
  <si>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</si>
  <si>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</si>
  <si>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</si>
  <si>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</si>
  <si>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</si>
  <si>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</si>
  <si>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</si>
  <si>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</si>
  <si>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</si>
  <si>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</si>
  <si>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</si>
  <si>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</si>
  <si>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</si>
  <si>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</si>
  <si>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</si>
  <si>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</si>
  <si>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</si>
  <si>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</si>
  <si>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</si>
  <si>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</si>
  <si>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</si>
  <si>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</si>
  <si>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</si>
  <si>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</si>
  <si>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</si>
  <si>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</si>
  <si>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</si>
  <si>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</si>
  <si>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</si>
  <si>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</si>
  <si>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</si>
  <si>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</si>
  <si>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</si>
  <si>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</si>
  <si>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</si>
  <si>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</si>
  <si>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</si>
  <si>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</si>
  <si>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</si>
  <si>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</si>
  <si>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</si>
  <si>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</si>
  <si>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</si>
  <si>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</si>
  <si>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</si>
  <si>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</si>
  <si>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</si>
  <si>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</si>
  <si>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</si>
  <si>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</si>
  <si>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</si>
  <si>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</si>
  <si>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</si>
  <si>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</si>
  <si>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</si>
  <si>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</si>
  <si>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</si>
  <si>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</si>
  <si>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</si>
  <si>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</si>
  <si>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</si>
  <si>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</si>
  <si>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</si>
  <si>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</si>
  <si>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</si>
  <si>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</si>
  <si>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</si>
  <si>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</si>
  <si>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</si>
  <si>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</si>
  <si>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</si>
  <si>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</si>
  <si>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</si>
  <si>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</si>
  <si>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</si>
  <si>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</si>
  <si>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</si>
  <si>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</si>
  <si>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</si>
  <si>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</si>
  <si>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</si>
  <si>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</si>
  <si>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</si>
  <si>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</si>
  <si>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</si>
  <si>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</si>
  <si>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</si>
  <si>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</si>
  <si>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</si>
  <si>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</si>
  <si>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</si>
  <si>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</si>
  <si>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</si>
  <si>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</si>
  <si>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</si>
  <si>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</si>
  <si>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</si>
  <si>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</si>
  <si>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</si>
  <si>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</si>
  <si>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</si>
  <si>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</si>
  <si>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</si>
  <si>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</si>
  <si>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</si>
  <si>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</si>
  <si>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</si>
  <si>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</si>
  <si>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</si>
  <si>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</si>
  <si>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</si>
  <si>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</si>
  <si>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</si>
  <si>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</si>
  <si>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</si>
  <si>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</si>
  <si>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</si>
  <si>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</si>
  <si>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</si>
  <si>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</si>
  <si>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</si>
  <si>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</si>
  <si>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</si>
  <si>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</si>
  <si>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</si>
  <si>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</si>
  <si>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</si>
  <si>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</si>
  <si>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</si>
  <si>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</si>
  <si>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</si>
  <si>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</si>
  <si>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</si>
  <si>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</si>
  <si>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</si>
  <si>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</si>
  <si>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</si>
  <si>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</si>
  <si>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</si>
  <si>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</si>
  <si>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</si>
  <si>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</si>
  <si>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</si>
  <si>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</si>
  <si>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</si>
  <si>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</si>
  <si>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</si>
  <si>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</si>
  <si>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</si>
  <si>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</si>
  <si>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</si>
  <si>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</si>
  <si>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</si>
  <si>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</si>
  <si>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</si>
  <si>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</si>
  <si>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</si>
  <si>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</si>
  <si>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</si>
  <si>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</si>
  <si>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</si>
  <si>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</si>
  <si>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</si>
  <si>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</si>
  <si>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</si>
  <si>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</si>
  <si>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</si>
  <si>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</si>
  <si>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</si>
  <si>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</si>
  <si>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</si>
  <si>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</si>
  <si>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</si>
  <si>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</si>
  <si>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</si>
  <si>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</si>
  <si>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</si>
  <si>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</si>
  <si>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</si>
  <si>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</si>
  <si>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</si>
  <si>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</si>
  <si>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</si>
  <si>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</si>
  <si>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</si>
  <si>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</si>
  <si>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</si>
  <si>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</si>
  <si>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</si>
  <si>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</si>
  <si>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</si>
  <si>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</si>
  <si>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</si>
  <si>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</si>
  <si>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</si>
  <si>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</si>
  <si>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</si>
  <si>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</si>
  <si>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</si>
  <si>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</si>
  <si>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</si>
  <si>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</si>
  <si>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</si>
  <si>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</si>
  <si>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</si>
  <si>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</si>
  <si>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</si>
  <si>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</si>
  <si>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</si>
  <si>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</si>
  <si>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</si>
  <si>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</si>
  <si>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</si>
  <si>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</si>
  <si>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</si>
  <si>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</si>
  <si>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</si>
  <si>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</si>
  <si>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</si>
  <si>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</si>
  <si>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</si>
  <si>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</si>
  <si>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</si>
  <si>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</si>
  <si>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</si>
  <si>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</si>
  <si>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</si>
  <si>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</si>
  <si>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</si>
  <si>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</si>
  <si>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</si>
  <si>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</si>
  <si>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</si>
  <si>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</si>
  <si>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</si>
  <si>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</si>
  <si>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</si>
  <si>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</si>
  <si>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</si>
  <si>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</si>
  <si>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</si>
  <si>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</si>
  <si>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</si>
  <si>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</si>
  <si>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</si>
  <si>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</si>
  <si>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</si>
  <si>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</si>
  <si>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</si>
  <si>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</si>
  <si>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</si>
  <si>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</si>
  <si>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</si>
  <si>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</si>
  <si>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</si>
  <si>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</si>
  <si>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</si>
  <si>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</si>
  <si>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</si>
  <si>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</si>
  <si>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</si>
  <si>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</si>
  <si>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</si>
  <si>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</si>
  <si>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</si>
  <si>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</si>
  <si>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</si>
  <si>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</si>
  <si>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</si>
  <si>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</si>
  <si>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</si>
  <si>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</si>
  <si>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</si>
  <si>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</si>
  <si>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</si>
  <si>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</si>
  <si>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</si>
  <si>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</si>
  <si>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</si>
  <si>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</si>
  <si>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</si>
  <si>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</si>
  <si>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</si>
  <si>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</si>
  <si>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</si>
  <si>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</si>
  <si>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</si>
  <si>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</si>
  <si>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</si>
  <si>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</si>
  <si>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</si>
  <si>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</si>
  <si>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</si>
  <si>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</si>
  <si>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</si>
  <si>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</si>
  <si>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</si>
  <si>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</si>
  <si>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</si>
  <si>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</si>
  <si>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</si>
  <si>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</si>
  <si>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</si>
  <si>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</si>
  <si>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</si>
  <si>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</si>
  <si>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</si>
  <si>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</si>
  <si>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</si>
  <si>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</si>
  <si>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</si>
  <si>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</si>
  <si>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</si>
  <si>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</si>
  <si>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</si>
  <si>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</si>
  <si>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</si>
  <si>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</si>
  <si>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</si>
  <si>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</si>
  <si>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</si>
  <si>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</si>
  <si>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</si>
  <si>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</si>
  <si>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</si>
  <si>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</si>
  <si>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</si>
  <si>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</si>
  <si>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</si>
  <si>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</si>
  <si>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</si>
  <si>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</si>
  <si>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</si>
  <si>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</si>
  <si>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</si>
  <si>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</si>
  <si>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</si>
  <si>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</si>
  <si>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</si>
  <si>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</si>
  <si>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</si>
  <si>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</si>
  <si>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</si>
  <si>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</si>
  <si>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</si>
  <si>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</si>
  <si>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</si>
  <si>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</si>
  <si>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</si>
  <si>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</si>
  <si>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</si>
  <si>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</si>
  <si>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</si>
  <si>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</si>
  <si>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</si>
  <si>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</si>
  <si>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</si>
  <si>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</si>
  <si>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</si>
  <si>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</si>
  <si>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</si>
  <si>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</si>
  <si>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</si>
  <si>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</si>
  <si>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</si>
  <si>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</si>
  <si>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</si>
  <si>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</si>
  <si>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</si>
  <si>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</si>
  <si>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</si>
  <si>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</si>
  <si>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</si>
  <si>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</si>
  <si>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</si>
  <si>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</si>
  <si>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</si>
  <si>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</si>
  <si>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</si>
  <si>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</si>
  <si>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</si>
  <si>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</si>
  <si>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</si>
  <si>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</si>
  <si>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</si>
  <si>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</si>
  <si>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</si>
  <si>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</si>
  <si>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</si>
  <si>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</si>
  <si>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</si>
  <si>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</si>
  <si>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</si>
  <si>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</si>
  <si>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</si>
  <si>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</si>
  <si>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</si>
  <si>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</si>
  <si>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</si>
  <si>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</si>
  <si>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</si>
  <si>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</si>
  <si>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</si>
  <si>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</si>
  <si>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</si>
  <si>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</si>
  <si>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</si>
  <si>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</si>
  <si>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</si>
  <si>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</si>
  <si>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</si>
  <si>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</si>
  <si>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</si>
  <si>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</si>
  <si>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</si>
  <si>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</si>
  <si>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</si>
  <si>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</si>
  <si>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</si>
  <si>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</si>
  <si>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</si>
  <si>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</si>
  <si>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</si>
  <si>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</si>
  <si>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</si>
  <si>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</si>
  <si>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</si>
  <si>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</si>
  <si>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</si>
  <si>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</si>
  <si>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</si>
  <si>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</si>
  <si>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</si>
  <si>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</si>
  <si>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</si>
  <si>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</si>
  <si>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</si>
  <si>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</si>
  <si>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</si>
  <si>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</si>
  <si>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</si>
  <si>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</si>
  <si>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</si>
  <si>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</si>
  <si>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</si>
  <si>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</si>
  <si>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</si>
  <si>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</si>
  <si>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</si>
  <si>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</si>
  <si>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</si>
  <si>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</si>
  <si>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</si>
  <si>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</si>
  <si>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</si>
  <si>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</si>
  <si>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</si>
  <si>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</si>
  <si>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</si>
  <si>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</si>
  <si>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</si>
  <si>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</si>
  <si>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</si>
  <si>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</si>
  <si>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</si>
  <si>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</si>
  <si>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</si>
  <si>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</si>
  <si>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</si>
  <si>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</si>
  <si>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</si>
  <si>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</si>
  <si>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</si>
  <si>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</si>
  <si>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</si>
  <si>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</si>
  <si>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</si>
  <si>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</si>
  <si>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</si>
  <si>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</si>
  <si>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</si>
  <si>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</si>
  <si>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</si>
  <si>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</si>
  <si>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</si>
  <si>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</si>
  <si>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</si>
  <si>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</si>
  <si>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</si>
  <si>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</si>
  <si>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</si>
  <si>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</si>
  <si>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</si>
  <si>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</si>
  <si>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</si>
  <si>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</si>
  <si>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</si>
  <si>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</si>
  <si>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</si>
  <si>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</si>
  <si>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</si>
  <si>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</si>
  <si>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</si>
  <si>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</si>
  <si>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</si>
  <si>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</si>
  <si>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</si>
  <si>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</si>
  <si>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</si>
  <si>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</si>
  <si>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</si>
  <si>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</si>
  <si>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</si>
  <si>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</si>
  <si>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</si>
  <si>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</si>
  <si>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</si>
  <si>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</si>
  <si>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</si>
  <si>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</si>
  <si>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</si>
  <si>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</si>
  <si>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</si>
  <si>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</si>
  <si>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</si>
  <si>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</si>
  <si>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</si>
  <si>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</si>
  <si>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</si>
  <si>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</si>
  <si>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</si>
  <si>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</si>
  <si>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</si>
  <si>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</si>
  <si>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</si>
  <si>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</si>
  <si>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</si>
  <si>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</si>
  <si>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</si>
  <si>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</si>
  <si>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</si>
  <si>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</si>
  <si>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</si>
  <si>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</si>
  <si>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</si>
  <si>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</si>
  <si>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</si>
  <si>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</si>
  <si>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</si>
  <si>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</si>
  <si>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</si>
  <si>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</si>
  <si>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</si>
  <si>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</si>
  <si>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</si>
  <si>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</si>
  <si>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</si>
  <si>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</si>
  <si>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</si>
  <si>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</si>
  <si>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</si>
  <si>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</si>
  <si>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</si>
  <si>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</si>
  <si>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</si>
  <si>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</si>
  <si>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</si>
  <si>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</si>
  <si>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</si>
  <si>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</si>
  <si>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</si>
  <si>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</si>
  <si>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</si>
  <si>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</si>
  <si>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</si>
  <si>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</si>
  <si>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</si>
  <si>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</si>
  <si>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</si>
  <si>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</si>
  <si>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</si>
  <si>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</si>
  <si>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</si>
  <si>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</si>
  <si>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</si>
  <si>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</si>
  <si>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</si>
  <si>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</si>
  <si>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</si>
  <si>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</si>
  <si>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</si>
  <si>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</si>
  <si>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</si>
  <si>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</si>
  <si>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</si>
  <si>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</si>
  <si>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</si>
  <si>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</si>
  <si>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</si>
  <si>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</si>
  <si>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</si>
  <si>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</si>
  <si>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</si>
  <si>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</si>
  <si>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</si>
  <si>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</si>
  <si>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</si>
  <si>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</si>
  <si>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</si>
  <si>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</si>
  <si>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</si>
  <si>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</si>
  <si>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</si>
  <si>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</si>
  <si>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</si>
  <si>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</si>
  <si>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</si>
  <si>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</si>
  <si>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</si>
  <si>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</si>
  <si>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</si>
  <si>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</si>
  <si>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</si>
  <si>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</si>
  <si>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</si>
  <si>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</si>
  <si>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</si>
  <si>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</si>
  <si>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</si>
  <si>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</si>
  <si>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</si>
  <si>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</si>
  <si>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</si>
  <si>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</si>
  <si>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</si>
  <si>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</si>
  <si>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</si>
  <si>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</si>
  <si>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</si>
  <si>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</si>
  <si>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</si>
  <si>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</si>
  <si>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</si>
  <si>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</si>
  <si>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</si>
  <si>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</si>
  <si>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</si>
  <si>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</si>
  <si>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</si>
  <si>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</si>
  <si>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</si>
  <si>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</si>
  <si>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</si>
  <si>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</si>
  <si>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</si>
  <si>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</si>
  <si>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</si>
  <si>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</si>
  <si>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</si>
  <si>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</si>
  <si>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</si>
  <si>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</si>
  <si>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</si>
  <si>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</si>
  <si>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</si>
  <si>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</si>
  <si>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</si>
  <si>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</si>
  <si>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</si>
  <si>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</si>
  <si>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</si>
  <si>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</si>
  <si>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</si>
  <si>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</si>
  <si>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</si>
  <si>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</si>
  <si>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</si>
  <si>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</si>
  <si>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</si>
  <si>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</si>
  <si>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</si>
  <si>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</si>
  <si>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</si>
  <si>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</si>
  <si>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</si>
  <si>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</si>
  <si>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</si>
  <si>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</si>
  <si>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</si>
  <si>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</si>
  <si>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</si>
  <si>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</si>
  <si>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</si>
  <si>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</si>
  <si>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</si>
  <si>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</si>
  <si>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</si>
  <si>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</si>
  <si>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</si>
  <si>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</si>
  <si>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</si>
  <si>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</si>
  <si>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</si>
  <si>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</si>
  <si>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</si>
  <si>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</si>
  <si>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</si>
  <si>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</si>
  <si>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</si>
  <si>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</si>
  <si>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</si>
  <si>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</si>
  <si>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</si>
  <si>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</si>
  <si>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</si>
  <si>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</si>
  <si>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</si>
  <si>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</si>
  <si>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</si>
  <si>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</si>
  <si>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</si>
  <si>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</si>
  <si>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</si>
  <si>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</si>
  <si>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</si>
  <si>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</si>
  <si>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</si>
  <si>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</si>
  <si>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</si>
  <si>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</si>
  <si>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</si>
  <si>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</si>
  <si>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</si>
  <si>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</si>
  <si>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</si>
  <si>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</si>
  <si>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</si>
  <si>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</si>
  <si>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</si>
  <si>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</si>
  <si>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</si>
  <si>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</si>
  <si>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</si>
  <si>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</si>
  <si>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</si>
  <si>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</si>
  <si>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</si>
  <si>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</si>
  <si>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</si>
  <si>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</si>
  <si>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</si>
  <si>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</si>
  <si>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</si>
  <si>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</si>
  <si>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</si>
  <si>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</si>
  <si>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</si>
  <si>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</si>
  <si>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</si>
  <si>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</si>
  <si>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</si>
  <si>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</si>
  <si>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</si>
  <si>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</si>
  <si>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</si>
  <si>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</si>
  <si>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</si>
  <si>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</si>
  <si>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</si>
  <si>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</si>
  <si>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</si>
  <si>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</si>
  <si>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</si>
  <si>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</si>
  <si>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</si>
  <si>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</si>
  <si>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</si>
  <si>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</si>
  <si>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</si>
  <si>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</si>
  <si>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</si>
  <si>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</si>
  <si>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</si>
  <si>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</si>
  <si>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</si>
  <si>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</si>
  <si>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</si>
  <si>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</si>
  <si>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</si>
  <si>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</si>
  <si>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</si>
  <si>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</si>
  <si>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</si>
  <si>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</si>
  <si>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</si>
  <si>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</si>
  <si>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</si>
  <si>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</si>
  <si>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</si>
  <si>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</si>
  <si>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</si>
  <si>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</si>
  <si>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</si>
  <si>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</si>
  <si>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</si>
  <si>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</si>
  <si>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</si>
  <si>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</si>
  <si>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</si>
  <si>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</si>
  <si>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</si>
  <si>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</si>
  <si>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</si>
  <si>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</si>
  <si>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</si>
  <si>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</si>
  <si>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</si>
  <si>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</si>
  <si>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</si>
  <si>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</si>
  <si>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</si>
  <si>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</si>
  <si>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</si>
  <si>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</si>
  <si>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</si>
  <si>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</si>
  <si>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</si>
  <si>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</si>
  <si>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</si>
  <si>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</si>
  <si>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</si>
  <si>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</si>
  <si>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</si>
  <si>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</si>
  <si>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</si>
  <si>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</si>
  <si>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</si>
  <si>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</si>
  <si>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</si>
  <si>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</si>
  <si>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</si>
  <si>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</si>
  <si>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</si>
  <si>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</si>
  <si>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</si>
  <si>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</si>
  <si>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</si>
  <si>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</si>
  <si>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</si>
  <si>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</si>
  <si>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</si>
  <si>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</si>
  <si>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</si>
  <si>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</si>
  <si>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</si>
  <si>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</si>
  <si>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</si>
  <si>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</si>
  <si>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</si>
  <si>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</si>
  <si>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</si>
  <si>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</si>
  <si>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</si>
  <si>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</si>
  <si>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</si>
  <si>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</si>
  <si>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</si>
  <si>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</si>
  <si>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</si>
  <si>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</si>
  <si>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</si>
  <si>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</si>
  <si>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</si>
  <si>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</si>
  <si>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</si>
  <si>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</si>
  <si>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</si>
  <si>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</si>
  <si>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</si>
  <si>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</si>
  <si>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</si>
  <si>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</si>
  <si>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</si>
  <si>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</si>
  <si>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</si>
  <si>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</si>
  <si>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</si>
  <si>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</si>
  <si>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</si>
  <si>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</si>
  <si>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</si>
  <si>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</si>
  <si>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</si>
  <si>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</si>
  <si>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</si>
  <si>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</si>
  <si>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</si>
  <si>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</si>
  <si>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</si>
  <si>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</si>
  <si>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</si>
  <si>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</si>
  <si>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</si>
  <si>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</si>
  <si>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</si>
  <si>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</si>
  <si>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</si>
  <si>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</si>
  <si>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</si>
  <si>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</si>
  <si>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</si>
  <si>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</si>
  <si>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</si>
  <si>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</si>
  <si>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</si>
  <si>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</si>
  <si>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</si>
  <si>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</si>
  <si>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</si>
  <si>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</si>
  <si>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</si>
  <si>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</si>
  <si>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</si>
  <si>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</si>
  <si>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</si>
  <si>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</si>
  <si>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</si>
  <si>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</si>
  <si>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</si>
  <si>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</si>
  <si>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</si>
  <si>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</si>
  <si>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</si>
  <si>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</si>
  <si>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</si>
  <si>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</si>
  <si>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</si>
  <si>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</si>
  <si>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</si>
  <si>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</si>
  <si>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</si>
  <si>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</si>
  <si>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</si>
  <si>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</si>
  <si>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</si>
  <si>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</si>
  <si>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</si>
  <si>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</si>
  <si>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</si>
  <si>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</si>
  <si>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</si>
  <si>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</si>
  <si>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</si>
  <si>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</si>
  <si>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</si>
  <si>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</si>
  <si>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</si>
  <si>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</si>
  <si>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</si>
  <si>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</si>
  <si>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</si>
  <si>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</si>
  <si>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</si>
  <si>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</si>
  <si>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</si>
  <si>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</si>
  <si>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</si>
  <si>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</si>
  <si>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</si>
  <si>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</si>
  <si>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</si>
  <si>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</si>
  <si>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</si>
  <si>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</si>
  <si>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</si>
  <si>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</si>
  <si>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</si>
  <si>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</si>
  <si>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</si>
  <si>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</si>
  <si>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</si>
  <si>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</si>
  <si>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</si>
  <si>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</si>
  <si>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</si>
  <si>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</si>
  <si>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</si>
  <si>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</si>
  <si>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</si>
  <si>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</si>
  <si>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</si>
  <si>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</si>
  <si>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</si>
  <si>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</si>
  <si>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</si>
  <si>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</si>
  <si>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</si>
  <si>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</si>
  <si>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</si>
  <si>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</si>
  <si>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</si>
  <si>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</si>
  <si>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</si>
  <si>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</si>
  <si>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</si>
  <si>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</si>
  <si>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</si>
  <si>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</si>
  <si>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</si>
  <si>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</si>
  <si>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</si>
  <si>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</si>
  <si>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</si>
  <si>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</si>
  <si>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</si>
  <si>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</si>
  <si>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</si>
  <si>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</si>
  <si>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</si>
  <si>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</si>
  <si>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</si>
  <si>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</si>
  <si>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</si>
  <si>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</si>
  <si>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</si>
  <si>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</si>
  <si>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</si>
  <si>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</si>
  <si>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</si>
  <si>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</si>
  <si>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</si>
  <si>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</si>
  <si>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</si>
  <si>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</si>
  <si>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</si>
  <si>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</si>
  <si>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</si>
  <si>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</si>
  <si>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</si>
  <si>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</si>
  <si>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</si>
  <si>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</si>
  <si>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</si>
  <si>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</si>
  <si>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</si>
  <si>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</si>
  <si>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</si>
  <si>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</si>
  <si>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</si>
  <si>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</si>
  <si>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</si>
  <si>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</si>
  <si>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</si>
  <si>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</si>
  <si>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</si>
  <si>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</si>
  <si>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</si>
  <si>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</si>
  <si>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</si>
  <si>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</si>
  <si>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</si>
  <si>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</si>
  <si>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</si>
  <si>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</si>
  <si>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</si>
  <si>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</si>
  <si>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</si>
  <si>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</si>
  <si>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</si>
  <si>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</si>
  <si>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</si>
  <si>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</si>
  <si>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</si>
  <si>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</si>
  <si>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</si>
  <si>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</si>
  <si>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</si>
  <si>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</si>
  <si>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</si>
  <si>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</si>
  <si>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</si>
  <si>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</si>
  <si>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</si>
  <si>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</si>
  <si>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</si>
  <si>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</si>
  <si>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</si>
  <si>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</si>
  <si>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</si>
  <si>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</si>
  <si>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</si>
  <si>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</si>
  <si>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</si>
  <si>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</si>
  <si>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</si>
  <si>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</si>
  <si>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</si>
  <si>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</si>
  <si>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</si>
  <si>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</si>
  <si>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</si>
  <si>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</si>
  <si>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</si>
  <si>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</si>
  <si>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</si>
  <si>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</si>
  <si>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</si>
  <si>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</si>
  <si>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</si>
  <si>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</si>
  <si>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</si>
  <si>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</si>
  <si>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</si>
  <si>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</si>
  <si>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</si>
  <si>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</si>
  <si>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</si>
  <si>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</si>
  <si>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</si>
  <si>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</si>
  <si>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</si>
  <si>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</si>
  <si>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</si>
  <si>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</si>
  <si>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</si>
  <si>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</si>
  <si>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</si>
  <si>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</si>
  <si>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</si>
  <si>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</si>
  <si>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</si>
  <si>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</si>
  <si>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</si>
  <si>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</si>
  <si>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</si>
  <si>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</si>
  <si>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</si>
  <si>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</si>
  <si>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</si>
  <si>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</si>
  <si>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</si>
  <si>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</si>
  <si>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</si>
  <si>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</si>
  <si>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</si>
  <si>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</si>
  <si>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</si>
  <si>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</si>
  <si>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</si>
  <si>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</si>
  <si>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</si>
  <si>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</si>
  <si>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</si>
  <si>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</si>
  <si>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</si>
  <si>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</si>
  <si>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</si>
  <si>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</si>
  <si>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</si>
  <si>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</si>
  <si>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</si>
  <si>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</si>
  <si>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</si>
  <si>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</si>
  <si>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</si>
  <si>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</si>
  <si>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</si>
  <si>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</si>
  <si>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</si>
  <si>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</si>
  <si>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</si>
  <si>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</si>
  <si>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</si>
  <si>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</si>
  <si>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</si>
  <si>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</si>
  <si>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</si>
  <si>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</si>
  <si>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</si>
  <si>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</si>
  <si>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</si>
  <si>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</si>
  <si>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</si>
  <si>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</si>
  <si>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</si>
  <si>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</si>
  <si>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</si>
  <si>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</si>
  <si>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</si>
  <si>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</si>
  <si>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</si>
  <si>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</si>
  <si>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</si>
  <si>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</si>
  <si>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</si>
  <si>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</si>
  <si>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</si>
  <si>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</si>
  <si>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</si>
  <si>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</si>
  <si>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</si>
  <si>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</si>
  <si>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</si>
  <si>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</si>
  <si>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</si>
  <si>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</si>
  <si>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</si>
  <si>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</si>
  <si>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</si>
  <si>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</si>
  <si>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</si>
  <si>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</si>
  <si>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</si>
  <si>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</si>
  <si>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</si>
  <si>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</si>
  <si>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</si>
  <si>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</si>
  <si>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</si>
  <si>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</si>
  <si>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</si>
  <si>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</si>
  <si>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</si>
  <si>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</si>
  <si>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</si>
  <si>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</si>
  <si>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</si>
  <si>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</si>
  <si>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</si>
  <si>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</si>
  <si>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</si>
  <si>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</si>
  <si>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</si>
  <si>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</si>
  <si>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</si>
  <si>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</si>
  <si>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</si>
  <si>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</si>
  <si>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</si>
  <si>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</si>
  <si>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</si>
  <si>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</si>
  <si>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</si>
  <si>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</si>
  <si>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</si>
  <si>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</si>
  <si>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</si>
  <si>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</si>
  <si>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</si>
  <si>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</si>
  <si>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</si>
  <si>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</si>
  <si>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</si>
  <si>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</si>
  <si>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</si>
  <si>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</si>
  <si>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</si>
  <si>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</si>
  <si>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</si>
  <si>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</si>
  <si>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</si>
  <si>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</si>
  <si>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</si>
  <si>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</si>
  <si>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</si>
  <si>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</si>
  <si>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</si>
  <si>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</si>
  <si>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</si>
  <si>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</si>
  <si>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</si>
  <si>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</si>
  <si>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</si>
  <si>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</si>
  <si>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</si>
  <si>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</si>
  <si>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</si>
  <si>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</si>
  <si>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</si>
  <si>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</si>
  <si>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</si>
  <si>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</si>
  <si>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</si>
  <si>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</si>
  <si>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</si>
  <si>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</si>
  <si>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</si>
  <si>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</si>
  <si>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</si>
  <si>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</si>
  <si>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</si>
  <si>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</si>
  <si>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</si>
  <si>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</si>
  <si>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</si>
  <si>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</si>
  <si>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</si>
  <si>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</si>
  <si>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</si>
  <si>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</si>
  <si>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</si>
  <si>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</si>
  <si>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</si>
  <si>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</si>
  <si>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</si>
  <si>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</si>
  <si>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</si>
  <si>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</si>
  <si>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</si>
  <si>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</si>
  <si>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</si>
  <si>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</si>
  <si>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</si>
  <si>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</si>
  <si>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</si>
  <si>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</si>
  <si>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</si>
  <si>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</si>
  <si>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</si>
  <si>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</si>
  <si>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</si>
  <si>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</si>
  <si>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</si>
  <si>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</si>
  <si>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</si>
  <si>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</si>
  <si>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</si>
  <si>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</si>
  <si>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</si>
  <si>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</si>
  <si>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</si>
  <si>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</si>
  <si>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</si>
  <si>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</si>
  <si>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</si>
  <si>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</si>
  <si>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</si>
  <si>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</si>
  <si>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</si>
  <si>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</si>
  <si>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</si>
  <si>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</si>
  <si>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</si>
  <si>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</si>
  <si>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</si>
  <si>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</si>
  <si>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</si>
  <si>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</si>
  <si>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</si>
  <si>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</si>
  <si>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</si>
  <si>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</si>
  <si>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</si>
  <si>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</si>
  <si>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</si>
  <si>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</si>
  <si>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</si>
  <si>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</si>
  <si>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</si>
  <si>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</si>
  <si>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</si>
  <si>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</si>
  <si>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</si>
  <si>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</si>
  <si>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</si>
  <si>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</si>
  <si>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</si>
  <si>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</si>
  <si>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</si>
  <si>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</si>
  <si>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</si>
  <si>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</si>
  <si>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</si>
  <si>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</si>
  <si>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</si>
  <si>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</si>
  <si>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</si>
  <si>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</si>
  <si>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</si>
  <si>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</si>
  <si>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</si>
  <si>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</si>
  <si>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</si>
  <si>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</si>
  <si>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</si>
  <si>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</si>
  <si>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</si>
  <si>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</si>
  <si>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</si>
  <si>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</si>
  <si>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</si>
  <si>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</si>
  <si>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</si>
  <si>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</si>
  <si>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</si>
  <si>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</si>
  <si>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</si>
  <si>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</si>
  <si>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</si>
  <si>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</si>
  <si>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</si>
  <si>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</si>
  <si>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</si>
  <si>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</si>
  <si>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</si>
  <si>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</si>
  <si>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</si>
  <si>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</si>
  <si>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</si>
  <si>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</si>
  <si>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</si>
  <si>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</si>
  <si>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</si>
  <si>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</si>
  <si>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</si>
  <si>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</si>
  <si>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</si>
  <si>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</si>
  <si>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</si>
  <si>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</si>
  <si>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</si>
  <si>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</si>
  <si>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</si>
  <si>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</si>
  <si>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</si>
  <si>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</si>
  <si>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</si>
  <si>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</si>
  <si>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</si>
  <si>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</si>
  <si>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</si>
  <si>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</si>
  <si>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</si>
  <si>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</si>
  <si>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</si>
  <si>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</si>
  <si>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</si>
  <si>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</si>
  <si>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</si>
  <si>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</si>
  <si>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</si>
  <si>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</si>
  <si>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</si>
  <si>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</si>
  <si>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</si>
  <si>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</si>
  <si>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</si>
  <si>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</si>
  <si>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</si>
  <si>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</si>
  <si>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</si>
  <si>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</si>
  <si>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</si>
  <si>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</si>
  <si>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</si>
  <si>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</si>
  <si>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</si>
  <si>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</si>
  <si>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</si>
  <si>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</si>
  <si>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</si>
  <si>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</si>
  <si>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</si>
  <si>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</si>
  <si>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</si>
  <si>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</si>
  <si>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</si>
  <si>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</si>
  <si>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</si>
  <si>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</si>
  <si>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</si>
  <si>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</si>
  <si>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</si>
  <si>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</si>
  <si>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</si>
  <si>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</si>
  <si>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</si>
  <si>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</si>
  <si>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</si>
  <si>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</si>
  <si>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</si>
  <si>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</si>
  <si>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</si>
  <si>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</si>
  <si>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</si>
  <si>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</si>
  <si>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</si>
  <si>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</si>
  <si>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</si>
  <si>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</si>
  <si>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</si>
  <si>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</si>
  <si>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</si>
  <si>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</si>
  <si>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</si>
  <si>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</si>
  <si>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</si>
  <si>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</si>
  <si>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</si>
  <si>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</si>
  <si>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</si>
  <si>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</si>
  <si>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</si>
  <si>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</si>
  <si>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</si>
  <si>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</si>
  <si>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</si>
  <si>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</si>
  <si>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</si>
  <si>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</si>
  <si>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</si>
  <si>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</si>
  <si>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</si>
  <si>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</si>
  <si>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</si>
  <si>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</si>
  <si>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</si>
  <si>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</si>
  <si>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</si>
  <si>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</si>
  <si>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</si>
  <si>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</si>
  <si>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</si>
  <si>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</si>
  <si>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</si>
  <si>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</si>
  <si>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</si>
  <si>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</si>
  <si>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</si>
  <si>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</si>
  <si>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</si>
  <si>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</si>
  <si>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</si>
  <si>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</si>
  <si>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</si>
  <si>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</si>
  <si>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</si>
  <si>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</si>
  <si>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</si>
  <si>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</si>
  <si>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</si>
  <si>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</si>
  <si>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</si>
  <si>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</si>
  <si>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</si>
  <si>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</si>
  <si>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</si>
  <si>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</si>
  <si>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</si>
  <si>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</si>
  <si>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</si>
  <si>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</si>
  <si>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</si>
  <si>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</si>
  <si>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</si>
  <si>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</si>
  <si>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</si>
  <si>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</si>
  <si>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</si>
  <si>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</si>
  <si>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</si>
  <si>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</si>
  <si>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</si>
  <si>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</si>
  <si>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</si>
  <si>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</si>
  <si>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</si>
  <si>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</si>
  <si>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</si>
  <si>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</si>
  <si>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</si>
  <si>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</si>
  <si>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</si>
  <si>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</si>
  <si>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</si>
  <si>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</si>
  <si>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</si>
  <si>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</si>
  <si>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</si>
  <si>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</si>
  <si>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</si>
  <si>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</si>
  <si>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</si>
  <si>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</si>
  <si>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</si>
  <si>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</si>
  <si>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</si>
  <si>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</si>
  <si>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</si>
  <si>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</si>
  <si>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</si>
  <si>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</si>
  <si>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</si>
  <si>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</si>
  <si>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</si>
  <si>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</si>
  <si>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</si>
  <si>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</si>
  <si>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</si>
  <si>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</si>
  <si>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</si>
  <si>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</si>
  <si>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</si>
  <si>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</si>
  <si>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</si>
  <si>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</si>
  <si>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</si>
  <si>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</si>
  <si>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</si>
  <si>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</si>
  <si>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</si>
  <si>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</si>
  <si>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</si>
  <si>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</si>
  <si>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</si>
  <si>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</si>
  <si>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</si>
  <si>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</si>
  <si>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</si>
  <si>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</si>
  <si>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</si>
  <si>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</si>
  <si>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</si>
  <si>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</si>
  <si>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</si>
  <si>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</si>
  <si>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</si>
  <si>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</si>
  <si>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</si>
  <si>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</si>
  <si>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</si>
  <si>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</si>
  <si>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</si>
  <si>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</si>
  <si>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</si>
  <si>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</si>
  <si>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</si>
  <si>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</si>
  <si>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</si>
  <si>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</si>
  <si>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</si>
  <si>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</si>
  <si>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</si>
  <si>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</si>
  <si>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</si>
  <si>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</si>
  <si>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</si>
  <si>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</si>
  <si>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</si>
  <si>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</si>
  <si>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</si>
  <si>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</si>
  <si>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</si>
  <si>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</si>
  <si>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</si>
  <si>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</si>
  <si>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</si>
  <si>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</si>
  <si>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</si>
  <si>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</si>
  <si>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</si>
  <si>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</si>
  <si>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</si>
  <si>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</si>
  <si>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</si>
  <si>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</si>
  <si>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</si>
  <si>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</si>
  <si>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</si>
  <si>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</si>
  <si>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</si>
  <si>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</si>
  <si>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</si>
  <si>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</si>
  <si>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</si>
  <si>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</si>
  <si>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</si>
  <si>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</si>
  <si>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</si>
  <si>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</si>
  <si>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</si>
  <si>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</si>
  <si>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</si>
  <si>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</si>
  <si>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</si>
  <si>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</si>
  <si>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</si>
  <si>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</si>
  <si>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</si>
  <si>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</si>
  <si>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</si>
  <si>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</si>
  <si>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</si>
  <si>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</si>
  <si>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</si>
  <si>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</si>
  <si>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</si>
  <si>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</si>
  <si>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</si>
  <si>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</si>
  <si>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</si>
  <si>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</si>
  <si>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</si>
  <si>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</si>
  <si>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</si>
  <si>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</si>
  <si>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</si>
  <si>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</si>
  <si>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</si>
  <si>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</si>
  <si>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</si>
  <si>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</si>
  <si>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</si>
  <si>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</si>
  <si>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</si>
  <si>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</si>
  <si>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</si>
  <si>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</si>
  <si>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</si>
  <si>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</si>
  <si>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</si>
  <si>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</si>
  <si>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</si>
  <si>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</si>
  <si>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</si>
  <si>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</si>
  <si>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</si>
  <si>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</si>
  <si>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</si>
  <si>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</si>
  <si>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</si>
  <si>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</si>
  <si>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</si>
  <si>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</si>
  <si>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</si>
  <si>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</si>
  <si>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</si>
  <si>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</si>
  <si>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</si>
  <si>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</si>
  <si>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</si>
  <si>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</si>
  <si>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</si>
  <si>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</si>
  <si>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</si>
  <si>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</si>
  <si>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</si>
  <si>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</si>
  <si>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</si>
  <si>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</si>
  <si>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</si>
  <si>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</si>
  <si>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</si>
  <si>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</si>
  <si>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</si>
  <si>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</si>
  <si>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</si>
  <si>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</si>
  <si>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</si>
  <si>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</si>
  <si>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</si>
  <si>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</si>
  <si>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</si>
  <si>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</si>
  <si>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</si>
  <si>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</si>
  <si>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</si>
  <si>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</si>
  <si>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</si>
  <si>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</si>
  <si>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</si>
  <si>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</si>
  <si>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</si>
  <si>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</si>
  <si>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</si>
  <si>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</si>
  <si>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</si>
  <si>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</si>
  <si>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</si>
  <si>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</si>
  <si>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</si>
  <si>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</si>
  <si>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</si>
  <si>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</si>
  <si>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</si>
  <si>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</si>
  <si>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</si>
  <si>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</si>
  <si>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</si>
  <si>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</si>
  <si>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</si>
  <si>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</si>
  <si>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</si>
  <si>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</si>
  <si>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</si>
  <si>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</si>
  <si>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</si>
  <si>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</si>
  <si>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</si>
  <si>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</si>
  <si>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</si>
  <si>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</si>
  <si>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</si>
  <si>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</si>
  <si>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</si>
  <si>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</si>
  <si>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</si>
  <si>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</si>
  <si>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</si>
  <si>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</si>
  <si>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</si>
  <si>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</si>
  <si>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</si>
  <si>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</si>
  <si>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</si>
  <si>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</si>
  <si>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</si>
  <si>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</si>
  <si>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</si>
  <si>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</si>
  <si>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</si>
  <si>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</si>
  <si>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</si>
  <si>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</si>
  <si>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</si>
  <si>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</si>
  <si>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</si>
  <si>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</si>
  <si>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</si>
  <si>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</si>
  <si>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</si>
  <si>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</si>
  <si>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</si>
  <si>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</si>
  <si>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</si>
  <si>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</si>
  <si>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</si>
  <si>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</si>
  <si>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</si>
  <si>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</si>
  <si>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</si>
  <si>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</si>
  <si>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</si>
  <si>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</si>
  <si>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</si>
  <si>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</si>
  <si>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</si>
  <si>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</si>
  <si>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</si>
  <si>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</si>
  <si>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</si>
  <si>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</si>
  <si>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</si>
  <si>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</si>
  <si>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</si>
  <si>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</si>
  <si>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</si>
  <si>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</si>
  <si>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</si>
  <si>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</si>
  <si>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</si>
  <si>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</si>
  <si>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</si>
  <si>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</si>
  <si>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</si>
  <si>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</si>
  <si>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</si>
  <si>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</si>
  <si>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</si>
  <si>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</si>
  <si>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</si>
  <si>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</si>
  <si>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</si>
  <si>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</si>
  <si>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</si>
  <si>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</si>
  <si>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</si>
  <si>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</si>
  <si>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</si>
  <si>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</si>
  <si>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</si>
  <si>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</si>
  <si>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</si>
  <si>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</si>
  <si>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</si>
  <si>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</si>
  <si>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</si>
  <si>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</si>
  <si>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</si>
  <si>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</si>
  <si>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</si>
  <si>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</si>
  <si>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</si>
  <si>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</si>
  <si>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</si>
  <si>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</si>
  <si>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</si>
  <si>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</si>
  <si>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</si>
  <si>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</si>
  <si>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</si>
  <si>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</si>
  <si>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</si>
  <si>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</si>
  <si>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</si>
  <si>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</si>
  <si>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</si>
  <si>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</si>
  <si>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</si>
  <si>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</si>
  <si>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</si>
  <si>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</si>
  <si>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</si>
  <si>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</si>
  <si>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</si>
  <si>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</si>
  <si>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</si>
  <si>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</si>
  <si>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</si>
  <si>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</si>
  <si>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</si>
  <si>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</si>
  <si>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</si>
  <si>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</si>
  <si>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</si>
  <si>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</si>
  <si>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</si>
  <si>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</si>
  <si>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</si>
  <si>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</si>
  <si>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</si>
  <si>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</si>
  <si>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</si>
  <si>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</si>
  <si>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</si>
  <si>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</si>
  <si>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</si>
  <si>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</si>
  <si>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</si>
  <si>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</si>
  <si>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</si>
  <si>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</si>
  <si>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</si>
  <si>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</si>
  <si>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</si>
  <si>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</si>
  <si>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</si>
  <si>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</si>
  <si>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</si>
  <si>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</si>
  <si>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</si>
  <si>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</si>
  <si>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</si>
  <si>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</si>
  <si>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</si>
  <si>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</si>
  <si>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</si>
  <si>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</si>
  <si>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</si>
  <si>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</si>
  <si>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</si>
  <si>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</si>
  <si>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</si>
  <si>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</si>
  <si>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</si>
  <si>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</si>
  <si>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</si>
  <si>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</si>
  <si>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</si>
  <si>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</si>
  <si>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</si>
  <si>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</si>
  <si>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</si>
  <si>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</si>
  <si>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</si>
  <si>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</si>
  <si>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</si>
  <si>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</si>
  <si>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</si>
  <si>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</si>
  <si>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</si>
  <si>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</si>
  <si>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</si>
  <si>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</si>
  <si>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</si>
  <si>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</si>
  <si>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</si>
  <si>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</si>
  <si>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</si>
  <si>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</si>
  <si>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</si>
  <si>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</si>
  <si>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</si>
  <si>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</si>
  <si>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</si>
  <si>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</si>
  <si>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</si>
  <si>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</si>
  <si>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</si>
  <si>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</si>
  <si>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</si>
  <si>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</si>
  <si>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</si>
  <si>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</si>
  <si>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</si>
  <si>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</si>
  <si>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</si>
  <si>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</si>
  <si>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</si>
  <si>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</si>
  <si>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</si>
  <si>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</si>
  <si>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</si>
  <si>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</si>
  <si>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</si>
  <si>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</si>
  <si>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</si>
  <si>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</si>
  <si>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</si>
  <si>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</si>
  <si>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</si>
  <si>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</si>
  <si>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</si>
  <si>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</si>
  <si>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</si>
  <si>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</si>
  <si>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</si>
  <si>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</si>
  <si>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</si>
  <si>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</si>
  <si>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</si>
  <si>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</si>
  <si>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</si>
  <si>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</si>
  <si>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</si>
  <si>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</si>
  <si>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</si>
  <si>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</si>
  <si>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</si>
  <si>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</si>
  <si>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</si>
  <si>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</si>
  <si>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</si>
  <si>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</si>
  <si>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</si>
  <si>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</si>
  <si>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</si>
  <si>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</si>
  <si>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</si>
  <si>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</si>
  <si>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</si>
  <si>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</si>
  <si>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</si>
  <si>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</si>
  <si>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</si>
  <si>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</si>
  <si>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</si>
  <si>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</si>
  <si>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</si>
  <si>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</si>
  <si>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</si>
  <si>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</si>
  <si>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</si>
  <si>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</si>
  <si>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</si>
  <si>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</si>
  <si>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</si>
  <si>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</si>
  <si>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</si>
  <si>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</si>
  <si>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</si>
  <si>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</si>
  <si>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</si>
  <si>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</si>
  <si>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</si>
  <si>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</si>
  <si>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</si>
  <si>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</si>
  <si>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</si>
  <si>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</si>
  <si>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</si>
  <si>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</si>
  <si>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</si>
  <si>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</si>
  <si>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</si>
  <si>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</si>
  <si>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</si>
  <si>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</si>
  <si>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</si>
  <si>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</si>
  <si>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</si>
  <si>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</si>
  <si>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</si>
  <si>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</si>
  <si>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</si>
  <si>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</si>
  <si>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</si>
  <si>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</si>
  <si>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</si>
  <si>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</si>
  <si>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</si>
  <si>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</si>
  <si>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</si>
  <si>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</si>
  <si>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</si>
  <si>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</si>
  <si>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</si>
  <si>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</si>
  <si>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</si>
  <si>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</si>
  <si>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</si>
  <si>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</si>
  <si>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</si>
  <si>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</si>
  <si>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</si>
  <si>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</si>
  <si>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</si>
  <si>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</si>
  <si>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</si>
  <si>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</si>
  <si>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</si>
  <si>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</si>
  <si>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</si>
  <si>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</si>
  <si>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</si>
  <si>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</si>
  <si>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</si>
  <si>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</si>
  <si>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</si>
  <si>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</si>
  <si>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</si>
  <si>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</si>
  <si>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</si>
  <si>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</si>
  <si>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</si>
  <si>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</si>
  <si>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</si>
  <si>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</si>
  <si>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</si>
  <si>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</si>
  <si>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</si>
  <si>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</si>
  <si>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</si>
  <si>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</si>
  <si>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</si>
  <si>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</si>
  <si>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</si>
  <si>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</si>
  <si>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</si>
  <si>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</si>
  <si>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</si>
  <si>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</si>
  <si>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</si>
  <si>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</si>
  <si>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</si>
  <si>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</si>
  <si>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</si>
  <si>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</si>
  <si>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</si>
  <si>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</si>
  <si>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</si>
  <si>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</si>
  <si>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</si>
  <si>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</si>
  <si>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</si>
  <si>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</si>
  <si>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</si>
  <si>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</si>
  <si>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</si>
  <si>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</si>
  <si>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</si>
  <si>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</si>
  <si>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</si>
  <si>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</si>
  <si>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</si>
  <si>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</si>
  <si>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</si>
  <si>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</si>
  <si>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</si>
  <si>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</si>
  <si>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</si>
  <si>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</si>
  <si>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</si>
  <si>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</si>
  <si>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</si>
  <si>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</si>
  <si>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</si>
  <si>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</si>
  <si>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</si>
  <si>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</si>
  <si>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</si>
  <si>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</si>
  <si>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</si>
  <si>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</si>
  <si>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</si>
  <si>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</si>
  <si>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</si>
  <si>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</si>
  <si>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</si>
  <si>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</si>
  <si>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</si>
  <si>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</si>
  <si>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</si>
  <si>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</si>
  <si>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</si>
  <si>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</si>
  <si>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</si>
  <si>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</si>
  <si>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</si>
  <si>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</si>
  <si>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</si>
  <si>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</si>
  <si>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</si>
  <si>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</si>
  <si>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</si>
  <si>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</si>
  <si>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</si>
  <si>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</si>
  <si>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</si>
  <si>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</si>
  <si>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</si>
  <si>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</si>
  <si>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</si>
  <si>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</si>
  <si>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</si>
  <si>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</si>
  <si>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</si>
  <si>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</si>
  <si>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</si>
  <si>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</si>
  <si>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</si>
  <si>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</si>
  <si>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</si>
  <si>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</si>
  <si>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</si>
  <si>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</si>
  <si>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</si>
  <si>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</si>
  <si>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</si>
  <si>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</si>
  <si>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</si>
  <si>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</si>
  <si>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</si>
  <si>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</si>
  <si>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</si>
  <si>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</si>
  <si>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</si>
  <si>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</si>
  <si>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</si>
  <si>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</si>
  <si>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</si>
  <si>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</si>
  <si>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</si>
  <si>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</si>
  <si>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</si>
  <si>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</si>
  <si>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</si>
  <si>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</si>
  <si>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</si>
  <si>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</si>
  <si>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</si>
  <si>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</si>
  <si>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</si>
  <si>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</si>
  <si>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</si>
  <si>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</si>
  <si>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</si>
  <si>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</si>
  <si>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</si>
  <si>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</si>
  <si>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</si>
  <si>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</si>
  <si>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</si>
  <si>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</si>
  <si>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</si>
  <si>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</si>
  <si>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</si>
  <si>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</si>
  <si>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</si>
  <si>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</si>
  <si>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</si>
  <si>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</si>
  <si>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</si>
  <si>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</si>
  <si>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</si>
  <si>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</si>
  <si>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</si>
  <si>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</si>
  <si>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</si>
  <si>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</si>
  <si>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</si>
  <si>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</si>
  <si>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</si>
  <si>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</si>
  <si>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</si>
  <si>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</si>
  <si>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</si>
  <si>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</si>
  <si>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</si>
  <si>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</si>
  <si>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</si>
  <si>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</si>
  <si>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</si>
  <si>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</si>
  <si>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</si>
  <si>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</si>
  <si>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</si>
  <si>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</si>
  <si>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</si>
  <si>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</si>
  <si>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</si>
  <si>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</si>
  <si>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</si>
  <si>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</si>
  <si>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</si>
  <si>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</si>
  <si>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</si>
  <si>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</si>
  <si>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</si>
  <si>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</si>
  <si>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</si>
  <si>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</si>
  <si>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</si>
  <si>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</si>
  <si>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</si>
  <si>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</si>
  <si>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</si>
  <si>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</si>
  <si>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</si>
  <si>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</si>
  <si>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</si>
  <si>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</si>
  <si>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</si>
  <si>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</si>
  <si>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</si>
  <si>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</si>
  <si>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</si>
  <si>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</si>
  <si>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</si>
  <si>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</si>
  <si>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</si>
  <si>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</si>
  <si>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</si>
  <si>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</si>
  <si>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</si>
  <si>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</si>
  <si>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</si>
  <si>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</si>
  <si>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</si>
  <si>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</si>
  <si>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</si>
  <si>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</si>
  <si>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</si>
  <si>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</si>
  <si>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</si>
  <si>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</si>
  <si>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</si>
  <si>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</si>
  <si>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</si>
  <si>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</si>
  <si>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</si>
  <si>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</si>
  <si>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</si>
  <si>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</si>
  <si>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</si>
  <si>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</si>
  <si>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</si>
  <si>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</si>
  <si>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</si>
  <si>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</si>
  <si>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</si>
  <si>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</si>
  <si>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</si>
  <si>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</si>
  <si>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</si>
  <si>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</si>
  <si>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</si>
  <si>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</si>
  <si>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</si>
  <si>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</si>
  <si>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</si>
  <si>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</si>
  <si>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</si>
  <si>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</si>
  <si>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</si>
  <si>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</si>
  <si>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</si>
  <si>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</si>
  <si>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</si>
  <si>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</si>
  <si>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</si>
  <si>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</si>
  <si>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</si>
  <si>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</si>
  <si>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</si>
  <si>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</si>
  <si>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</si>
  <si>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</si>
  <si>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</si>
  <si>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</si>
  <si>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</si>
  <si>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</si>
  <si>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</si>
  <si>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</si>
  <si>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</si>
  <si>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</si>
  <si>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</si>
  <si>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</si>
  <si>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</si>
  <si>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</si>
  <si>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</si>
  <si>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</si>
  <si>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</si>
  <si>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</si>
  <si>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</si>
  <si>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</si>
  <si>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</si>
  <si>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</si>
  <si>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</si>
  <si>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</si>
  <si>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</si>
  <si>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</si>
  <si>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</si>
  <si>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</si>
  <si>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</si>
  <si>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</si>
  <si>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</si>
  <si>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</si>
  <si>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</si>
  <si>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</si>
  <si>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</si>
  <si>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</si>
  <si>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</si>
  <si>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</si>
  <si>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</si>
  <si>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</si>
  <si>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</si>
  <si>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</si>
  <si>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</si>
  <si>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</si>
  <si>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</si>
  <si>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</si>
  <si>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</si>
  <si>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</si>
  <si>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</si>
  <si>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</si>
  <si>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</si>
  <si>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</si>
  <si>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</si>
  <si>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</si>
  <si>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</si>
  <si>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</si>
  <si>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</si>
  <si>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</si>
  <si>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</si>
  <si>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</si>
  <si>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</si>
  <si>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</si>
  <si>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</si>
  <si>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</si>
  <si>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</si>
  <si>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</si>
  <si>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</si>
  <si>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</si>
  <si>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</si>
  <si>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</si>
  <si>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</si>
  <si>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</si>
  <si>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</si>
  <si>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</si>
  <si>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</si>
  <si>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</si>
  <si>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</si>
  <si>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</si>
  <si>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</si>
  <si>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</si>
  <si>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</si>
  <si>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</si>
  <si>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</si>
  <si>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</si>
  <si>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</si>
  <si>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</si>
  <si>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</si>
  <si>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</si>
  <si>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</si>
  <si>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</si>
  <si>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</si>
  <si>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</si>
  <si>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</si>
  <si>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</si>
  <si>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</si>
  <si>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</si>
  <si>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</si>
  <si>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</si>
  <si>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</si>
  <si>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</si>
  <si>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</si>
  <si>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</si>
  <si>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</si>
  <si>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</si>
  <si>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</si>
  <si>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</si>
  <si>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</si>
  <si>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</si>
  <si>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</si>
  <si>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</si>
  <si>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</si>
  <si>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</si>
  <si>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</si>
  <si>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</si>
  <si>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</si>
  <si>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</si>
  <si>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</si>
  <si>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</si>
  <si>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</si>
  <si>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</si>
  <si>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</si>
  <si>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</si>
  <si>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</si>
  <si>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</si>
  <si>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</si>
  <si>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</si>
  <si>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</si>
  <si>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</si>
  <si>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</si>
  <si>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</si>
  <si>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</si>
  <si>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</si>
  <si>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</si>
  <si>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</si>
  <si>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</si>
  <si>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</si>
  <si>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</si>
  <si>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</si>
  <si>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</si>
  <si>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</si>
  <si>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</si>
  <si>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</si>
  <si>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</si>
  <si>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</si>
  <si>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</si>
  <si>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</si>
  <si>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</si>
  <si>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</si>
  <si>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</si>
  <si>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</si>
  <si>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</si>
  <si>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</si>
  <si>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</si>
  <si>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</si>
  <si>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</si>
  <si>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</si>
  <si>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</si>
  <si>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</si>
  <si>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</si>
  <si>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</si>
  <si>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</si>
  <si>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</si>
  <si>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</si>
  <si>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</si>
  <si>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</si>
  <si>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</si>
  <si>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</si>
  <si>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</si>
  <si>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</si>
  <si>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</si>
  <si>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</si>
  <si>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</si>
  <si>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</si>
  <si>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</si>
  <si>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</si>
  <si>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</si>
  <si>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</si>
  <si>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</si>
  <si>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</si>
  <si>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</si>
  <si>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</si>
  <si>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</si>
  <si>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</si>
  <si>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</si>
  <si>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</si>
  <si>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</si>
  <si>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</si>
  <si>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</si>
  <si>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</si>
  <si>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</si>
  <si>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</si>
  <si>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</si>
  <si>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</si>
  <si>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</si>
  <si>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</si>
  <si>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</si>
  <si>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</si>
  <si>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</si>
  <si>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</si>
  <si>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</si>
  <si>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</si>
  <si>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</si>
  <si>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</si>
  <si>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</si>
  <si>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</si>
  <si>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</si>
  <si>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</si>
  <si>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</si>
  <si>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</si>
  <si>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</si>
  <si>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</si>
  <si>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</si>
  <si>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</si>
  <si>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</si>
  <si>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</si>
  <si>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</si>
  <si>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</si>
  <si>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</si>
  <si>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</si>
  <si>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</si>
  <si>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</si>
  <si>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</si>
  <si>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</si>
  <si>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</si>
  <si>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</si>
  <si>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</si>
  <si>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</si>
  <si>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</si>
  <si>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</si>
  <si>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</si>
  <si>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</si>
  <si>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</si>
  <si>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</si>
  <si>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</si>
  <si>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</si>
  <si>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</si>
  <si>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</si>
  <si>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</si>
  <si>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</si>
  <si>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</si>
  <si>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</si>
  <si>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</si>
  <si>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</si>
  <si>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</si>
  <si>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</si>
  <si>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</si>
  <si>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</si>
  <si>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</si>
  <si>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</si>
  <si>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</si>
  <si>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</si>
  <si>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</si>
  <si>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</si>
  <si>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</si>
  <si>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</si>
  <si>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</si>
  <si>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</si>
  <si>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</si>
  <si>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</si>
  <si>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</si>
  <si>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</si>
  <si>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</si>
  <si>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</si>
  <si>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</si>
  <si>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</si>
  <si>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</si>
  <si>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</si>
  <si>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</si>
  <si>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</si>
  <si>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</si>
  <si>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</si>
  <si>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</si>
  <si>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</si>
  <si>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</si>
  <si>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</si>
  <si>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</si>
  <si>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</si>
  <si>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</si>
  <si>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</si>
  <si>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</si>
  <si>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</si>
  <si>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</si>
  <si>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</si>
  <si>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</si>
  <si>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</si>
  <si>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</si>
  <si>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</si>
  <si>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</si>
  <si>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</si>
  <si>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</si>
  <si>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</si>
  <si>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</si>
  <si>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</si>
  <si>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</si>
  <si>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</si>
  <si>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</si>
  <si>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</si>
  <si>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</si>
  <si>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</si>
  <si>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</si>
  <si>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</si>
  <si>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</si>
  <si>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</si>
  <si>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</si>
  <si>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</si>
  <si>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</si>
  <si>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</si>
  <si>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</si>
  <si>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</si>
  <si>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</si>
  <si>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</si>
  <si>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</si>
  <si>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</si>
  <si>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</si>
  <si>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</si>
  <si>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</si>
  <si>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</si>
  <si>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</si>
  <si>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</si>
  <si>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</si>
  <si>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</si>
  <si>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</si>
  <si>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</si>
  <si>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</si>
  <si>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</si>
  <si>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</si>
  <si>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</si>
  <si>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</si>
  <si>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</si>
  <si>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</si>
  <si>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</si>
  <si>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</si>
  <si>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</si>
  <si>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</si>
  <si>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</si>
  <si>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</si>
  <si>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</si>
  <si>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</si>
  <si>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</si>
  <si>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</si>
  <si>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</si>
  <si>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</si>
  <si>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</si>
  <si>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</si>
  <si>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</si>
  <si>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</si>
  <si>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</si>
  <si>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</si>
  <si>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</si>
  <si>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</si>
  <si>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</si>
  <si>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</si>
  <si>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</si>
  <si>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</si>
  <si>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</si>
  <si>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</si>
  <si>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</si>
  <si>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</si>
  <si>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</si>
  <si>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</si>
  <si>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</si>
  <si>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</si>
  <si>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</si>
  <si>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</si>
  <si>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</si>
  <si>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</si>
  <si>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</si>
  <si>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</si>
  <si>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</si>
  <si>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</si>
  <si>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</si>
  <si>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</si>
  <si>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</si>
  <si>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</si>
  <si>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</si>
  <si>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</si>
  <si>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</si>
  <si>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</si>
  <si>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</si>
  <si>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</si>
  <si>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</si>
  <si>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</si>
  <si>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</si>
  <si>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</si>
  <si>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</si>
  <si>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</si>
  <si>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</si>
  <si>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</si>
  <si>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</si>
  <si>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</si>
  <si>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</si>
  <si>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</si>
  <si>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</si>
  <si>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</si>
  <si>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</si>
  <si>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</si>
  <si>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</si>
  <si>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</si>
  <si>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</si>
  <si>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</si>
  <si>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</si>
  <si>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</si>
  <si>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</si>
  <si>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</si>
  <si>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</si>
  <si>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</si>
  <si>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</si>
  <si>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</si>
  <si>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</si>
  <si>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</si>
  <si>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</si>
  <si>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</si>
  <si>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</si>
  <si>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</si>
  <si>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</si>
  <si>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</si>
  <si>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</si>
  <si>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</si>
  <si>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</si>
  <si>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</si>
  <si>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</si>
  <si>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</si>
  <si>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</si>
  <si>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</si>
  <si>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</si>
  <si>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</si>
  <si>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</si>
  <si>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</si>
  <si>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</si>
  <si>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</si>
  <si>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</si>
  <si>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</si>
  <si>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</si>
  <si>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</si>
  <si>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</si>
  <si>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</si>
  <si>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</si>
  <si>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</si>
  <si>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</si>
  <si>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</si>
  <si>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</si>
  <si>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</si>
  <si>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</si>
  <si>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</si>
  <si>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</si>
  <si>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</si>
  <si>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</si>
  <si>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</si>
  <si>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</si>
  <si>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</si>
  <si>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</si>
  <si>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</si>
  <si>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</si>
  <si>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</si>
  <si>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</si>
  <si>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</si>
  <si>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</si>
  <si>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</si>
  <si>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</si>
  <si>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</si>
  <si>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</si>
  <si>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</si>
  <si>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</si>
  <si>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</si>
  <si>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</si>
  <si>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</si>
  <si>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</si>
  <si>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</si>
  <si>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</si>
  <si>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</si>
  <si>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</si>
  <si>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</si>
  <si>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</si>
  <si>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</si>
  <si>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</si>
  <si>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</si>
  <si>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</si>
  <si>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</si>
  <si>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</si>
  <si>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</si>
  <si>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</si>
  <si>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</si>
  <si>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</si>
  <si>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</si>
  <si>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</si>
  <si>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</si>
  <si>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</si>
  <si>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</si>
  <si>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</si>
  <si>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</si>
  <si>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</si>
  <si>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</si>
  <si>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</si>
  <si>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</si>
  <si>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</si>
  <si>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</si>
  <si>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</si>
  <si>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</si>
  <si>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</si>
  <si>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</si>
  <si>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</si>
  <si>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</si>
  <si>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</si>
  <si>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</si>
  <si>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</si>
  <si>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</si>
  <si>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</si>
  <si>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</si>
  <si>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</si>
  <si>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</si>
  <si>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</si>
  <si>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</si>
  <si>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</si>
  <si>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</si>
  <si>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</si>
  <si>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</si>
  <si>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</si>
  <si>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</si>
  <si>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</si>
  <si>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</si>
  <si>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</si>
  <si>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</si>
  <si>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</si>
  <si>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</si>
  <si>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</si>
  <si>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</si>
  <si>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</si>
  <si>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</si>
  <si>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</si>
  <si>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</si>
  <si>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</si>
  <si>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</si>
  <si>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</si>
  <si>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</si>
  <si>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</si>
  <si>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</si>
  <si>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</si>
  <si>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</si>
  <si>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</si>
  <si>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</si>
  <si>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</si>
  <si>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</si>
  <si>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</si>
  <si>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</si>
  <si>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</si>
  <si>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</si>
  <si>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</si>
  <si>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</si>
  <si>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</si>
  <si>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</si>
  <si>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</si>
  <si>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</si>
  <si>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</si>
  <si>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</si>
  <si>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</si>
  <si>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</si>
  <si>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</si>
  <si>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</si>
  <si>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</si>
  <si>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</si>
  <si>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</si>
  <si>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</si>
  <si>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</si>
  <si>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</si>
  <si>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</si>
  <si>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</si>
  <si>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</si>
  <si>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</si>
  <si>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</si>
  <si>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</si>
  <si>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</si>
  <si>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</si>
  <si>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</si>
  <si>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</si>
  <si>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</si>
  <si>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</si>
  <si>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</si>
  <si>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</si>
  <si>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</si>
  <si>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</si>
  <si>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</si>
  <si>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</si>
  <si>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</si>
  <si>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</si>
  <si>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</si>
  <si>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</si>
  <si>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</si>
  <si>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</si>
  <si>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</si>
  <si>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</si>
  <si>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</si>
  <si>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</si>
  <si>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</si>
  <si>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</si>
  <si>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</si>
  <si>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</si>
  <si>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</si>
  <si>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</si>
  <si>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</si>
  <si>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</si>
  <si>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</si>
  <si>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</si>
  <si>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</si>
  <si>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</si>
  <si>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</si>
  <si>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</si>
  <si>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</si>
  <si>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</si>
  <si>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</si>
  <si>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</si>
  <si>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</si>
  <si>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</si>
  <si>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</si>
  <si>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</si>
  <si>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</si>
  <si>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</si>
  <si>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</si>
  <si>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</si>
  <si>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</si>
  <si>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</si>
  <si>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</si>
  <si>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</si>
  <si>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</si>
  <si>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</si>
  <si>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</si>
  <si>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</si>
  <si>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</si>
  <si>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</si>
  <si>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</si>
  <si>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</si>
  <si>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</si>
  <si>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</si>
  <si>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</si>
  <si>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</si>
  <si>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</si>
  <si>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</si>
  <si>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</si>
  <si>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</si>
  <si>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</si>
  <si>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</si>
  <si>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</si>
  <si>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</si>
  <si>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</si>
  <si>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</si>
  <si>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</si>
  <si>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</si>
  <si>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</si>
  <si>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</si>
  <si>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</si>
  <si>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</si>
  <si>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</si>
  <si>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</si>
  <si>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</si>
  <si>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</si>
  <si>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</si>
  <si>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</si>
  <si>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</si>
  <si>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</si>
  <si>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</si>
  <si>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</si>
  <si>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</si>
  <si>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</si>
  <si>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</si>
  <si>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</si>
  <si>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</si>
  <si>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</si>
  <si>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</si>
  <si>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</si>
  <si>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</si>
  <si>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</si>
  <si>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</si>
  <si>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</si>
  <si>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</si>
  <si>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</si>
  <si>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</si>
  <si>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</si>
  <si>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</si>
  <si>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</si>
  <si>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</si>
  <si>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</si>
  <si>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</si>
  <si>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</si>
  <si>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</si>
  <si>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</si>
  <si>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</si>
  <si>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</si>
  <si>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</si>
  <si>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</si>
  <si>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</si>
  <si>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</si>
  <si>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</si>
  <si>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</si>
  <si>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</si>
  <si>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</si>
  <si>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</si>
  <si>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</si>
  <si>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</si>
  <si>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</si>
  <si>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</si>
  <si>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</si>
  <si>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</si>
  <si>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</si>
  <si>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</si>
  <si>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</si>
  <si>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</si>
  <si>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</si>
  <si>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</si>
  <si>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</si>
  <si>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</si>
  <si>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</si>
  <si>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</si>
  <si>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</si>
  <si>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</si>
  <si>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</si>
  <si>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</si>
  <si>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</si>
  <si>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</si>
  <si>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</si>
  <si>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</si>
  <si>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</si>
  <si>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</si>
  <si>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</si>
  <si>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</si>
  <si>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</si>
  <si>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</si>
  <si>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</si>
  <si>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</si>
  <si>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</si>
  <si>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</si>
  <si>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</si>
  <si>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</si>
  <si>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</si>
  <si>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</si>
  <si>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</si>
  <si>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</si>
  <si>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</si>
  <si>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</si>
  <si>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</si>
  <si>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</si>
  <si>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</si>
  <si>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</si>
  <si>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</si>
  <si>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</si>
  <si>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</si>
  <si>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</si>
  <si>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</si>
  <si>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</si>
  <si>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</si>
  <si>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</si>
  <si>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</si>
  <si>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</si>
  <si>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</si>
  <si>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</si>
  <si>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</si>
  <si>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</si>
  <si>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</si>
  <si>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</si>
  <si>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</si>
  <si>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</si>
  <si>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</si>
  <si>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</si>
  <si>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</si>
  <si>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</si>
  <si>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</si>
  <si>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</si>
  <si>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</si>
  <si>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</si>
  <si>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</si>
  <si>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</si>
  <si>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</si>
  <si>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</si>
  <si>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</si>
  <si>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</si>
  <si>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</si>
  <si>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</si>
  <si>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</si>
  <si>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</si>
  <si>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</si>
  <si>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</si>
  <si>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</si>
  <si>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</si>
  <si>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</si>
  <si>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</si>
  <si>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</si>
  <si>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</si>
  <si>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</si>
  <si>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</si>
  <si>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</si>
  <si>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</si>
  <si>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</si>
  <si>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</si>
  <si>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</si>
  <si>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</si>
  <si>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</si>
  <si>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</si>
  <si>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</si>
  <si>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</si>
  <si>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</si>
  <si>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</si>
  <si>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</si>
  <si>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</si>
  <si>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</si>
  <si>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</si>
  <si>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</si>
  <si>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</si>
  <si>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</si>
  <si>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</si>
  <si>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</si>
  <si>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</si>
  <si>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</si>
  <si>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</si>
  <si>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</si>
  <si>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</si>
  <si>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</si>
  <si>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</si>
  <si>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</si>
  <si>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</si>
  <si>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</si>
  <si>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</si>
  <si>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</si>
  <si>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</si>
  <si>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</si>
  <si>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</si>
  <si>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</si>
  <si>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</si>
  <si>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</si>
  <si>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</si>
  <si>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</si>
  <si>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</si>
  <si>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</si>
  <si>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</si>
  <si>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</si>
  <si>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</si>
  <si>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</si>
  <si>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</si>
  <si>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</si>
  <si>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</si>
  <si>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</si>
  <si>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</si>
  <si>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</si>
  <si>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</si>
  <si>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</si>
  <si>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</si>
  <si>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</si>
  <si>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</si>
  <si>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</si>
  <si>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</si>
  <si>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</si>
  <si>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</si>
  <si>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</si>
  <si>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</si>
  <si>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</si>
  <si>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</si>
  <si>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</si>
  <si>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</si>
  <si>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</si>
  <si>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</si>
  <si>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</si>
  <si>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</si>
  <si>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</si>
  <si>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</si>
  <si>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</si>
  <si>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</si>
  <si>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</si>
  <si>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</si>
  <si>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</si>
  <si>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</si>
  <si>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</si>
  <si>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</si>
  <si>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</si>
  <si>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</si>
  <si>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</si>
  <si>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</si>
  <si>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</si>
  <si>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</si>
  <si>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</si>
  <si>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</si>
  <si>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</si>
  <si>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</si>
  <si>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</si>
  <si>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</si>
  <si>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</si>
  <si>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</si>
  <si>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</si>
  <si>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</si>
  <si>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</si>
  <si>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</si>
  <si>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</si>
  <si>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</si>
  <si>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</si>
  <si>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</si>
  <si>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</si>
  <si>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</si>
  <si>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</si>
  <si>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</si>
  <si>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</si>
  <si>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</si>
  <si>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</si>
  <si>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</si>
  <si>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</si>
  <si>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</si>
  <si>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</si>
  <si>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</si>
  <si>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</si>
  <si>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</si>
  <si>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</si>
  <si>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</si>
  <si>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</si>
  <si>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</si>
  <si>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</si>
  <si>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</si>
  <si>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</si>
  <si>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</si>
  <si>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</si>
  <si>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</si>
  <si>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</si>
  <si>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</si>
  <si>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</si>
  <si>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</si>
  <si>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</si>
  <si>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</si>
  <si>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</si>
  <si>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</si>
  <si>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</si>
  <si>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</si>
  <si>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</si>
  <si>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</si>
  <si>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</si>
  <si>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</si>
  <si>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</si>
  <si>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</si>
  <si>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</si>
  <si>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</si>
  <si>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</si>
  <si>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</si>
  <si>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</si>
  <si>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</si>
  <si>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</si>
  <si>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</si>
  <si>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</si>
  <si>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</si>
  <si>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</si>
  <si>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</si>
  <si>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</si>
  <si>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</si>
  <si>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</si>
  <si>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</si>
  <si>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</si>
  <si>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</si>
  <si>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</si>
  <si>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</si>
  <si>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</si>
  <si>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</si>
  <si>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</si>
  <si>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</si>
  <si>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</si>
  <si>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</si>
  <si>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</si>
  <si>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</si>
  <si>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</si>
  <si>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</si>
  <si>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</si>
  <si>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</si>
  <si>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</si>
  <si>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</si>
  <si>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</si>
  <si>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</si>
  <si>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</si>
  <si>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</si>
  <si>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</si>
  <si>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</si>
  <si>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</si>
  <si>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</si>
  <si>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</si>
  <si>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</si>
  <si>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</si>
  <si>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</si>
  <si>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</si>
  <si>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</si>
  <si>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</si>
  <si>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</si>
  <si>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</si>
  <si>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</si>
  <si>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</si>
  <si>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</si>
  <si>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</si>
  <si>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</si>
  <si>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</si>
  <si>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</si>
  <si>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</si>
  <si>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</si>
  <si>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</si>
  <si>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</si>
  <si>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</si>
  <si>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</si>
  <si>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</si>
  <si>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</si>
  <si>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</si>
  <si>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</si>
  <si>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</si>
  <si>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</si>
  <si>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</si>
  <si>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</si>
  <si>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</si>
  <si>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</si>
  <si>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</si>
  <si>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</si>
  <si>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</si>
  <si>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</si>
  <si>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</si>
  <si>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</si>
  <si>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</si>
  <si>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</si>
  <si>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</si>
  <si>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</si>
  <si>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</si>
  <si>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</si>
  <si>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</si>
  <si>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</si>
  <si>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</si>
  <si>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</si>
  <si>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</si>
  <si>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</si>
  <si>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</si>
  <si>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</si>
  <si>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</si>
  <si>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</si>
  <si>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</si>
  <si>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</si>
  <si>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</si>
  <si>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</si>
  <si>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</si>
  <si>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</si>
  <si>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</si>
  <si>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</si>
  <si>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</si>
  <si>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</si>
  <si>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</si>
  <si>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</si>
  <si>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</si>
  <si>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</si>
  <si>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</si>
  <si>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</si>
  <si>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</si>
  <si>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</si>
  <si>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</si>
  <si>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</si>
  <si>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</si>
  <si>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</si>
  <si>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</si>
  <si>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</si>
  <si>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</si>
  <si>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</si>
  <si>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</si>
  <si>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</si>
  <si>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</si>
  <si>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</si>
  <si>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</si>
  <si>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</si>
  <si>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</si>
  <si>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</si>
  <si>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</si>
  <si>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</si>
  <si>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</si>
  <si>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</si>
  <si>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</si>
  <si>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</si>
  <si>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</si>
  <si>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</si>
  <si>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</si>
  <si>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</si>
  <si>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</si>
  <si>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</si>
  <si>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</si>
  <si>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</si>
  <si>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</si>
  <si>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</si>
  <si>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</si>
  <si>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</si>
  <si>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</si>
  <si>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</si>
  <si>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</si>
  <si>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</si>
  <si>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</si>
  <si>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</si>
  <si>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</si>
  <si>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</si>
  <si>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</si>
  <si>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</si>
  <si>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</si>
  <si>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</si>
  <si>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</si>
  <si>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</si>
  <si>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</si>
  <si>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</si>
  <si>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</si>
  <si>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</si>
  <si>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</si>
  <si>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</si>
  <si>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</si>
  <si>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</si>
  <si>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</si>
  <si>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</si>
  <si>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</si>
  <si>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</si>
  <si>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</si>
  <si>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</si>
  <si>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</si>
  <si>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</si>
  <si>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</si>
  <si>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</si>
  <si>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</si>
  <si>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</si>
  <si>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</si>
  <si>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</si>
  <si>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</si>
  <si>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</si>
  <si>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</si>
  <si>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</si>
  <si>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</si>
  <si>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</si>
  <si>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</si>
  <si>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</si>
  <si>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</si>
  <si>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</si>
  <si>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</si>
  <si>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</si>
  <si>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</si>
  <si>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</si>
  <si>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</si>
  <si>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</si>
  <si>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</si>
  <si>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</si>
  <si>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</si>
  <si>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</si>
  <si>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</si>
  <si>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</si>
  <si>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</si>
  <si>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</si>
  <si>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</si>
  <si>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</si>
  <si>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</si>
  <si>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</si>
  <si>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</si>
  <si>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</si>
  <si>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</si>
  <si>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</si>
  <si>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</si>
  <si>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</si>
  <si>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</si>
  <si>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</si>
  <si>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</si>
  <si>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</si>
  <si>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</si>
  <si>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</si>
  <si>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</si>
  <si>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</si>
  <si>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</si>
  <si>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</si>
  <si>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</si>
  <si>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</si>
  <si>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</si>
  <si>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</si>
  <si>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</si>
  <si>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</si>
  <si>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</si>
  <si>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</si>
  <si>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</si>
  <si>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</si>
  <si>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</si>
  <si>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</si>
  <si>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</si>
  <si>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</si>
  <si>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</si>
  <si>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</si>
  <si>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</si>
  <si>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</si>
  <si>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</si>
  <si>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</si>
  <si>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</si>
  <si>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</si>
  <si>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</si>
  <si>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</si>
  <si>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</si>
  <si>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</si>
  <si>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</si>
  <si>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</si>
  <si>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</si>
  <si>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</si>
  <si>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</si>
  <si>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</si>
  <si>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</si>
  <si>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</si>
  <si>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</si>
  <si>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</si>
  <si>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</si>
  <si>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</si>
  <si>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</si>
  <si>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</si>
  <si>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</si>
  <si>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</si>
  <si>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</si>
  <si>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</si>
  <si>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</si>
  <si>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</si>
  <si>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</si>
  <si>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</si>
  <si>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</si>
  <si>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</si>
  <si>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</si>
  <si>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</si>
  <si>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</si>
  <si>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</si>
  <si>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</si>
  <si>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</si>
  <si>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</si>
  <si>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</si>
  <si>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</si>
  <si>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</si>
  <si>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</si>
  <si>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</si>
  <si>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</si>
  <si>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</si>
  <si>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</si>
  <si>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</si>
  <si>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</si>
  <si>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</si>
  <si>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</si>
  <si>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</si>
  <si>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</si>
  <si>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</si>
  <si>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</si>
  <si>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</si>
  <si>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</si>
  <si>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</si>
  <si>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</si>
  <si>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</si>
  <si>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</si>
  <si>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</si>
  <si>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</si>
  <si>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</si>
  <si>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</si>
  <si>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</si>
  <si>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</si>
  <si>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</si>
  <si>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</si>
  <si>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</si>
  <si>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</si>
  <si>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</si>
  <si>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</si>
  <si>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</si>
  <si>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</si>
  <si>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</si>
  <si>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</si>
  <si>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</si>
  <si>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</si>
  <si>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</si>
  <si>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</si>
  <si>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</si>
  <si>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</si>
  <si>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</si>
  <si>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</si>
  <si>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</si>
  <si>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</si>
  <si>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</si>
  <si>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</si>
  <si>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</si>
  <si>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</si>
  <si>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</si>
  <si>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</si>
  <si>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</si>
  <si>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</si>
  <si>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</si>
  <si>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</si>
  <si>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</si>
  <si>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</si>
  <si>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</si>
  <si>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</si>
  <si>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</si>
  <si>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</si>
  <si>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</si>
  <si>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</si>
  <si>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</si>
  <si>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</si>
  <si>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</si>
  <si>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</si>
  <si>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</si>
  <si>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</si>
  <si>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</si>
  <si>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</si>
  <si>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</si>
  <si>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</si>
  <si>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</si>
  <si>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</si>
  <si>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</si>
  <si>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</si>
  <si>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</si>
  <si>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</si>
  <si>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</si>
  <si>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</si>
  <si>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</si>
  <si>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</si>
  <si>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</si>
  <si>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</si>
  <si>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</si>
  <si>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</si>
  <si>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</si>
  <si>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</si>
  <si>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</si>
  <si>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</si>
  <si>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</si>
  <si>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</si>
  <si>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</si>
  <si>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</si>
  <si>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</si>
  <si>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</si>
  <si>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</si>
  <si>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</si>
  <si>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</si>
  <si>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</si>
  <si>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</si>
  <si>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</si>
  <si>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</si>
  <si>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</si>
  <si>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</si>
  <si>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</si>
  <si>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</si>
  <si>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</si>
  <si>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</si>
  <si>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</si>
  <si>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</si>
  <si>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</si>
  <si>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</si>
  <si>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</si>
  <si>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</si>
  <si>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</si>
  <si>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</si>
  <si>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</si>
  <si>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</si>
  <si>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</si>
  <si>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</si>
  <si>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</si>
  <si>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</si>
  <si>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</si>
  <si>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</si>
  <si>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</si>
  <si>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</si>
  <si>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</si>
  <si>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</si>
  <si>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</si>
  <si>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</si>
  <si>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</si>
  <si>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</si>
  <si>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</si>
  <si>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</si>
  <si>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</si>
  <si>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</si>
  <si>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</si>
  <si>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</si>
  <si>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</si>
  <si>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</si>
  <si>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</si>
  <si>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</si>
  <si>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</si>
  <si>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</si>
  <si>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</si>
  <si>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</si>
  <si>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</si>
  <si>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</si>
  <si>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</si>
  <si>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</si>
  <si>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</si>
  <si>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</si>
  <si>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</si>
  <si>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</si>
  <si>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</si>
  <si>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</si>
  <si>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</si>
  <si>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</si>
  <si>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</si>
  <si>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</si>
  <si>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</si>
  <si>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</si>
  <si>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</si>
  <si>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</si>
  <si>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</si>
  <si>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</si>
  <si>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</si>
  <si>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</si>
  <si>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</si>
  <si>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</si>
  <si>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</si>
  <si>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</si>
  <si>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</si>
  <si>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</si>
  <si>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</si>
  <si>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</si>
  <si>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</si>
  <si>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</si>
  <si>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</si>
  <si>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</si>
  <si>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</si>
  <si>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</si>
  <si>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</si>
  <si>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</si>
  <si>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</si>
  <si>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</si>
  <si>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</si>
  <si>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</si>
  <si>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</si>
  <si>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</si>
  <si>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</si>
  <si>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</si>
  <si>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</si>
  <si>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</si>
  <si>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</si>
  <si>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</si>
  <si>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</si>
  <si>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</si>
  <si>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</si>
  <si>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</si>
  <si>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</si>
  <si>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</si>
  <si>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</si>
  <si>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</si>
  <si>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</si>
  <si>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</si>
  <si>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</si>
  <si>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</si>
  <si>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</si>
  <si>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</si>
  <si>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</si>
  <si>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</si>
  <si>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</si>
  <si>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</si>
  <si>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</si>
  <si>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</si>
  <si>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</si>
  <si>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</si>
  <si>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</si>
  <si>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</si>
  <si>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</si>
  <si>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</si>
  <si>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</si>
  <si>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</si>
  <si>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</si>
  <si>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</si>
  <si>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</si>
  <si>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</si>
  <si>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</si>
  <si>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</si>
  <si>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</si>
  <si>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</si>
  <si>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</si>
  <si>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</si>
  <si>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</si>
  <si>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</si>
  <si>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</si>
  <si>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</si>
  <si>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</si>
  <si>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</si>
  <si>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</si>
  <si>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</si>
  <si>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</si>
  <si>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</si>
  <si>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</si>
  <si>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</si>
  <si>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</si>
  <si>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</si>
  <si>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</si>
  <si>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</si>
  <si>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</si>
  <si>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</si>
  <si>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</si>
  <si>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</si>
  <si>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</si>
  <si>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</si>
  <si>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</si>
  <si>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</si>
  <si>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</si>
  <si>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</si>
  <si>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</si>
  <si>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</si>
  <si>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</si>
  <si>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</si>
  <si>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</si>
  <si>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</si>
  <si>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</si>
  <si>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</si>
  <si>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</si>
  <si>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</si>
  <si>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</si>
  <si>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</si>
  <si>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</si>
  <si>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</si>
  <si>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</si>
  <si>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</si>
  <si>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</si>
  <si>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</si>
  <si>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</si>
  <si>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</si>
  <si>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</si>
  <si>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</si>
  <si>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</si>
  <si>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</si>
  <si>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</si>
  <si>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</si>
  <si>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</si>
  <si>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</si>
  <si>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</si>
  <si>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</si>
  <si>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</si>
  <si>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</si>
  <si>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</si>
  <si>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</si>
  <si>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</si>
  <si>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</si>
  <si>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</si>
  <si>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</si>
  <si>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</si>
  <si>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</si>
  <si>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</si>
  <si>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</si>
  <si>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</si>
  <si>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</si>
  <si>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</si>
  <si>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</si>
  <si>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</si>
  <si>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</si>
  <si>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</si>
  <si>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</si>
  <si>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</si>
  <si>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</si>
  <si>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</si>
  <si>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</si>
  <si>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</si>
  <si>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</si>
  <si>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</si>
  <si>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</si>
  <si>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</si>
  <si>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</si>
  <si>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</si>
  <si>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</si>
  <si>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</si>
  <si>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</si>
  <si>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</si>
  <si>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</si>
  <si>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</si>
  <si>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</si>
  <si>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</si>
  <si>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</si>
  <si>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</si>
  <si>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</si>
  <si>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</si>
  <si>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</si>
  <si>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</si>
  <si>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</si>
  <si>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</si>
  <si>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</si>
  <si>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</si>
  <si>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</si>
  <si>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</si>
  <si>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</si>
  <si>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</si>
  <si>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</si>
  <si>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</si>
  <si>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</si>
  <si>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</si>
  <si>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</si>
  <si>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</si>
  <si>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</si>
  <si>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</si>
  <si>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</si>
  <si>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</si>
  <si>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</si>
  <si>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</si>
  <si>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</si>
  <si>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</si>
  <si>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</si>
  <si>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</si>
  <si>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</si>
  <si>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</si>
  <si>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</si>
  <si>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</si>
  <si>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</si>
  <si>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</si>
  <si>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</si>
  <si>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</si>
  <si>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</si>
  <si>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</si>
  <si>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</si>
  <si>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</si>
  <si>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</si>
  <si>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</si>
  <si>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</si>
  <si>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</si>
  <si>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</si>
  <si>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</si>
  <si>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</si>
  <si>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</si>
  <si>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</si>
  <si>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</si>
  <si>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</si>
  <si>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</si>
  <si>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</si>
  <si>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</si>
  <si>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</si>
  <si>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</si>
  <si>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</si>
  <si>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</si>
  <si>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</si>
  <si>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</si>
  <si>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</si>
  <si>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</si>
  <si>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</si>
  <si>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</si>
  <si>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</si>
  <si>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</si>
  <si>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</si>
  <si>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</si>
  <si>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</si>
  <si>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</si>
  <si>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</si>
  <si>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</si>
  <si>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</si>
  <si>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</si>
  <si>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</si>
  <si>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</si>
  <si>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</si>
  <si>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</si>
  <si>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</si>
  <si>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</si>
  <si>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</si>
  <si>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</si>
  <si>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</si>
  <si>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</si>
  <si>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</si>
  <si>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</si>
  <si>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</si>
  <si>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</si>
  <si>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</si>
  <si>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</si>
  <si>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</si>
  <si>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</si>
  <si>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</si>
  <si>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</si>
  <si>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</si>
  <si>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</si>
  <si>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</si>
  <si>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</si>
  <si>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</si>
  <si>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</si>
  <si>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</si>
  <si>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</si>
  <si>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</si>
  <si>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</si>
  <si>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</si>
  <si>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</si>
  <si>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</si>
  <si>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</si>
  <si>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</si>
  <si>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</si>
  <si>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</si>
  <si>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</si>
  <si>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</si>
  <si>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</si>
  <si>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</si>
  <si>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</si>
  <si>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</si>
  <si>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</si>
  <si>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</si>
  <si>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</si>
  <si>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</si>
  <si>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</si>
  <si>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</si>
  <si>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</si>
  <si>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</si>
  <si>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</si>
  <si>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</si>
  <si>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</si>
  <si>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</si>
  <si>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</si>
  <si>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</si>
  <si>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</si>
  <si>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</si>
  <si>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</si>
  <si>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</si>
  <si>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</si>
  <si>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</si>
  <si>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</si>
  <si>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</si>
  <si>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</si>
  <si>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</si>
  <si>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</si>
  <si>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</si>
  <si>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</si>
  <si>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</si>
  <si>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</si>
  <si>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</si>
  <si>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</si>
  <si>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</si>
  <si>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</si>
  <si>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</si>
  <si>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</si>
  <si>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</si>
  <si>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</si>
  <si>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</si>
  <si>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</si>
  <si>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</si>
  <si>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</si>
  <si>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</si>
  <si>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</si>
  <si>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</si>
  <si>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</si>
  <si>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</si>
  <si>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</si>
  <si>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</si>
  <si>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</si>
  <si>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</si>
  <si>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</si>
  <si>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</si>
  <si>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</si>
  <si>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</si>
  <si>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</si>
  <si>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</si>
  <si>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</si>
  <si>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</si>
  <si>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</si>
  <si>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</si>
  <si>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</si>
  <si>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</si>
  <si>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</si>
  <si>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</si>
  <si>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</si>
  <si>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</si>
  <si>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</si>
  <si>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</si>
  <si>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</si>
  <si>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</si>
  <si>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</si>
  <si>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</si>
  <si>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</si>
  <si>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</si>
  <si>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</si>
  <si>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</si>
  <si>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</si>
  <si>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</si>
  <si>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</si>
  <si>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</si>
  <si>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</si>
  <si>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</si>
  <si>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</si>
  <si>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</si>
  <si>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</si>
  <si>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</si>
  <si>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</si>
  <si>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</si>
  <si>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</si>
  <si>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</si>
  <si>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</si>
  <si>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</si>
  <si>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</si>
  <si>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</si>
  <si>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</si>
  <si>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</si>
  <si>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</si>
  <si>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</si>
  <si>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</si>
  <si>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</si>
  <si>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</si>
  <si>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</si>
  <si>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</si>
  <si>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</si>
  <si>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</si>
  <si>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</si>
  <si>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</si>
  <si>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</si>
  <si>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</si>
  <si>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</si>
  <si>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</si>
  <si>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</si>
  <si>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</si>
  <si>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</si>
  <si>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</si>
  <si>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</si>
  <si>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</si>
  <si>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</si>
  <si>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</si>
  <si>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</si>
  <si>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</si>
  <si>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</si>
  <si>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</si>
  <si>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</si>
  <si>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</si>
  <si>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</si>
  <si>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</si>
  <si>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</si>
  <si>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</si>
  <si>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</si>
  <si>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</si>
  <si>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</si>
  <si>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</si>
  <si>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</si>
  <si>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</si>
  <si>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</si>
  <si>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</si>
  <si>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</si>
  <si>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</si>
  <si>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</si>
  <si>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</si>
  <si>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</si>
  <si>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</si>
  <si>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</si>
  <si>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</si>
  <si>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</si>
  <si>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</si>
  <si>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</si>
  <si>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</si>
  <si>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</si>
  <si>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</si>
  <si>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</si>
  <si>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</si>
  <si>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</si>
  <si>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</si>
  <si>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</si>
  <si>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</si>
  <si>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</si>
  <si>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</si>
  <si>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</si>
  <si>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</si>
  <si>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</si>
  <si>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</si>
  <si>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</si>
  <si>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</si>
  <si>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</si>
  <si>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</si>
  <si>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</si>
  <si>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</si>
  <si>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</si>
  <si>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</si>
  <si>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</si>
  <si>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</si>
  <si>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</si>
  <si>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</si>
  <si>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</si>
  <si>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</si>
  <si>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</si>
  <si>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</si>
  <si>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</si>
  <si>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</si>
  <si>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</si>
  <si>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</si>
  <si>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</si>
  <si>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</si>
  <si>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</si>
  <si>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</si>
  <si>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</si>
  <si>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</si>
  <si>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</si>
  <si>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</si>
  <si>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</si>
  <si>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</si>
  <si>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</si>
  <si>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</si>
  <si>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</si>
  <si>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</si>
  <si>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</si>
  <si>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</si>
  <si>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</si>
  <si>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</si>
  <si>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</si>
  <si>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</si>
  <si>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</si>
  <si>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</si>
  <si>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</si>
  <si>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</si>
  <si>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</si>
  <si>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</si>
  <si>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</si>
  <si>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</si>
  <si>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</si>
  <si>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</si>
  <si>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</si>
  <si>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</si>
  <si>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</si>
  <si>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</si>
  <si>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</si>
  <si>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</si>
  <si>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</si>
  <si>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</si>
  <si>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</si>
  <si>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</si>
  <si>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</si>
  <si>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</si>
  <si>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</si>
  <si>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</si>
  <si>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</si>
  <si>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</si>
  <si>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</si>
  <si>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</si>
  <si>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</si>
  <si>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</si>
  <si>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</si>
  <si>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</si>
  <si>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</si>
  <si>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</si>
  <si>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</si>
  <si>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</si>
  <si>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</si>
  <si>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</si>
  <si>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</si>
  <si>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</si>
  <si>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</si>
  <si>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</si>
  <si>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</si>
  <si>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</si>
  <si>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</si>
  <si>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</si>
  <si>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</si>
  <si>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</si>
  <si>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</si>
  <si>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</si>
  <si>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</si>
  <si>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</si>
  <si>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</si>
  <si>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</si>
  <si>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</si>
  <si>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</si>
  <si>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</si>
  <si>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</si>
  <si>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</si>
  <si>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</si>
  <si>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</si>
  <si>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</si>
  <si>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</si>
  <si>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</si>
  <si>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</si>
  <si>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</si>
  <si>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</si>
  <si>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</si>
  <si>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</si>
  <si>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</si>
  <si>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</si>
  <si>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</si>
  <si>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</si>
  <si>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</si>
  <si>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</si>
  <si>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</si>
  <si>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</si>
  <si>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</si>
  <si>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</si>
  <si>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</si>
  <si>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</si>
  <si>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</si>
  <si>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</si>
  <si>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</si>
  <si>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</si>
  <si>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</si>
  <si>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</si>
  <si>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</si>
  <si>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</si>
  <si>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</si>
  <si>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</si>
  <si>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</si>
  <si>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</si>
  <si>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</si>
  <si>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</si>
  <si>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</si>
  <si>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</si>
  <si>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</si>
  <si>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</si>
  <si>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</si>
  <si>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</si>
  <si>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</si>
  <si>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</si>
  <si>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</si>
  <si>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</si>
  <si>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</si>
  <si>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</si>
  <si>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</si>
  <si>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</si>
  <si>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</si>
  <si>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</si>
  <si>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</si>
  <si>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</si>
  <si>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</si>
  <si>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</si>
  <si>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</si>
  <si>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</si>
  <si>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</si>
  <si>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</si>
  <si>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</si>
  <si>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</si>
  <si>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</si>
  <si>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</si>
  <si>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</si>
  <si>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</si>
  <si>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</si>
  <si>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</si>
  <si>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</si>
  <si>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</si>
  <si>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</si>
  <si>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</si>
  <si>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</si>
  <si>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</si>
  <si>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</si>
  <si>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</si>
  <si>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</si>
  <si>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</si>
  <si>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</si>
  <si>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</si>
  <si>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</si>
  <si>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</si>
  <si>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</si>
  <si>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</si>
  <si>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</si>
  <si>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</si>
  <si>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</si>
  <si>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</si>
  <si>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</si>
  <si>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</si>
  <si>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</si>
  <si>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</si>
  <si>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</si>
  <si>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</si>
  <si>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</si>
  <si>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</si>
  <si>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</si>
  <si>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</si>
  <si>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</si>
  <si>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</si>
  <si>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</si>
  <si>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</si>
  <si>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</si>
  <si>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</si>
  <si>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</si>
  <si>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</si>
  <si>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</si>
  <si>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</si>
  <si>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</si>
  <si>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</si>
  <si>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</si>
  <si>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</si>
  <si>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</si>
  <si>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</si>
  <si>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</si>
  <si>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</si>
  <si>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</si>
  <si>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</si>
  <si>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</si>
  <si>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</si>
  <si>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</si>
  <si>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</si>
  <si>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</si>
  <si>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</si>
  <si>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</si>
  <si>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</si>
  <si>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</si>
  <si>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</si>
  <si>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</si>
  <si>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</si>
  <si>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</si>
  <si>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</si>
  <si>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</si>
  <si>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</si>
  <si>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</si>
  <si>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</si>
  <si>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</si>
  <si>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</si>
  <si>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</si>
  <si>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</si>
  <si>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</si>
  <si>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</si>
  <si>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</si>
  <si>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</si>
  <si>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</si>
  <si>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</si>
  <si>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</si>
  <si>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</si>
  <si>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</si>
  <si>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</si>
  <si>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</si>
  <si>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</si>
  <si>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</si>
  <si>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</si>
  <si>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</si>
  <si>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</si>
  <si>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</si>
  <si>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</si>
  <si>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</si>
  <si>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</si>
  <si>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</si>
  <si>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</si>
  <si>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</si>
  <si>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</si>
  <si>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</si>
  <si>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</si>
  <si>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</si>
  <si>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</si>
  <si>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</si>
  <si>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</si>
  <si>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</si>
  <si>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</si>
  <si>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</si>
  <si>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</si>
  <si>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</si>
  <si>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</si>
  <si>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</si>
  <si>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</si>
  <si>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</si>
  <si>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</si>
  <si>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</si>
  <si>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</si>
  <si>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</si>
  <si>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</si>
  <si>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</si>
  <si>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</si>
  <si>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</si>
  <si>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</si>
  <si>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</si>
  <si>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</si>
  <si>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</si>
  <si>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</si>
  <si>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</si>
  <si>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</si>
  <si>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</si>
  <si>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</si>
  <si>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</si>
  <si>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</si>
  <si>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</si>
  <si>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</si>
  <si>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</si>
  <si>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</si>
  <si>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</si>
  <si>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</si>
  <si>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</si>
  <si>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</si>
  <si>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</si>
  <si>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</si>
  <si>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</si>
  <si>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</si>
  <si>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</si>
  <si>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</si>
  <si>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</si>
  <si>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</si>
  <si>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</si>
  <si>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</si>
  <si>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</si>
  <si>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</si>
  <si>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</si>
  <si>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</si>
  <si>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</si>
  <si>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</si>
  <si>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</si>
  <si>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</si>
  <si>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</si>
  <si>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</si>
  <si>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</si>
  <si>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</si>
  <si>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</si>
  <si>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</si>
  <si>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</si>
  <si>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</si>
  <si>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</si>
  <si>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</si>
  <si>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</si>
  <si>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</si>
  <si>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</si>
  <si>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</si>
  <si>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</si>
  <si>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</si>
  <si>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</si>
  <si>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</si>
  <si>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</si>
  <si>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</si>
  <si>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</si>
  <si>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</si>
  <si>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</si>
  <si>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</si>
  <si>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</si>
  <si>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</si>
  <si>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</si>
  <si>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</si>
  <si>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</si>
  <si>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</si>
  <si>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</si>
  <si>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</si>
  <si>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</si>
  <si>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</si>
  <si>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</si>
  <si>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</si>
  <si>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</si>
  <si>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</si>
  <si>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</si>
  <si>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</si>
  <si>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</si>
  <si>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</si>
  <si>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</si>
  <si>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</si>
  <si>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</si>
  <si>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</si>
  <si>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</si>
  <si>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</si>
  <si>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</si>
  <si>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</si>
  <si>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</si>
  <si>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</si>
  <si>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</si>
  <si>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</si>
  <si>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</si>
  <si>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</si>
  <si>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</si>
  <si>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</si>
  <si>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</si>
  <si>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</si>
  <si>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</si>
  <si>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</si>
  <si>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</si>
  <si>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</si>
  <si>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</si>
  <si>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</si>
  <si>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</si>
  <si>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</si>
  <si>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</si>
  <si>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</si>
  <si>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</si>
  <si>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</si>
  <si>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</si>
  <si>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</si>
  <si>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</si>
  <si>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</si>
  <si>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</si>
  <si>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</si>
  <si>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</si>
  <si>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</si>
  <si>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</si>
  <si>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</si>
  <si>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</si>
  <si>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</si>
  <si>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</si>
  <si>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</si>
  <si>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</si>
  <si>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</si>
  <si>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</si>
  <si>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</si>
  <si>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</si>
  <si>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</si>
  <si>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</si>
  <si>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</si>
  <si>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</si>
  <si>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</si>
  <si>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</si>
  <si>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</si>
  <si>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</si>
  <si>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</si>
  <si>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</si>
  <si>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</si>
  <si>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</si>
  <si>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</si>
  <si>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</si>
  <si>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</si>
  <si>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</si>
  <si>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</si>
  <si>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</si>
  <si>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</si>
  <si>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</si>
  <si>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</si>
  <si>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</si>
  <si>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</si>
  <si>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</si>
  <si>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</si>
  <si>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</si>
  <si>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</si>
  <si>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</si>
  <si>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</si>
  <si>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</si>
  <si>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</si>
  <si>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</si>
  <si>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</si>
  <si>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</si>
  <si>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</si>
  <si>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</si>
  <si>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</si>
  <si>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</si>
  <si>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</si>
  <si>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</si>
  <si>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</si>
  <si>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</si>
  <si>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</si>
  <si>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</si>
  <si>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</si>
  <si>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</si>
  <si>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</si>
  <si>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</si>
  <si>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</si>
  <si>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</si>
  <si>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</si>
  <si>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</si>
  <si>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</si>
  <si>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</si>
  <si>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</si>
  <si>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</si>
  <si>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</si>
  <si>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</si>
  <si>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</si>
  <si>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</si>
  <si>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</si>
  <si>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</si>
  <si>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</si>
  <si>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</si>
  <si>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</si>
  <si>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</si>
  <si>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</si>
  <si>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</si>
  <si>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</si>
  <si>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</si>
  <si>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</si>
  <si>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</si>
  <si>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</si>
  <si>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</si>
  <si>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</si>
  <si>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</si>
  <si>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</si>
  <si>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</si>
  <si>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</si>
  <si>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</si>
  <si>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</si>
  <si>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</si>
  <si>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</si>
  <si>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</si>
  <si>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</si>
  <si>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</si>
  <si>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</si>
  <si>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</si>
  <si>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</si>
  <si>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</si>
  <si>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</si>
  <si>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</si>
  <si>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</si>
  <si>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</si>
  <si>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</si>
  <si>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</si>
  <si>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</si>
  <si>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</si>
  <si>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</si>
  <si>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</si>
  <si>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</si>
  <si>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</si>
  <si>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</si>
  <si>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</si>
  <si>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</si>
  <si>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</si>
  <si>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</si>
  <si>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</si>
  <si>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</si>
  <si>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</si>
  <si>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</si>
  <si>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</si>
  <si>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</si>
  <si>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</si>
  <si>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</si>
  <si>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</si>
  <si>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</si>
  <si>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</si>
  <si>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</si>
  <si>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</si>
  <si>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</si>
  <si>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</si>
  <si>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</si>
  <si>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</si>
  <si>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</si>
  <si>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</si>
  <si>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</si>
  <si>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</si>
  <si>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</si>
  <si>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</si>
  <si>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</si>
  <si>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</si>
  <si>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</si>
  <si>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</si>
  <si>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</si>
  <si>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</si>
  <si>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</si>
  <si>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</si>
  <si>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</si>
  <si>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</si>
  <si>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</si>
  <si>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</si>
  <si>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</si>
  <si>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</si>
  <si>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</si>
  <si>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</si>
  <si>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</si>
  <si>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</si>
  <si>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</si>
  <si>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</si>
  <si>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</si>
  <si>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</si>
  <si>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</si>
  <si>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</si>
  <si>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</si>
  <si>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</si>
  <si>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</si>
  <si>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</si>
  <si>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</si>
  <si>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</si>
  <si>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</si>
  <si>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</si>
  <si>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</si>
  <si>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</si>
  <si>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</si>
  <si>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</si>
  <si>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</si>
  <si>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</si>
  <si>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</si>
  <si>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</si>
  <si>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</si>
  <si>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</si>
  <si>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</si>
  <si>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</si>
  <si>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</si>
  <si>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</si>
  <si>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</si>
  <si>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</si>
  <si>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</si>
  <si>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</si>
  <si>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</si>
  <si>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</si>
  <si>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</si>
  <si>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</si>
  <si>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</si>
  <si>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</si>
  <si>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</si>
  <si>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</si>
  <si>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</si>
  <si>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</si>
  <si>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</si>
  <si>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</si>
  <si>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</si>
  <si>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</si>
  <si>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</si>
  <si>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</si>
  <si>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</si>
  <si>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</si>
  <si>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</si>
  <si>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</si>
  <si>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</si>
  <si>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</si>
  <si>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</si>
  <si>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</si>
  <si>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</si>
  <si>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</si>
  <si>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</si>
  <si>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</si>
  <si>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</si>
  <si>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</si>
  <si>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</si>
  <si>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</si>
  <si>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</si>
  <si>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</si>
  <si>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</si>
  <si>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</si>
  <si>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</si>
  <si>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</si>
  <si>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</si>
  <si>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</si>
  <si>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</si>
  <si>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</si>
  <si>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</si>
  <si>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</si>
  <si>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</si>
  <si>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</si>
  <si>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</si>
  <si>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</si>
  <si>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</si>
  <si>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</si>
  <si>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</si>
  <si>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</si>
  <si>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</si>
  <si>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</si>
  <si>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</si>
  <si>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</si>
  <si>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</si>
  <si>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</si>
  <si>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</si>
  <si>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</si>
  <si>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</si>
  <si>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</si>
  <si>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</si>
  <si>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</si>
  <si>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</si>
  <si>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</si>
  <si>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</si>
  <si>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</si>
  <si>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</si>
  <si>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</si>
  <si>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</si>
  <si>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</si>
  <si>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</si>
  <si>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</si>
  <si>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</si>
  <si>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</si>
  <si>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</si>
  <si>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</si>
  <si>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</si>
  <si>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</si>
  <si>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</si>
  <si>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</si>
  <si>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</si>
  <si>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</si>
  <si>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</si>
  <si>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</si>
  <si>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</si>
  <si>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</si>
  <si>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</si>
  <si>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</si>
  <si>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</si>
  <si>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</si>
  <si>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</si>
  <si>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</si>
  <si>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</si>
  <si>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</si>
  <si>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</si>
  <si>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</si>
  <si>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</si>
  <si>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</si>
  <si>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</si>
  <si>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</si>
  <si>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</si>
  <si>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</si>
  <si>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</si>
  <si>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</si>
  <si>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</si>
  <si>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</si>
  <si>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</si>
  <si>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</si>
  <si>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</si>
  <si>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</si>
  <si>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</si>
  <si>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</si>
  <si>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</si>
  <si>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</si>
  <si>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</si>
  <si>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</si>
  <si>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</si>
  <si>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</si>
  <si>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</si>
  <si>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</si>
  <si>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</si>
  <si>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</si>
  <si>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</si>
  <si>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</si>
  <si>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</si>
  <si>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</si>
  <si>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</si>
  <si>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</si>
  <si>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</si>
  <si>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</si>
  <si>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</si>
  <si>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</si>
  <si>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</si>
  <si>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</si>
  <si>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</si>
  <si>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</si>
  <si>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</si>
  <si>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</si>
  <si>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</si>
  <si>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</si>
  <si>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</si>
  <si>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</si>
  <si>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</si>
  <si>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</si>
  <si>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</si>
  <si>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</si>
  <si>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</si>
  <si>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</si>
  <si>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</si>
  <si>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</si>
  <si>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</si>
  <si>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</si>
  <si>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</si>
  <si>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</si>
  <si>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</si>
  <si>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</si>
  <si>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</si>
  <si>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</si>
  <si>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</si>
  <si>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</si>
  <si>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</si>
  <si>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</si>
  <si>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</si>
  <si>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</si>
  <si>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</si>
  <si>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</si>
  <si>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</si>
  <si>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</si>
  <si>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</si>
  <si>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</si>
  <si>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</si>
  <si>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</si>
  <si>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</si>
  <si>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</si>
  <si>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</si>
  <si>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</si>
  <si>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</si>
  <si>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</si>
  <si>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</si>
  <si>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</si>
  <si>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</si>
  <si>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</si>
  <si>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</si>
  <si>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</si>
  <si>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</si>
  <si>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</si>
  <si>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</si>
  <si>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</si>
  <si>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</si>
  <si>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</si>
  <si>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</si>
  <si>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</si>
  <si>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</si>
  <si>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</si>
  <si>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</si>
  <si>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</si>
  <si>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</si>
  <si>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</si>
  <si>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</si>
  <si>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</si>
  <si>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</si>
  <si>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</si>
  <si>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</si>
  <si>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</si>
  <si>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</si>
  <si>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</si>
  <si>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</si>
  <si>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</si>
  <si>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</si>
  <si>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</si>
  <si>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</si>
  <si>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</si>
  <si>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</si>
  <si>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</si>
  <si>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</si>
  <si>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</si>
  <si>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</si>
  <si>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</si>
  <si>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</si>
  <si>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</si>
  <si>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</si>
  <si>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</si>
  <si>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</si>
  <si>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</si>
  <si>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</si>
  <si>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</si>
  <si>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</si>
  <si>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</si>
  <si>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</si>
  <si>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</si>
  <si>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</si>
  <si>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</si>
  <si>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</si>
  <si>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</si>
  <si>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</si>
  <si>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</si>
  <si>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</si>
  <si>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</si>
  <si>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</si>
  <si>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</si>
  <si>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</si>
  <si>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</si>
  <si>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</si>
  <si>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</si>
  <si>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</si>
  <si>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</si>
  <si>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</si>
  <si>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</si>
  <si>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</si>
  <si>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</si>
  <si>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</si>
  <si>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</si>
  <si>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</si>
  <si>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</si>
  <si>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</si>
  <si>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</si>
  <si>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</si>
  <si>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</si>
  <si>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</si>
  <si>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</si>
  <si>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</si>
  <si>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</si>
  <si>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</si>
  <si>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</si>
  <si>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</si>
  <si>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</si>
  <si>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</si>
  <si>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</si>
  <si>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</si>
  <si>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</si>
  <si>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</si>
  <si>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</si>
  <si>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</si>
  <si>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</si>
  <si>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</si>
  <si>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</si>
  <si>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</si>
  <si>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</si>
  <si>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</si>
  <si>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</si>
  <si>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</si>
  <si>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</si>
  <si>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</si>
  <si>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</si>
  <si>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</si>
  <si>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</si>
  <si>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</si>
  <si>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</si>
  <si>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</si>
  <si>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</si>
  <si>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</si>
  <si>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</si>
  <si>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</si>
  <si>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</si>
  <si>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</si>
  <si>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</si>
  <si>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</si>
  <si>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</si>
  <si>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</si>
  <si>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</si>
  <si>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</si>
  <si>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</si>
  <si>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</si>
  <si>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</si>
  <si>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</si>
  <si>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</si>
  <si>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</si>
  <si>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</si>
  <si>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</si>
  <si>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</si>
  <si>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</si>
  <si>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</si>
  <si>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</si>
  <si>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</si>
  <si>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</si>
  <si>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</si>
  <si>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</si>
  <si>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</si>
  <si>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</si>
  <si>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</si>
  <si>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</si>
  <si>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</si>
  <si>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</si>
  <si>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</si>
  <si>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</si>
  <si>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</si>
  <si>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</si>
  <si>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</si>
  <si>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</si>
  <si>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</si>
  <si>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</si>
  <si>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</t>
  </si>
  <si>
    <t>How you will use it</t>
  </si>
  <si>
    <t>Unique order identifier</t>
  </si>
  <si>
    <t>Identify records</t>
  </si>
  <si>
    <t>Date of the order</t>
  </si>
  <si>
    <t>Monthly/quarterly trends</t>
  </si>
  <si>
    <t>Month / Month_Number</t>
  </si>
  <si>
    <t>Month information</t>
  </si>
  <si>
    <t>Monthly analysis</t>
  </si>
  <si>
    <t>Quarter of the year</t>
  </si>
  <si>
    <t>Quarterly analysis</t>
  </si>
  <si>
    <t>Customer/sales region</t>
  </si>
  <si>
    <t>Regional performance</t>
  </si>
  <si>
    <t>Person responsible for the sale</t>
  </si>
  <si>
    <t>Rep performance</t>
  </si>
  <si>
    <t>Product sold</t>
  </si>
  <si>
    <t>Product performance</t>
  </si>
  <si>
    <t>Online, Retail Store or Corporate Sales</t>
  </si>
  <si>
    <t>Channel comparison</t>
  </si>
  <si>
    <t>How the customer paid</t>
  </si>
  <si>
    <t>Optional payment analysis</t>
  </si>
  <si>
    <t>Units sold</t>
  </si>
  <si>
    <t>Volume analysis</t>
  </si>
  <si>
    <t>Price per unit</t>
  </si>
  <si>
    <t>Price/revenue context</t>
  </si>
  <si>
    <t>Discount applied</t>
  </si>
  <si>
    <t>Discount analysis</t>
  </si>
  <si>
    <t>Revenue after discount</t>
  </si>
  <si>
    <t>Main sales metric</t>
  </si>
  <si>
    <t>Estimated cost</t>
  </si>
  <si>
    <t>Cost analysis</t>
  </si>
  <si>
    <t>Sales minus cost</t>
  </si>
  <si>
    <t>Profitability analysis</t>
  </si>
  <si>
    <t>KPI</t>
  </si>
  <si>
    <t>Value</t>
  </si>
  <si>
    <t>Total Sales</t>
  </si>
  <si>
    <t>Total Cost</t>
  </si>
  <si>
    <t>Total Profit</t>
  </si>
  <si>
    <t>Total Quantity Sold</t>
  </si>
  <si>
    <t>Number of Orders</t>
  </si>
  <si>
    <t>Average Order Value</t>
  </si>
  <si>
    <t>Profit Margin</t>
  </si>
  <si>
    <t>Row Labels</t>
  </si>
  <si>
    <t>Grand Total</t>
  </si>
  <si>
    <t>Sum of Sales_NGN</t>
  </si>
  <si>
    <t>Analysis Area</t>
  </si>
  <si>
    <t>Finding</t>
  </si>
  <si>
    <t>Evidence / Value</t>
  </si>
  <si>
    <t>Interpretation</t>
  </si>
  <si>
    <t>Overall KPIs</t>
  </si>
  <si>
    <t>Product Performance</t>
  </si>
  <si>
    <t>Regional Performance</t>
  </si>
  <si>
    <t>Sales Representative Performance</t>
  </si>
  <si>
    <t>Monthly Sales Trend</t>
  </si>
  <si>
    <t>Sales Channel Performance</t>
  </si>
  <si>
    <t>Key Business Recommendations</t>
  </si>
  <si>
    <t>Smart phones have the highest sales for the periods and regions considered</t>
  </si>
  <si>
    <t>Sum of Profit_NGN</t>
  </si>
  <si>
    <t>Sum of Quantity</t>
  </si>
  <si>
    <t>From my analysis, Laos generates the highest sales.</t>
  </si>
  <si>
    <t>This shows that smart phones is a moving business and generates more money for the business</t>
  </si>
  <si>
    <t>Lagos is a goot region for business as it generates more sales. Definitely smart phones and other gadgets will thrive well in this region</t>
  </si>
  <si>
    <t>Sales Rep</t>
  </si>
  <si>
    <t xml:space="preserve"> Maryam has the highest amout of sales, Zainab has the highest amount of profit and highest quantity sold</t>
  </si>
  <si>
    <t>February  recorded the highest sales.</t>
  </si>
  <si>
    <t>February was the strongest month by sales revenue in the dataset</t>
  </si>
  <si>
    <t xml:space="preserve"> Retail store has the highest sales, while online has the hoghest profit and higher quantity</t>
  </si>
  <si>
    <t>SALES PERFORMANCE DASHBORD - 2025</t>
  </si>
  <si>
    <t>Details for Sum of Sales_NGN - Product: Smartphone</t>
  </si>
  <si>
    <t>Details for Sum of Profit_NGN - Sales_Channel: Retail Store</t>
  </si>
  <si>
    <t>KEY FINDINGS</t>
  </si>
  <si>
    <t>Top Sales Channel</t>
  </si>
  <si>
    <t>Top Region</t>
  </si>
  <si>
    <t>Highest Sales Month</t>
  </si>
  <si>
    <t>💯  PROFIT MARGIN</t>
  </si>
  <si>
    <t>📦 UNIT SOLD</t>
  </si>
  <si>
    <r>
      <rPr>
        <b/>
        <sz val="20"/>
        <color theme="5" tint="-0.249977111117893"/>
        <rFont val="Calibri"/>
        <family val="2"/>
        <scheme val="minor"/>
      </rPr>
      <t>💹</t>
    </r>
    <r>
      <rPr>
        <b/>
        <sz val="20"/>
        <color theme="1"/>
        <rFont val="Calibri"/>
        <family val="2"/>
        <scheme val="minor"/>
      </rPr>
      <t xml:space="preserve">   TOTAL PROFIT</t>
    </r>
  </si>
  <si>
    <r>
      <rPr>
        <b/>
        <sz val="20"/>
        <color rgb="FF00B050"/>
        <rFont val="Calibri"/>
        <family val="2"/>
        <scheme val="minor"/>
      </rPr>
      <t>💰</t>
    </r>
    <r>
      <rPr>
        <b/>
        <sz val="20"/>
        <color theme="1"/>
        <rFont val="Calibri"/>
        <family val="2"/>
        <scheme val="minor"/>
      </rPr>
      <t xml:space="preserve">        TOTAL SALES</t>
    </r>
  </si>
  <si>
    <t>Lagos recorded the largest amount of sales.</t>
  </si>
  <si>
    <t>Top Selling product</t>
  </si>
  <si>
    <t>Smartphones the product with the highest sales</t>
  </si>
  <si>
    <t>Retail Store recorded the highest sales channel</t>
  </si>
  <si>
    <t>February has the highest sales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</si>
</sst>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₦#,##0.00"/>
    <numFmt numFmtId="165" formatCode="[$NGN]\ #,##0.00"/>
    <numFmt numFmtId="166" formatCode="_([$NGN]\ * #,##0.00_);_([$NGN]\ * \(#,##0.00\);_([$NGN]\ * &quot;-&quot;??_);_(@_)"/>
    <numFmt numFmtId="168" formatCode="[$NGN]\ #,##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Aptos"/>
      <family val="2"/>
    </font>
    <font>
      <b/>
      <sz val="10.5"/>
      <color theme="1"/>
      <name val="Aptos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30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9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0" xfId="0" applyFont="1"/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5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166" fontId="0" fillId="0" borderId="0" xfId="0" applyNumberFormat="1"/>
    <xf numFmtId="166" fontId="4" fillId="0" borderId="0" xfId="0" applyNumberFormat="1" applyFont="1" applyAlignment="1">
      <alignment wrapText="1"/>
    </xf>
    <xf numFmtId="168" fontId="0" fillId="0" borderId="0" xfId="0" applyNumberFormat="1"/>
    <xf numFmtId="0" fontId="0" fillId="0" borderId="0" xfId="0" applyNumberFormat="1"/>
    <xf numFmtId="0" fontId="7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9" fontId="9" fillId="4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65" fontId="9" fillId="5" borderId="0" xfId="0" applyNumberFormat="1" applyFont="1" applyFill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165" fontId="9" fillId="6" borderId="6" xfId="0" applyNumberFormat="1" applyFont="1" applyFill="1" applyBorder="1" applyAlignment="1">
      <alignment horizontal="center"/>
    </xf>
    <xf numFmtId="165" fontId="9" fillId="6" borderId="0" xfId="0" applyNumberFormat="1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9">
    <dxf>
      <numFmt numFmtId="19" formatCode="m/d/yyyy"/>
    </dxf>
    <dxf>
      <numFmt numFmtId="19" formatCode="m/d/yyyy"/>
    </dxf>
    <dxf>
      <numFmt numFmtId="19" formatCode="m/d/yyyy"/>
    </dxf>
    <dxf>
      <numFmt numFmtId="165" formatCode="[$NGN]\ #,##0.00"/>
    </dxf>
    <dxf>
      <numFmt numFmtId="165" formatCode="[$NGN]\ #,##0.00"/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\₦#,##0.00"/>
    </dxf>
    <dxf>
      <numFmt numFmtId="164" formatCode="\₦#,##0.00"/>
    </dxf>
    <dxf>
      <numFmt numFmtId="164" formatCode="\₦#,##0.00"/>
    </dxf>
    <dxf>
      <numFmt numFmtId="13" formatCode="0%"/>
    </dxf>
    <dxf>
      <numFmt numFmtId="164" formatCode="\₦#,##0.00"/>
    </dxf>
    <dxf>
      <numFmt numFmtId="164" formatCode="\₦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66" formatCode="_([$NGN]\ * #,##0.00_);_([$NGN]\ * \(#,##0.00\);_([$NGN]\ * &quot;-&quot;??_);_(@_)"/>
    </dxf>
    <dxf>
      <numFmt numFmtId="166" formatCode="_([$NGN]\ * #,##0.00_);_([$NGN]\ * \(#,##0.00\);_([$NGN]\ * &quot;-&quot;??_);_(@_)"/>
    </dxf>
    <dxf>
      <numFmt numFmtId="165" formatCode="[$NGN]\ #,##0.00"/>
    </dxf>
    <dxf>
      <numFmt numFmtId="165" formatCode="[$NGN]\ #,##0.00"/>
    </dxf>
    <dxf>
      <numFmt numFmtId="165" formatCode="[$NGN]\ #,##0.00"/>
    </dxf>
    <dxf>
      <numFmt numFmtId="165" formatCode="[$NGN]\ #,##0.00"/>
    </dxf>
    <dxf>
      <numFmt numFmtId="168" formatCode="[$NGN]\ #,##0"/>
    </dxf>
    <dxf>
      <numFmt numFmtId="168" formatCode="[$NGN]\ #,##0"/>
    </dxf>
    <dxf>
      <numFmt numFmtId="166" formatCode="_([$NGN]\ * #,##0.00_);_([$NGN]\ * \(#,##0.00\);_([$NGN]\ * &quot;-&quot;??_);_(@_)"/>
    </dxf>
    <dxf>
      <numFmt numFmtId="166" formatCode="_([$NGN]\ * #,##0.00_);_([$NGN]\ * \(#,##0.00\);_([$NGN]\ * &quot;-&quot;??_);_(@_)"/>
    </dxf>
  </dxfs>
  <tableStyles count="0" defaultTableStyle="TableStyleMedium9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ANALYSIS.xlsx]Reginal_analysis!PivotTable1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PRODUCT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Reginal_analysis!$G$3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Reginal_analysis!$F$4:$F$12</c:f>
              <c:strCache>
                <c:ptCount val="8"/>
                <c:pt idx="0">
                  <c:v>Mouse</c:v>
                </c:pt>
                <c:pt idx="1">
                  <c:v>Keyboard</c:v>
                </c:pt>
                <c:pt idx="2">
                  <c:v>Headset</c:v>
                </c:pt>
                <c:pt idx="3">
                  <c:v>Printer</c:v>
                </c:pt>
                <c:pt idx="4">
                  <c:v>Tablet</c:v>
                </c:pt>
                <c:pt idx="5">
                  <c:v>Monitor</c:v>
                </c:pt>
                <c:pt idx="6">
                  <c:v>Laptop</c:v>
                </c:pt>
                <c:pt idx="7">
                  <c:v>Smartphone</c:v>
                </c:pt>
              </c:strCache>
            </c:strRef>
          </c:cat>
          <c:val>
            <c:numRef>
              <c:f>Reginal_analysis!$G$4:$G$12</c:f>
              <c:numCache>
                <c:formatCode>[$NGN]\ #,##0.00</c:formatCode>
                <c:ptCount val="8"/>
                <c:pt idx="0">
                  <c:v>1479430</c:v>
                </c:pt>
                <c:pt idx="1">
                  <c:v>4894750</c:v>
                </c:pt>
                <c:pt idx="2">
                  <c:v>4990270</c:v>
                </c:pt>
                <c:pt idx="3">
                  <c:v>17352520</c:v>
                </c:pt>
                <c:pt idx="4">
                  <c:v>19803930</c:v>
                </c:pt>
                <c:pt idx="5">
                  <c:v>23826570</c:v>
                </c:pt>
                <c:pt idx="6">
                  <c:v>76054380</c:v>
                </c:pt>
                <c:pt idx="7">
                  <c:v>82287020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A-4AC8-A0EF-B8DA609F420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073216"/>
        <c:axId val="1233094336"/>
      </c:barChart>
      <c:catAx>
        <c:axId val="1233073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94336"/>
        <c:crosses val="autoZero"/>
        <c:auto val="1"/>
        <c:lblAlgn val="ctr"/>
        <c:lblOffset val="100"/>
        <c:noMultiLvlLbl val="0"/>
      </c:catAx>
      <c:valAx>
        <c:axId val="12330943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NGN]\ #,##0.00" sourceLinked="1"/>
        <c:majorTickMark val="out"/>
        <c:minorTickMark val="none"/>
        <c:tickLblPos val="nextTo"/>
        <c:crossAx val="123307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ANALYSIS.xlsx]Reginal_analysis!PivotTable2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Reginal_analysis!$B$3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44-43D2-88DD-A3875C89BF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44-43D2-88DD-A3875C89BF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44-43D2-88DD-A3875C89BF0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44-43D2-88DD-A3875C89BF0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44-43D2-88DD-A3875C89BF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Reginal_analysis!$A$4:$A$9</c:f>
              <c:strCache>
                <c:ptCount val="5"/>
                <c:pt idx="0">
                  <c:v>Lagos</c:v>
                </c:pt>
                <c:pt idx="1">
                  <c:v>Abuja</c:v>
                </c:pt>
                <c:pt idx="2">
                  <c:v>Ibadan</c:v>
                </c:pt>
                <c:pt idx="3">
                  <c:v>Kano</c:v>
                </c:pt>
                <c:pt idx="4">
                  <c:v>Port Harcourt</c:v>
                </c:pt>
              </c:strCache>
            </c:strRef>
          </c:cat>
          <c:val>
            <c:numRef>
              <c:f>Reginal_analysis!$B$4:$B$9</c:f>
              <c:numCache>
                <c:formatCode>_([$NGN]\ * #,##0.00_);_([$NGN]\ * \(#,##0.00\);_([$NGN]\ * "-"??_);_(@_)</c:formatCode>
                <c:ptCount val="5"/>
                <c:pt idx="0">
                  <c:v>85043210</c:v>
                </c:pt>
                <c:pt idx="1">
                  <c:v>43197500</c:v>
                </c:pt>
                <c:pt idx="2">
                  <c:v>41048740</c:v>
                </c:pt>
                <c:pt idx="3">
                  <c:v>34963880</c:v>
                </c:pt>
                <c:pt idx="4">
                  <c:v>26435540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44-43D2-88DD-A3875C89B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6508496"/>
        <c:axId val="1356502256"/>
      </c:barChart>
      <c:catAx>
        <c:axId val="135650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02256"/>
        <c:crosses val="autoZero"/>
        <c:auto val="1"/>
        <c:lblAlgn val="ctr"/>
        <c:lblOffset val="100"/>
        <c:noMultiLvlLbl val="0"/>
      </c:catAx>
      <c:valAx>
        <c:axId val="1356502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NGN]\ * #,##0.00_);_([$NGN]\ * \(#,##0.00\);_([$NGN]\ * &quot;-&quot;??_);_(@_)" sourceLinked="1"/>
        <c:majorTickMark val="none"/>
        <c:minorTickMark val="none"/>
        <c:tickLblPos val="nextTo"/>
        <c:crossAx val="135650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ANALYSIS.xlsx]Monthly analysis!PivotTable6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analysis'!$A$4:$A$16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analysis'!$B$4:$B$16</c:f>
              <c:numCache>
                <c:formatCode>[$NGN]\ #,##0</c:formatCode>
                <c:ptCount val="12"/>
                <c:pt idx="0">
                  <c:v>11014460</c:v>
                </c:pt>
                <c:pt idx="1">
                  <c:v>30099380</c:v>
                </c:pt>
                <c:pt idx="2">
                  <c:v>16662780</c:v>
                </c:pt>
                <c:pt idx="3">
                  <c:v>17438650</c:v>
                </c:pt>
                <c:pt idx="4">
                  <c:v>17800290</c:v>
                </c:pt>
                <c:pt idx="5">
                  <c:v>16299070</c:v>
                </c:pt>
                <c:pt idx="6">
                  <c:v>19983020</c:v>
                </c:pt>
                <c:pt idx="7">
                  <c:v>18807500</c:v>
                </c:pt>
                <c:pt idx="8">
                  <c:v>19641790</c:v>
                </c:pt>
                <c:pt idx="9">
                  <c:v>26637880</c:v>
                </c:pt>
                <c:pt idx="10">
                  <c:v>7086840</c:v>
                </c:pt>
                <c:pt idx="11">
                  <c:v>29217210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A-4A5B-82F6-61E7AA279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109744"/>
        <c:axId val="1689108304"/>
      </c:lineChart>
      <c:catAx>
        <c:axId val="16891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08304"/>
        <c:crosses val="autoZero"/>
        <c:auto val="1"/>
        <c:lblAlgn val="ctr"/>
        <c:lblOffset val="100"/>
        <c:noMultiLvlLbl val="0"/>
      </c:catAx>
      <c:valAx>
        <c:axId val="168910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NGN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0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CHANNEL</a:t>
            </a:r>
          </a:p>
        </c:rich>
      </c:tx>
      <c:layout>
        <c:manualLayout>
          <c:xMode val="edge"/>
          <c:yMode val="edge"/>
          <c:x val="0.298715223097112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Sheet1!$A$4:$A$7</c:f>
              <c:strCache>
                <c:ptCount val="3"/>
                <c:pt idx="0">
                  <c:v>Corporate Sales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57078860</c:v>
                </c:pt>
                <c:pt idx="1">
                  <c:v>96387500</c:v>
                </c:pt>
                <c:pt idx="2">
                  <c:v>77222510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9-428E-A2F9-9BE271DA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3088096"/>
        <c:axId val="1233082816"/>
      </c:barChart>
      <c:catAx>
        <c:axId val="1233088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3082816"/>
        <c:crosses val="autoZero"/>
        <c:auto val="1"/>
        <c:lblAlgn val="ctr"/>
        <c:lblOffset val="100"/>
        <c:noMultiLvlLbl val="0"/>
      </c:catAx>
      <c:valAx>
        <c:axId val="1233082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3088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11906</xdr:rowOff>
    </xdr:from>
    <xdr:to>
      <xdr:col>9</xdr:col>
      <xdr:colOff>547688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A93F8-2AEF-4EEE-A549-DCE2A6C19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35719</xdr:colOff>
      <xdr:row>4</xdr:row>
      <xdr:rowOff>166688</xdr:rowOff>
    </xdr:from>
    <xdr:to>
      <xdr:col>22</xdr:col>
      <xdr:colOff>595312</xdr:colOff>
      <xdr:row>20</xdr:row>
      <xdr:rowOff>35720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C5035E-341D-4BFC-A1EE-B20D78446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166687</xdr:rowOff>
    </xdr:from>
    <xdr:to>
      <xdr:col>9</xdr:col>
      <xdr:colOff>452438</xdr:colOff>
      <xdr:row>35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2C3D-5401-4E05-864F-B7BD79E75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</xdr:colOff>
      <xdr:row>21</xdr:row>
      <xdr:rowOff>0</xdr:rowOff>
    </xdr:from>
    <xdr:to>
      <xdr:col>23</xdr:col>
      <xdr:colOff>4763</xdr:colOff>
      <xdr:row>35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9F8B4E-FEC8-4C16-A394-0D64026E5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4.25117974537" createdVersion="8" refreshedVersion="8" minRefreshableVersion="3" recordCount="301" xr:uid="{E34BEC60-8C60-45B7-BBF4-1EA4763D12CD}">
  <cacheSource type="worksheet">
    <worksheetSource ref="A1:O1048576" sheet="Sales_Data"/>
  </cacheSource>
  <cacheFields count="15">
    <cacheField name="Order_ID" numFmtId="0">
      <sharedItems containsBlank="1"/>
    </cacheField>
    <cacheField name="Order_Date" numFmtId="14">
      <sharedItems containsNonDate="0" containsDate="1" containsString="0" containsBlank="1" minDate="2025-01-07T00:00:00" maxDate="2026-01-01T00:00:00"/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Quarter" numFmtId="0">
      <sharedItems containsBlank="1"/>
    </cacheField>
    <cacheField name="Region" numFmtId="0">
      <sharedItems containsBlank="1" count="6">
        <s v="Lagos"/>
        <s v="Ibadan"/>
        <s v="Kano"/>
        <s v="Port Harcourt"/>
        <s v="Abuja"/>
        <m/>
      </sharedItems>
    </cacheField>
    <cacheField name="Sales_Rep" numFmtId="0">
      <sharedItems containsBlank="1" count="9">
        <s v="David"/>
        <s v="Maryam"/>
        <s v="Aisha"/>
        <s v="Samuel"/>
        <s v="Ibrahim"/>
        <s v="Daniel"/>
        <s v="Fatima"/>
        <s v="Zainab"/>
        <m/>
      </sharedItems>
    </cacheField>
    <cacheField name="Product" numFmtId="0">
      <sharedItems containsBlank="1" count="9">
        <s v="Laptop"/>
        <s v="Monitor"/>
        <s v="Mouse"/>
        <s v="Keyboard"/>
        <s v="Tablet"/>
        <s v="Headset"/>
        <s v="Smartphone"/>
        <s v="Printer"/>
        <m/>
      </sharedItems>
    </cacheField>
    <cacheField name="Sales_Channel" numFmtId="0">
      <sharedItems containsBlank="1" count="4">
        <s v="Corporate Sales"/>
        <s v="Retail Store"/>
        <s v="Online"/>
        <m/>
      </sharedItems>
    </cacheField>
    <cacheField name="Payment_Method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_Price_NGN" numFmtId="0">
      <sharedItems containsString="0" containsBlank="1" containsNumber="1" containsInteger="1" minValue="8000" maxValue="849000"/>
    </cacheField>
    <cacheField name="Discount_Rate" numFmtId="0">
      <sharedItems containsString="0" containsBlank="1" containsNumber="1" minValue="0" maxValue="0.1"/>
    </cacheField>
    <cacheField name="Sales_NGN" numFmtId="0">
      <sharedItems containsString="0" containsBlank="1" containsNumber="1" containsInteger="1" minValue="7600" maxValue="6256320"/>
    </cacheField>
    <cacheField name="Cost_NGN" numFmtId="0">
      <sharedItems containsString="0" containsBlank="1" containsNumber="1" minValue="5748.26" maxValue="4750612.5"/>
    </cacheField>
    <cacheField name="Profit_NGN" numFmtId="0">
      <sharedItems containsString="0" containsBlank="1" containsNumber="1" minValue="1851.74" maxValue="1663321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ORD-0274"/>
    <d v="2025-01-07T00:00:00"/>
    <x v="0"/>
    <s v="Q1"/>
    <x v="0"/>
    <x v="0"/>
    <x v="0"/>
    <x v="0"/>
    <s v="Cash"/>
    <n v="3"/>
    <n v="607000"/>
    <n v="0"/>
    <n v="1821000"/>
    <n v="1189341.8400000001"/>
    <n v="631658.16"/>
  </r>
  <r>
    <s v="ORD-0071"/>
    <d v="2025-01-08T00:00:00"/>
    <x v="0"/>
    <s v="Q1"/>
    <x v="1"/>
    <x v="1"/>
    <x v="1"/>
    <x v="0"/>
    <s v="Cash"/>
    <n v="2"/>
    <n v="119000"/>
    <n v="0"/>
    <n v="238000"/>
    <n v="188891.13"/>
    <n v="49108.87"/>
  </r>
  <r>
    <s v="ORD-0165"/>
    <d v="2025-01-08T00:00:00"/>
    <x v="0"/>
    <s v="Q1"/>
    <x v="2"/>
    <x v="2"/>
    <x v="1"/>
    <x v="1"/>
    <s v="Card"/>
    <n v="1"/>
    <n v="113000"/>
    <n v="0"/>
    <n v="113000"/>
    <n v="91299.93"/>
    <n v="21700.07"/>
  </r>
  <r>
    <s v="ORD-0144"/>
    <d v="2025-01-09T00:00:00"/>
    <x v="0"/>
    <s v="Q1"/>
    <x v="0"/>
    <x v="2"/>
    <x v="1"/>
    <x v="2"/>
    <s v="Bank Transfer"/>
    <n v="3"/>
    <n v="90000"/>
    <n v="0.02"/>
    <n v="264600"/>
    <n v="177151.81"/>
    <n v="87448.19"/>
  </r>
  <r>
    <s v="ORD-0217"/>
    <d v="2025-01-10T00:00:00"/>
    <x v="0"/>
    <s v="Q1"/>
    <x v="1"/>
    <x v="3"/>
    <x v="2"/>
    <x v="1"/>
    <s v="Cash"/>
    <n v="1"/>
    <n v="29000"/>
    <n v="0"/>
    <n v="29000"/>
    <n v="22620.41"/>
    <n v="6379.59"/>
  </r>
  <r>
    <s v="ORD-0204"/>
    <d v="2025-01-10T00:00:00"/>
    <x v="0"/>
    <s v="Q1"/>
    <x v="2"/>
    <x v="0"/>
    <x v="2"/>
    <x v="0"/>
    <s v="Card"/>
    <n v="4"/>
    <n v="14000"/>
    <n v="0"/>
    <n v="56000"/>
    <n v="37572.31"/>
    <n v="18427.689999999999"/>
  </r>
  <r>
    <s v="ORD-0296"/>
    <d v="2025-01-10T00:00:00"/>
    <x v="0"/>
    <s v="Q1"/>
    <x v="1"/>
    <x v="3"/>
    <x v="3"/>
    <x v="2"/>
    <s v="POS"/>
    <n v="6"/>
    <n v="19000"/>
    <n v="0"/>
    <n v="114000"/>
    <n v="80925.17"/>
    <n v="33074.83"/>
  </r>
  <r>
    <s v="ORD-0187"/>
    <d v="2025-01-12T00:00:00"/>
    <x v="0"/>
    <s v="Q1"/>
    <x v="0"/>
    <x v="4"/>
    <x v="2"/>
    <x v="0"/>
    <s v="Cash"/>
    <n v="2"/>
    <n v="11000"/>
    <n v="0"/>
    <n v="22000"/>
    <n v="17255.95"/>
    <n v="4744.05"/>
  </r>
  <r>
    <s v="ORD-0134"/>
    <d v="2025-01-12T00:00:00"/>
    <x v="0"/>
    <s v="Q1"/>
    <x v="0"/>
    <x v="0"/>
    <x v="4"/>
    <x v="2"/>
    <s v="Cash"/>
    <n v="1"/>
    <n v="291000"/>
    <n v="0.05"/>
    <n v="276450"/>
    <n v="217407.7"/>
    <n v="59042.3"/>
  </r>
  <r>
    <s v="ORD-0221"/>
    <d v="2025-01-14T00:00:00"/>
    <x v="0"/>
    <s v="Q1"/>
    <x v="3"/>
    <x v="1"/>
    <x v="4"/>
    <x v="1"/>
    <s v="Cash"/>
    <n v="1"/>
    <n v="302000"/>
    <n v="0.02"/>
    <n v="295960"/>
    <n v="211964.95"/>
    <n v="83995.05"/>
  </r>
  <r>
    <s v="ORD-0158"/>
    <d v="2025-01-14T00:00:00"/>
    <x v="0"/>
    <s v="Q1"/>
    <x v="4"/>
    <x v="2"/>
    <x v="4"/>
    <x v="1"/>
    <s v="Cash"/>
    <n v="2"/>
    <n v="135000"/>
    <n v="0"/>
    <n v="270000"/>
    <n v="189271.12"/>
    <n v="80728.88"/>
  </r>
  <r>
    <s v="ORD-0008"/>
    <d v="2025-01-15T00:00:00"/>
    <x v="0"/>
    <s v="Q1"/>
    <x v="0"/>
    <x v="2"/>
    <x v="5"/>
    <x v="0"/>
    <s v="POS"/>
    <n v="2"/>
    <n v="38000"/>
    <n v="0"/>
    <n v="76000"/>
    <n v="49262.05"/>
    <n v="26737.95"/>
  </r>
  <r>
    <s v="ORD-0231"/>
    <d v="2025-01-21T00:00:00"/>
    <x v="0"/>
    <s v="Q1"/>
    <x v="4"/>
    <x v="2"/>
    <x v="6"/>
    <x v="0"/>
    <s v="Bank Transfer"/>
    <n v="1"/>
    <n v="580000"/>
    <n v="0.02"/>
    <n v="568400"/>
    <n v="416295.35"/>
    <n v="152104.65"/>
  </r>
  <r>
    <s v="ORD-0004"/>
    <d v="2025-01-21T00:00:00"/>
    <x v="0"/>
    <s v="Q1"/>
    <x v="4"/>
    <x v="5"/>
    <x v="6"/>
    <x v="0"/>
    <s v="POS"/>
    <n v="3"/>
    <n v="421000"/>
    <n v="0"/>
    <n v="1263000"/>
    <n v="936525.83"/>
    <n v="326474.17"/>
  </r>
  <r>
    <s v="ORD-0026"/>
    <d v="2025-01-22T00:00:00"/>
    <x v="0"/>
    <s v="Q1"/>
    <x v="0"/>
    <x v="3"/>
    <x v="2"/>
    <x v="0"/>
    <s v="Cash"/>
    <n v="3"/>
    <n v="14000"/>
    <n v="0"/>
    <n v="42000"/>
    <n v="31385.19"/>
    <n v="10614.81"/>
  </r>
  <r>
    <s v="ORD-0129"/>
    <d v="2025-01-25T00:00:00"/>
    <x v="0"/>
    <s v="Q1"/>
    <x v="4"/>
    <x v="6"/>
    <x v="1"/>
    <x v="2"/>
    <s v="POS"/>
    <n v="5"/>
    <n v="98000"/>
    <n v="0"/>
    <n v="490000"/>
    <n v="336047.03"/>
    <n v="153952.97"/>
  </r>
  <r>
    <s v="ORD-0194"/>
    <d v="2025-01-25T00:00:00"/>
    <x v="0"/>
    <s v="Q1"/>
    <x v="3"/>
    <x v="5"/>
    <x v="7"/>
    <x v="2"/>
    <s v="Bank Transfer"/>
    <n v="3"/>
    <n v="255000"/>
    <n v="0.05"/>
    <n v="726750"/>
    <n v="475997.79"/>
    <n v="250752.21"/>
  </r>
  <r>
    <s v="ORD-0079"/>
    <d v="2025-01-26T00:00:00"/>
    <x v="0"/>
    <s v="Q1"/>
    <x v="0"/>
    <x v="4"/>
    <x v="1"/>
    <x v="2"/>
    <s v="Bank Transfer"/>
    <n v="5"/>
    <n v="227000"/>
    <n v="0.02"/>
    <n v="1112300"/>
    <n v="808650.27"/>
    <n v="303649.73"/>
  </r>
  <r>
    <s v="ORD-0121"/>
    <d v="2025-01-29T00:00:00"/>
    <x v="0"/>
    <s v="Q1"/>
    <x v="1"/>
    <x v="1"/>
    <x v="6"/>
    <x v="2"/>
    <s v="POS"/>
    <n v="8"/>
    <n v="360000"/>
    <n v="0"/>
    <n v="2880000"/>
    <n v="1791063.61"/>
    <n v="1088936.3899999999"/>
  </r>
  <r>
    <s v="ORD-0297"/>
    <d v="2025-01-30T00:00:00"/>
    <x v="0"/>
    <s v="Q1"/>
    <x v="4"/>
    <x v="1"/>
    <x v="1"/>
    <x v="0"/>
    <s v="POS"/>
    <n v="2"/>
    <n v="178000"/>
    <n v="0"/>
    <n v="356000"/>
    <n v="241365.87"/>
    <n v="114634.13"/>
  </r>
  <r>
    <s v="ORD-0243"/>
    <d v="2025-02-01T00:00:00"/>
    <x v="1"/>
    <s v="Q1"/>
    <x v="0"/>
    <x v="6"/>
    <x v="3"/>
    <x v="1"/>
    <s v="POS"/>
    <n v="2"/>
    <n v="21000"/>
    <n v="0.02"/>
    <n v="41160"/>
    <n v="26206.28"/>
    <n v="14953.72"/>
  </r>
  <r>
    <s v="ORD-0237"/>
    <d v="2025-02-01T00:00:00"/>
    <x v="1"/>
    <s v="Q1"/>
    <x v="0"/>
    <x v="4"/>
    <x v="0"/>
    <x v="1"/>
    <s v="POS"/>
    <n v="10"/>
    <n v="592000"/>
    <n v="0.05"/>
    <n v="5624000"/>
    <n v="4046193.47"/>
    <n v="1577806.53"/>
  </r>
  <r>
    <s v="ORD-0138"/>
    <d v="2025-02-02T00:00:00"/>
    <x v="1"/>
    <s v="Q1"/>
    <x v="0"/>
    <x v="7"/>
    <x v="7"/>
    <x v="0"/>
    <s v="Cash"/>
    <n v="1"/>
    <n v="339000"/>
    <n v="0.05"/>
    <n v="322050"/>
    <n v="201254.64"/>
    <n v="120795.36"/>
  </r>
  <r>
    <s v="ORD-0058"/>
    <d v="2025-02-04T00:00:00"/>
    <x v="1"/>
    <s v="Q1"/>
    <x v="1"/>
    <x v="5"/>
    <x v="6"/>
    <x v="2"/>
    <s v="Card"/>
    <n v="3"/>
    <n v="373000"/>
    <n v="0"/>
    <n v="1119000"/>
    <n v="723586.83"/>
    <n v="395413.17"/>
  </r>
  <r>
    <s v="ORD-0278"/>
    <d v="2025-02-04T00:00:00"/>
    <x v="1"/>
    <s v="Q1"/>
    <x v="2"/>
    <x v="4"/>
    <x v="1"/>
    <x v="0"/>
    <s v="Card"/>
    <n v="5"/>
    <n v="114000"/>
    <n v="0"/>
    <n v="570000"/>
    <n v="396127.61"/>
    <n v="173872.39"/>
  </r>
  <r>
    <s v="ORD-0112"/>
    <d v="2025-02-05T00:00:00"/>
    <x v="1"/>
    <s v="Q1"/>
    <x v="4"/>
    <x v="6"/>
    <x v="1"/>
    <x v="1"/>
    <s v="Cash"/>
    <n v="8"/>
    <n v="216000"/>
    <n v="0.02"/>
    <n v="1693440"/>
    <n v="1122730.53"/>
    <n v="570709.47"/>
  </r>
  <r>
    <s v="ORD-0189"/>
    <d v="2025-02-07T00:00:00"/>
    <x v="1"/>
    <s v="Q1"/>
    <x v="0"/>
    <x v="1"/>
    <x v="0"/>
    <x v="2"/>
    <s v="Card"/>
    <n v="5"/>
    <n v="552000"/>
    <n v="0.05"/>
    <n v="2622000"/>
    <n v="1944730.27"/>
    <n v="677269.73"/>
  </r>
  <r>
    <s v="ORD-0082"/>
    <d v="2025-02-07T00:00:00"/>
    <x v="1"/>
    <s v="Q1"/>
    <x v="4"/>
    <x v="3"/>
    <x v="2"/>
    <x v="2"/>
    <s v="Card"/>
    <n v="4"/>
    <n v="13000"/>
    <n v="0.05"/>
    <n v="49400"/>
    <n v="36512.910000000003"/>
    <n v="12887.09"/>
  </r>
  <r>
    <s v="ORD-0139"/>
    <d v="2025-02-08T00:00:00"/>
    <x v="1"/>
    <s v="Q1"/>
    <x v="4"/>
    <x v="1"/>
    <x v="3"/>
    <x v="1"/>
    <s v="POS"/>
    <n v="2"/>
    <n v="32000"/>
    <n v="0.1"/>
    <n v="57600"/>
    <n v="40621.61"/>
    <n v="16978.39"/>
  </r>
  <r>
    <s v="ORD-0265"/>
    <d v="2025-02-08T00:00:00"/>
    <x v="1"/>
    <s v="Q1"/>
    <x v="4"/>
    <x v="6"/>
    <x v="6"/>
    <x v="2"/>
    <s v="Cash"/>
    <n v="3"/>
    <n v="564000"/>
    <n v="0.05"/>
    <n v="1607400"/>
    <n v="1181368.1299999999"/>
    <n v="426031.87"/>
  </r>
  <r>
    <s v="ORD-0198"/>
    <d v="2025-02-09T00:00:00"/>
    <x v="1"/>
    <s v="Q1"/>
    <x v="1"/>
    <x v="7"/>
    <x v="6"/>
    <x v="2"/>
    <s v="Card"/>
    <n v="4"/>
    <n v="263000"/>
    <n v="0.02"/>
    <n v="1030960"/>
    <n v="769753.84"/>
    <n v="261206.16"/>
  </r>
  <r>
    <s v="ORD-0131"/>
    <d v="2025-02-09T00:00:00"/>
    <x v="1"/>
    <s v="Q1"/>
    <x v="3"/>
    <x v="6"/>
    <x v="0"/>
    <x v="0"/>
    <s v="Card"/>
    <n v="3"/>
    <n v="803000"/>
    <n v="0.05"/>
    <n v="2288550"/>
    <n v="1680399.39"/>
    <n v="608150.61"/>
  </r>
  <r>
    <s v="ORD-0108"/>
    <d v="2025-02-10T00:00:00"/>
    <x v="1"/>
    <s v="Q1"/>
    <x v="0"/>
    <x v="2"/>
    <x v="2"/>
    <x v="2"/>
    <s v="Bank Transfer"/>
    <n v="5"/>
    <n v="23000"/>
    <n v="0"/>
    <n v="115000"/>
    <n v="90046.25"/>
    <n v="24953.75"/>
  </r>
  <r>
    <s v="ORD-0057"/>
    <d v="2025-02-10T00:00:00"/>
    <x v="1"/>
    <s v="Q1"/>
    <x v="0"/>
    <x v="6"/>
    <x v="6"/>
    <x v="1"/>
    <s v="Card"/>
    <n v="2"/>
    <n v="397000"/>
    <n v="0.02"/>
    <n v="778120"/>
    <n v="494531.78"/>
    <n v="283588.21999999997"/>
  </r>
  <r>
    <s v="ORD-0203"/>
    <d v="2025-02-11T00:00:00"/>
    <x v="1"/>
    <s v="Q1"/>
    <x v="1"/>
    <x v="1"/>
    <x v="4"/>
    <x v="2"/>
    <s v="POS"/>
    <n v="3"/>
    <n v="289000"/>
    <n v="0"/>
    <n v="867000"/>
    <n v="605942.18999999994"/>
    <n v="261057.81"/>
  </r>
  <r>
    <s v="ORD-0182"/>
    <d v="2025-02-11T00:00:00"/>
    <x v="1"/>
    <s v="Q1"/>
    <x v="4"/>
    <x v="7"/>
    <x v="0"/>
    <x v="1"/>
    <s v="Cash"/>
    <n v="2"/>
    <n v="506000"/>
    <n v="0.02"/>
    <n v="991760"/>
    <n v="748945.66"/>
    <n v="242814.34"/>
  </r>
  <r>
    <s v="ORD-0173"/>
    <d v="2025-02-12T00:00:00"/>
    <x v="1"/>
    <s v="Q1"/>
    <x v="1"/>
    <x v="3"/>
    <x v="0"/>
    <x v="1"/>
    <s v="POS"/>
    <n v="3"/>
    <n v="509000"/>
    <n v="0"/>
    <n v="1527000"/>
    <n v="1092322.8"/>
    <n v="434677.2"/>
  </r>
  <r>
    <s v="ORD-0239"/>
    <d v="2025-02-13T00:00:00"/>
    <x v="1"/>
    <s v="Q1"/>
    <x v="4"/>
    <x v="4"/>
    <x v="2"/>
    <x v="0"/>
    <s v="Cash"/>
    <n v="3"/>
    <n v="20000"/>
    <n v="0"/>
    <n v="60000"/>
    <n v="41323.96"/>
    <n v="18676.04"/>
  </r>
  <r>
    <s v="ORD-0110"/>
    <d v="2025-02-15T00:00:00"/>
    <x v="1"/>
    <s v="Q1"/>
    <x v="0"/>
    <x v="4"/>
    <x v="1"/>
    <x v="0"/>
    <s v="Card"/>
    <n v="5"/>
    <n v="198000"/>
    <n v="0"/>
    <n v="990000"/>
    <n v="766440.45"/>
    <n v="223559.55"/>
  </r>
  <r>
    <s v="ORD-0284"/>
    <d v="2025-02-15T00:00:00"/>
    <x v="1"/>
    <s v="Q1"/>
    <x v="0"/>
    <x v="3"/>
    <x v="0"/>
    <x v="2"/>
    <s v="Cash"/>
    <n v="3"/>
    <n v="748000"/>
    <n v="0"/>
    <n v="2244000"/>
    <n v="1696803.24"/>
    <n v="547196.76"/>
  </r>
  <r>
    <s v="ORD-0263"/>
    <d v="2025-02-18T00:00:00"/>
    <x v="1"/>
    <s v="Q1"/>
    <x v="0"/>
    <x v="3"/>
    <x v="6"/>
    <x v="0"/>
    <s v="POS"/>
    <n v="2"/>
    <n v="467000"/>
    <n v="0"/>
    <n v="934000"/>
    <n v="675575.77"/>
    <n v="258424.23"/>
  </r>
  <r>
    <s v="ORD-0179"/>
    <d v="2025-02-18T00:00:00"/>
    <x v="1"/>
    <s v="Q1"/>
    <x v="0"/>
    <x v="1"/>
    <x v="3"/>
    <x v="2"/>
    <s v="POS"/>
    <n v="2"/>
    <n v="21000"/>
    <n v="0.05"/>
    <n v="39900"/>
    <n v="30882.16"/>
    <n v="9017.84"/>
  </r>
  <r>
    <s v="ORD-0271"/>
    <d v="2025-02-18T00:00:00"/>
    <x v="1"/>
    <s v="Q1"/>
    <x v="0"/>
    <x v="2"/>
    <x v="6"/>
    <x v="1"/>
    <s v="Card"/>
    <n v="3"/>
    <n v="408000"/>
    <n v="0"/>
    <n v="1224000"/>
    <n v="788991.21"/>
    <n v="435008.79"/>
  </r>
  <r>
    <s v="ORD-0175"/>
    <d v="2025-02-21T00:00:00"/>
    <x v="1"/>
    <s v="Q1"/>
    <x v="3"/>
    <x v="1"/>
    <x v="6"/>
    <x v="0"/>
    <s v="Cash"/>
    <n v="1"/>
    <n v="405000"/>
    <n v="0"/>
    <n v="405000"/>
    <n v="301105.49"/>
    <n v="103894.51"/>
  </r>
  <r>
    <s v="ORD-0048"/>
    <d v="2025-02-22T00:00:00"/>
    <x v="1"/>
    <s v="Q1"/>
    <x v="1"/>
    <x v="2"/>
    <x v="3"/>
    <x v="2"/>
    <s v="Card"/>
    <n v="2"/>
    <n v="32000"/>
    <n v="0"/>
    <n v="64000"/>
    <n v="48288.24"/>
    <n v="15711.76"/>
  </r>
  <r>
    <s v="ORD-0185"/>
    <d v="2025-02-27T00:00:00"/>
    <x v="1"/>
    <s v="Q1"/>
    <x v="0"/>
    <x v="3"/>
    <x v="6"/>
    <x v="2"/>
    <s v="POS"/>
    <n v="6"/>
    <n v="433000"/>
    <n v="0.02"/>
    <n v="2546040"/>
    <n v="1849931.17"/>
    <n v="696108.83"/>
  </r>
  <r>
    <s v="ORD-0141"/>
    <d v="2025-02-27T00:00:00"/>
    <x v="1"/>
    <s v="Q1"/>
    <x v="2"/>
    <x v="7"/>
    <x v="5"/>
    <x v="1"/>
    <s v="Cash"/>
    <n v="4"/>
    <n v="72000"/>
    <n v="0"/>
    <n v="288000"/>
    <n v="196528.43"/>
    <n v="91471.57"/>
  </r>
  <r>
    <s v="ORD-0034"/>
    <d v="2025-03-01T00:00:00"/>
    <x v="2"/>
    <s v="Q1"/>
    <x v="0"/>
    <x v="1"/>
    <x v="0"/>
    <x v="1"/>
    <s v="Bank Transfer"/>
    <n v="3"/>
    <n v="571000"/>
    <n v="0"/>
    <n v="1713000"/>
    <n v="1345687.92"/>
    <n v="367312.08"/>
  </r>
  <r>
    <s v="ORD-0046"/>
    <d v="2025-03-03T00:00:00"/>
    <x v="2"/>
    <s v="Q1"/>
    <x v="4"/>
    <x v="2"/>
    <x v="1"/>
    <x v="2"/>
    <s v="Cash"/>
    <n v="4"/>
    <n v="232000"/>
    <n v="0"/>
    <n v="928000"/>
    <n v="742873.82"/>
    <n v="185126.18"/>
  </r>
  <r>
    <s v="ORD-0010"/>
    <d v="2025-03-03T00:00:00"/>
    <x v="2"/>
    <s v="Q1"/>
    <x v="0"/>
    <x v="6"/>
    <x v="5"/>
    <x v="1"/>
    <s v="Bank Transfer"/>
    <n v="2"/>
    <n v="66000"/>
    <n v="0"/>
    <n v="132000"/>
    <n v="91629.6"/>
    <n v="40370.400000000001"/>
  </r>
  <r>
    <s v="ORD-0200"/>
    <d v="2025-03-03T00:00:00"/>
    <x v="2"/>
    <s v="Q1"/>
    <x v="4"/>
    <x v="3"/>
    <x v="1"/>
    <x v="0"/>
    <s v="Card"/>
    <n v="2"/>
    <n v="123000"/>
    <n v="0.1"/>
    <n v="221400"/>
    <n v="148275.13"/>
    <n v="73124.87"/>
  </r>
  <r>
    <s v="ORD-0199"/>
    <d v="2025-03-03T00:00:00"/>
    <x v="2"/>
    <s v="Q1"/>
    <x v="3"/>
    <x v="6"/>
    <x v="3"/>
    <x v="2"/>
    <s v="POS"/>
    <n v="2"/>
    <n v="36000"/>
    <n v="0"/>
    <n v="72000"/>
    <n v="57407.1"/>
    <n v="14592.9"/>
  </r>
  <r>
    <s v="ORD-0168"/>
    <d v="2025-03-04T00:00:00"/>
    <x v="2"/>
    <s v="Q1"/>
    <x v="2"/>
    <x v="2"/>
    <x v="3"/>
    <x v="0"/>
    <s v="Card"/>
    <n v="2"/>
    <n v="38000"/>
    <n v="0"/>
    <n v="76000"/>
    <n v="56315.3"/>
    <n v="19684.7"/>
  </r>
  <r>
    <s v="ORD-0256"/>
    <d v="2025-03-09T00:00:00"/>
    <x v="2"/>
    <s v="Q1"/>
    <x v="1"/>
    <x v="5"/>
    <x v="5"/>
    <x v="1"/>
    <s v="Bank Transfer"/>
    <n v="2"/>
    <n v="22000"/>
    <n v="0.02"/>
    <n v="43120"/>
    <n v="31898.52"/>
    <n v="11221.48"/>
  </r>
  <r>
    <s v="ORD-0145"/>
    <d v="2025-03-13T00:00:00"/>
    <x v="2"/>
    <s v="Q1"/>
    <x v="4"/>
    <x v="3"/>
    <x v="3"/>
    <x v="2"/>
    <s v="Bank Transfer"/>
    <n v="5"/>
    <n v="25000"/>
    <n v="0"/>
    <n v="125000"/>
    <n v="88880.5"/>
    <n v="36119.5"/>
  </r>
  <r>
    <s v="ORD-0142"/>
    <d v="2025-03-13T00:00:00"/>
    <x v="2"/>
    <s v="Q1"/>
    <x v="0"/>
    <x v="2"/>
    <x v="0"/>
    <x v="0"/>
    <s v="Card"/>
    <n v="2"/>
    <n v="710000"/>
    <n v="0.05"/>
    <n v="1349000"/>
    <n v="964052.03"/>
    <n v="384947.97"/>
  </r>
  <r>
    <s v="ORD-0070"/>
    <d v="2025-03-14T00:00:00"/>
    <x v="2"/>
    <s v="Q1"/>
    <x v="0"/>
    <x v="7"/>
    <x v="1"/>
    <x v="1"/>
    <s v="Cash"/>
    <n v="6"/>
    <n v="157000"/>
    <n v="0"/>
    <n v="942000"/>
    <n v="646230.75"/>
    <n v="295769.25"/>
  </r>
  <r>
    <s v="ORD-0272"/>
    <d v="2025-03-14T00:00:00"/>
    <x v="2"/>
    <s v="Q1"/>
    <x v="0"/>
    <x v="5"/>
    <x v="0"/>
    <x v="1"/>
    <s v="POS"/>
    <n v="5"/>
    <n v="604000"/>
    <n v="0"/>
    <n v="3020000"/>
    <n v="1919279.25"/>
    <n v="1100720.75"/>
  </r>
  <r>
    <s v="ORD-0113"/>
    <d v="2025-03-14T00:00:00"/>
    <x v="2"/>
    <s v="Q1"/>
    <x v="0"/>
    <x v="2"/>
    <x v="5"/>
    <x v="2"/>
    <s v="Card"/>
    <n v="1"/>
    <n v="72000"/>
    <n v="0.02"/>
    <n v="70560"/>
    <n v="50439.64"/>
    <n v="20120.36"/>
  </r>
  <r>
    <s v="ORD-0298"/>
    <d v="2025-03-16T00:00:00"/>
    <x v="2"/>
    <s v="Q1"/>
    <x v="0"/>
    <x v="2"/>
    <x v="6"/>
    <x v="2"/>
    <s v="Cash"/>
    <n v="2"/>
    <n v="413000"/>
    <n v="0"/>
    <n v="826000"/>
    <n v="616122.93000000005"/>
    <n v="209877.07"/>
  </r>
  <r>
    <s v="ORD-0259"/>
    <d v="2025-03-17T00:00:00"/>
    <x v="2"/>
    <s v="Q1"/>
    <x v="4"/>
    <x v="7"/>
    <x v="5"/>
    <x v="1"/>
    <s v="Bank Transfer"/>
    <n v="3"/>
    <n v="50000"/>
    <n v="0"/>
    <n v="150000"/>
    <n v="102508.4"/>
    <n v="47491.6"/>
  </r>
  <r>
    <s v="ORD-0083"/>
    <d v="2025-03-17T00:00:00"/>
    <x v="2"/>
    <s v="Q1"/>
    <x v="0"/>
    <x v="2"/>
    <x v="5"/>
    <x v="1"/>
    <s v="Bank Transfer"/>
    <n v="1"/>
    <n v="73000"/>
    <n v="0.02"/>
    <n v="71540"/>
    <n v="57780.58"/>
    <n v="13759.42"/>
  </r>
  <r>
    <s v="ORD-0225"/>
    <d v="2025-03-19T00:00:00"/>
    <x v="2"/>
    <s v="Q1"/>
    <x v="1"/>
    <x v="7"/>
    <x v="1"/>
    <x v="1"/>
    <s v="POS"/>
    <n v="5"/>
    <n v="210000"/>
    <n v="0"/>
    <n v="1050000"/>
    <n v="737080.03"/>
    <n v="312919.96999999997"/>
  </r>
  <r>
    <s v="ORD-0017"/>
    <d v="2025-03-22T00:00:00"/>
    <x v="2"/>
    <s v="Q1"/>
    <x v="0"/>
    <x v="5"/>
    <x v="6"/>
    <x v="1"/>
    <s v="Bank Transfer"/>
    <n v="4"/>
    <n v="296000"/>
    <n v="0.02"/>
    <n v="1160320"/>
    <n v="753764.05"/>
    <n v="406555.95"/>
  </r>
  <r>
    <s v="ORD-0104"/>
    <d v="2025-03-23T00:00:00"/>
    <x v="2"/>
    <s v="Q1"/>
    <x v="2"/>
    <x v="7"/>
    <x v="2"/>
    <x v="1"/>
    <s v="Cash"/>
    <n v="1"/>
    <n v="26000"/>
    <n v="0.05"/>
    <n v="24700"/>
    <n v="18490.05"/>
    <n v="6209.95"/>
  </r>
  <r>
    <s v="ORD-0197"/>
    <d v="2025-03-24T00:00:00"/>
    <x v="2"/>
    <s v="Q1"/>
    <x v="0"/>
    <x v="1"/>
    <x v="0"/>
    <x v="2"/>
    <s v="Bank Transfer"/>
    <n v="1"/>
    <n v="847000"/>
    <n v="0.02"/>
    <n v="830060"/>
    <n v="677939.71"/>
    <n v="152120.29"/>
  </r>
  <r>
    <s v="ORD-0097"/>
    <d v="2025-03-25T00:00:00"/>
    <x v="2"/>
    <s v="Q1"/>
    <x v="4"/>
    <x v="4"/>
    <x v="3"/>
    <x v="2"/>
    <s v="POS"/>
    <n v="1"/>
    <n v="40000"/>
    <n v="0.02"/>
    <n v="39200"/>
    <n v="25699.8"/>
    <n v="13500.2"/>
  </r>
  <r>
    <s v="ORD-0268"/>
    <d v="2025-03-25T00:00:00"/>
    <x v="2"/>
    <s v="Q1"/>
    <x v="2"/>
    <x v="4"/>
    <x v="3"/>
    <x v="2"/>
    <s v="Cash"/>
    <n v="4"/>
    <n v="47000"/>
    <n v="0"/>
    <n v="188000"/>
    <n v="138981.69"/>
    <n v="49018.31"/>
  </r>
  <r>
    <s v="ORD-0117"/>
    <d v="2025-03-27T00:00:00"/>
    <x v="2"/>
    <s v="Q1"/>
    <x v="2"/>
    <x v="3"/>
    <x v="3"/>
    <x v="2"/>
    <s v="Cash"/>
    <n v="3"/>
    <n v="16000"/>
    <n v="0.1"/>
    <n v="43200"/>
    <n v="31586.17"/>
    <n v="11613.83"/>
  </r>
  <r>
    <s v="ORD-0038"/>
    <d v="2025-03-27T00:00:00"/>
    <x v="2"/>
    <s v="Q1"/>
    <x v="0"/>
    <x v="3"/>
    <x v="1"/>
    <x v="2"/>
    <s v="Cash"/>
    <n v="2"/>
    <n v="206000"/>
    <n v="0"/>
    <n v="412000"/>
    <n v="284772.15000000002"/>
    <n v="127227.85"/>
  </r>
  <r>
    <s v="ORD-0157"/>
    <d v="2025-03-28T00:00:00"/>
    <x v="2"/>
    <s v="Q1"/>
    <x v="3"/>
    <x v="3"/>
    <x v="3"/>
    <x v="0"/>
    <s v="Cash"/>
    <n v="1"/>
    <n v="44000"/>
    <n v="0.02"/>
    <n v="43120"/>
    <n v="34573.9"/>
    <n v="8546.1"/>
  </r>
  <r>
    <s v="ORD-0299"/>
    <d v="2025-03-29T00:00:00"/>
    <x v="2"/>
    <s v="Q1"/>
    <x v="1"/>
    <x v="2"/>
    <x v="6"/>
    <x v="2"/>
    <s v="POS"/>
    <n v="4"/>
    <n v="548000"/>
    <n v="0.02"/>
    <n v="2148160"/>
    <n v="1716692.06"/>
    <n v="431467.94"/>
  </r>
  <r>
    <s v="ORD-0116"/>
    <d v="2025-03-30T00:00:00"/>
    <x v="2"/>
    <s v="Q1"/>
    <x v="3"/>
    <x v="6"/>
    <x v="3"/>
    <x v="0"/>
    <s v="Card"/>
    <n v="4"/>
    <n v="45000"/>
    <n v="0.02"/>
    <n v="176400"/>
    <n v="143962.75"/>
    <n v="32437.25"/>
  </r>
  <r>
    <s v="ORD-0170"/>
    <d v="2025-03-30T00:00:00"/>
    <x v="2"/>
    <s v="Q1"/>
    <x v="0"/>
    <x v="2"/>
    <x v="2"/>
    <x v="2"/>
    <s v="Cash"/>
    <n v="5"/>
    <n v="17000"/>
    <n v="0"/>
    <n v="85000"/>
    <n v="61956.31"/>
    <n v="23043.69"/>
  </r>
  <r>
    <s v="ORD-0176"/>
    <d v="2025-03-31T00:00:00"/>
    <x v="2"/>
    <s v="Q1"/>
    <x v="0"/>
    <x v="6"/>
    <x v="3"/>
    <x v="2"/>
    <s v="POS"/>
    <n v="4"/>
    <n v="18000"/>
    <n v="0"/>
    <n v="72000"/>
    <n v="58704.84"/>
    <n v="13295.16"/>
  </r>
  <r>
    <s v="ORD-0080"/>
    <d v="2025-03-31T00:00:00"/>
    <x v="2"/>
    <s v="Q1"/>
    <x v="1"/>
    <x v="3"/>
    <x v="4"/>
    <x v="1"/>
    <s v="Cash"/>
    <n v="3"/>
    <n v="217000"/>
    <n v="0"/>
    <n v="651000"/>
    <n v="418571.75"/>
    <n v="232428.25"/>
  </r>
  <r>
    <s v="ORD-0195"/>
    <d v="2025-04-02T00:00:00"/>
    <x v="3"/>
    <s v="Q2"/>
    <x v="0"/>
    <x v="3"/>
    <x v="1"/>
    <x v="0"/>
    <s v="Card"/>
    <n v="1"/>
    <n v="134000"/>
    <n v="0.05"/>
    <n v="127300"/>
    <n v="82033.009999999995"/>
    <n v="45266.99"/>
  </r>
  <r>
    <s v="ORD-0069"/>
    <d v="2025-04-02T00:00:00"/>
    <x v="3"/>
    <s v="Q2"/>
    <x v="0"/>
    <x v="3"/>
    <x v="1"/>
    <x v="2"/>
    <s v="Card"/>
    <n v="3"/>
    <n v="274000"/>
    <n v="0"/>
    <n v="822000"/>
    <n v="644742.38"/>
    <n v="177257.62"/>
  </r>
  <r>
    <s v="ORD-0238"/>
    <d v="2025-04-02T00:00:00"/>
    <x v="3"/>
    <s v="Q2"/>
    <x v="0"/>
    <x v="1"/>
    <x v="2"/>
    <x v="1"/>
    <s v="Bank Transfer"/>
    <n v="1"/>
    <n v="19000"/>
    <n v="0.05"/>
    <n v="18050"/>
    <n v="14366.29"/>
    <n v="3683.71"/>
  </r>
  <r>
    <s v="ORD-0045"/>
    <d v="2025-04-06T00:00:00"/>
    <x v="3"/>
    <s v="Q2"/>
    <x v="0"/>
    <x v="3"/>
    <x v="2"/>
    <x v="1"/>
    <s v="POS"/>
    <n v="10"/>
    <n v="25000"/>
    <n v="0"/>
    <n v="250000"/>
    <n v="173600.9"/>
    <n v="76399.100000000006"/>
  </r>
  <r>
    <s v="ORD-0016"/>
    <d v="2025-04-06T00:00:00"/>
    <x v="3"/>
    <s v="Q2"/>
    <x v="4"/>
    <x v="4"/>
    <x v="6"/>
    <x v="2"/>
    <s v="Card"/>
    <n v="2"/>
    <n v="236000"/>
    <n v="0.05"/>
    <n v="448400"/>
    <n v="306992.84000000003"/>
    <n v="141407.16"/>
  </r>
  <r>
    <s v="ORD-0155"/>
    <d v="2025-04-06T00:00:00"/>
    <x v="3"/>
    <s v="Q2"/>
    <x v="3"/>
    <x v="5"/>
    <x v="3"/>
    <x v="1"/>
    <s v="POS"/>
    <n v="4"/>
    <n v="44000"/>
    <n v="0"/>
    <n v="176000"/>
    <n v="128244.18"/>
    <n v="47755.82"/>
  </r>
  <r>
    <s v="ORD-0235"/>
    <d v="2025-04-08T00:00:00"/>
    <x v="3"/>
    <s v="Q2"/>
    <x v="0"/>
    <x v="3"/>
    <x v="6"/>
    <x v="0"/>
    <s v="Bank Transfer"/>
    <n v="3"/>
    <n v="369000"/>
    <n v="0.05"/>
    <n v="1051650"/>
    <n v="767460.23"/>
    <n v="284189.77"/>
  </r>
  <r>
    <s v="ORD-0128"/>
    <d v="2025-04-08T00:00:00"/>
    <x v="3"/>
    <s v="Q2"/>
    <x v="4"/>
    <x v="0"/>
    <x v="6"/>
    <x v="2"/>
    <s v="POS"/>
    <n v="3"/>
    <n v="285000"/>
    <n v="0.02"/>
    <n v="837900"/>
    <n v="616708.85"/>
    <n v="221191.15"/>
  </r>
  <r>
    <s v="ORD-0244"/>
    <d v="2025-04-12T00:00:00"/>
    <x v="3"/>
    <s v="Q2"/>
    <x v="2"/>
    <x v="6"/>
    <x v="7"/>
    <x v="2"/>
    <s v="Cash"/>
    <n v="1"/>
    <n v="255000"/>
    <n v="0.02"/>
    <n v="249900"/>
    <n v="171082.1"/>
    <n v="78817.899999999994"/>
  </r>
  <r>
    <s v="ORD-0118"/>
    <d v="2025-04-13T00:00:00"/>
    <x v="3"/>
    <s v="Q2"/>
    <x v="0"/>
    <x v="7"/>
    <x v="6"/>
    <x v="2"/>
    <s v="POS"/>
    <n v="10"/>
    <n v="614000"/>
    <n v="0.05"/>
    <n v="5833000"/>
    <n v="4169678.31"/>
    <n v="1663321.69"/>
  </r>
  <r>
    <s v="ORD-0148"/>
    <d v="2025-04-13T00:00:00"/>
    <x v="3"/>
    <s v="Q2"/>
    <x v="0"/>
    <x v="7"/>
    <x v="1"/>
    <x v="2"/>
    <s v="Bank Transfer"/>
    <n v="1"/>
    <n v="257000"/>
    <n v="0.05"/>
    <n v="244150"/>
    <n v="168844.44"/>
    <n v="75305.56"/>
  </r>
  <r>
    <s v="ORD-0241"/>
    <d v="2025-04-14T00:00:00"/>
    <x v="3"/>
    <s v="Q2"/>
    <x v="4"/>
    <x v="4"/>
    <x v="3"/>
    <x v="1"/>
    <s v="POS"/>
    <n v="5"/>
    <n v="40000"/>
    <n v="0"/>
    <n v="200000"/>
    <n v="160603.6"/>
    <n v="39396.400000000001"/>
  </r>
  <r>
    <s v="ORD-0209"/>
    <d v="2025-04-15T00:00:00"/>
    <x v="3"/>
    <s v="Q2"/>
    <x v="3"/>
    <x v="5"/>
    <x v="7"/>
    <x v="1"/>
    <s v="Cash"/>
    <n v="1"/>
    <n v="313000"/>
    <n v="0"/>
    <n v="313000"/>
    <n v="210380.65"/>
    <n v="102619.35"/>
  </r>
  <r>
    <s v="ORD-0266"/>
    <d v="2025-04-19T00:00:00"/>
    <x v="3"/>
    <s v="Q2"/>
    <x v="3"/>
    <x v="0"/>
    <x v="6"/>
    <x v="2"/>
    <s v="Bank Transfer"/>
    <n v="2"/>
    <n v="309000"/>
    <n v="0"/>
    <n v="618000"/>
    <n v="433962.2"/>
    <n v="184037.8"/>
  </r>
  <r>
    <s v="ORD-0280"/>
    <d v="2025-04-19T00:00:00"/>
    <x v="3"/>
    <s v="Q2"/>
    <x v="0"/>
    <x v="2"/>
    <x v="1"/>
    <x v="1"/>
    <s v="Cash"/>
    <n v="5"/>
    <n v="234000"/>
    <n v="0"/>
    <n v="1170000"/>
    <n v="796145.98"/>
    <n v="373854.02"/>
  </r>
  <r>
    <s v="ORD-0206"/>
    <d v="2025-04-19T00:00:00"/>
    <x v="3"/>
    <s v="Q2"/>
    <x v="1"/>
    <x v="6"/>
    <x v="1"/>
    <x v="2"/>
    <s v="Card"/>
    <n v="1"/>
    <n v="219000"/>
    <n v="0"/>
    <n v="219000"/>
    <n v="167154.96"/>
    <n v="51845.04"/>
  </r>
  <r>
    <s v="ORD-0075"/>
    <d v="2025-04-21T00:00:00"/>
    <x v="3"/>
    <s v="Q2"/>
    <x v="1"/>
    <x v="2"/>
    <x v="4"/>
    <x v="1"/>
    <s v="Bank Transfer"/>
    <n v="3"/>
    <n v="269000"/>
    <n v="0.02"/>
    <n v="790860"/>
    <n v="606877.88"/>
    <n v="183982.12"/>
  </r>
  <r>
    <s v="ORD-0276"/>
    <d v="2025-04-23T00:00:00"/>
    <x v="3"/>
    <s v="Q2"/>
    <x v="0"/>
    <x v="1"/>
    <x v="1"/>
    <x v="2"/>
    <s v="POS"/>
    <n v="3"/>
    <n v="249000"/>
    <n v="0.02"/>
    <n v="732060"/>
    <n v="469288.41"/>
    <n v="262771.59000000003"/>
  </r>
  <r>
    <s v="ORD-0283"/>
    <d v="2025-04-27T00:00:00"/>
    <x v="3"/>
    <s v="Q2"/>
    <x v="3"/>
    <x v="3"/>
    <x v="0"/>
    <x v="1"/>
    <s v="POS"/>
    <n v="3"/>
    <n v="640000"/>
    <n v="0"/>
    <n v="1920000"/>
    <n v="1560587.08"/>
    <n v="359412.92"/>
  </r>
  <r>
    <s v="ORD-0178"/>
    <d v="2025-04-28T00:00:00"/>
    <x v="3"/>
    <s v="Q2"/>
    <x v="4"/>
    <x v="4"/>
    <x v="5"/>
    <x v="2"/>
    <s v="Card"/>
    <n v="3"/>
    <n v="39000"/>
    <n v="0"/>
    <n v="117000"/>
    <n v="72600.47"/>
    <n v="44399.53"/>
  </r>
  <r>
    <s v="ORD-0063"/>
    <d v="2025-04-28T00:00:00"/>
    <x v="3"/>
    <s v="Q2"/>
    <x v="1"/>
    <x v="5"/>
    <x v="3"/>
    <x v="0"/>
    <s v="Bank Transfer"/>
    <n v="1"/>
    <n v="29000"/>
    <n v="0.02"/>
    <n v="28420"/>
    <n v="20577.830000000002"/>
    <n v="7842.17"/>
  </r>
  <r>
    <s v="ORD-0059"/>
    <d v="2025-04-29T00:00:00"/>
    <x v="3"/>
    <s v="Q2"/>
    <x v="4"/>
    <x v="3"/>
    <x v="3"/>
    <x v="0"/>
    <s v="POS"/>
    <n v="8"/>
    <n v="31000"/>
    <n v="0.05"/>
    <n v="235600"/>
    <n v="148202.70000000001"/>
    <n v="87397.3"/>
  </r>
  <r>
    <s v="ORD-0023"/>
    <d v="2025-04-30T00:00:00"/>
    <x v="3"/>
    <s v="Q2"/>
    <x v="2"/>
    <x v="4"/>
    <x v="4"/>
    <x v="2"/>
    <s v="POS"/>
    <n v="4"/>
    <n v="200000"/>
    <n v="0.05"/>
    <n v="760000"/>
    <n v="606037.14"/>
    <n v="153962.85999999999"/>
  </r>
  <r>
    <s v="ORD-0137"/>
    <d v="2025-04-30T00:00:00"/>
    <x v="3"/>
    <s v="Q2"/>
    <x v="0"/>
    <x v="5"/>
    <x v="4"/>
    <x v="0"/>
    <s v="Cash"/>
    <n v="1"/>
    <n v="282000"/>
    <n v="0.02"/>
    <n v="276360"/>
    <n v="190460.85"/>
    <n v="85899.15"/>
  </r>
  <r>
    <s v="ORD-0212"/>
    <d v="2025-05-02T00:00:00"/>
    <x v="4"/>
    <s v="Q2"/>
    <x v="1"/>
    <x v="7"/>
    <x v="6"/>
    <x v="0"/>
    <s v="POS"/>
    <n v="4"/>
    <n v="616000"/>
    <n v="0"/>
    <n v="2464000"/>
    <n v="1533945.9"/>
    <n v="930054.1"/>
  </r>
  <r>
    <s v="ORD-0149"/>
    <d v="2025-05-03T00:00:00"/>
    <x v="4"/>
    <s v="Q2"/>
    <x v="0"/>
    <x v="3"/>
    <x v="2"/>
    <x v="1"/>
    <s v="Cash"/>
    <n v="1"/>
    <n v="12000"/>
    <n v="0"/>
    <n v="12000"/>
    <n v="8967.43"/>
    <n v="3032.57"/>
  </r>
  <r>
    <s v="ORD-0174"/>
    <d v="2025-05-04T00:00:00"/>
    <x v="4"/>
    <s v="Q2"/>
    <x v="2"/>
    <x v="4"/>
    <x v="7"/>
    <x v="0"/>
    <s v="Cash"/>
    <n v="1"/>
    <n v="105000"/>
    <n v="0"/>
    <n v="105000"/>
    <n v="78696.97"/>
    <n v="26303.03"/>
  </r>
  <r>
    <s v="ORD-0236"/>
    <d v="2025-05-05T00:00:00"/>
    <x v="4"/>
    <s v="Q2"/>
    <x v="1"/>
    <x v="4"/>
    <x v="6"/>
    <x v="2"/>
    <s v="POS"/>
    <n v="5"/>
    <n v="624000"/>
    <n v="0.02"/>
    <n v="3057600"/>
    <n v="2178414.98"/>
    <n v="879185.02"/>
  </r>
  <r>
    <s v="ORD-0033"/>
    <d v="2025-05-05T00:00:00"/>
    <x v="4"/>
    <s v="Q2"/>
    <x v="1"/>
    <x v="5"/>
    <x v="0"/>
    <x v="2"/>
    <s v="POS"/>
    <n v="1"/>
    <n v="681000"/>
    <n v="0"/>
    <n v="681000"/>
    <n v="496128.2"/>
    <n v="184871.8"/>
  </r>
  <r>
    <s v="ORD-0052"/>
    <d v="2025-05-06T00:00:00"/>
    <x v="4"/>
    <s v="Q2"/>
    <x v="4"/>
    <x v="1"/>
    <x v="1"/>
    <x v="2"/>
    <s v="Bank Transfer"/>
    <n v="4"/>
    <n v="161000"/>
    <n v="0"/>
    <n v="644000"/>
    <n v="441816.53"/>
    <n v="202183.47"/>
  </r>
  <r>
    <s v="ORD-0275"/>
    <d v="2025-05-06T00:00:00"/>
    <x v="4"/>
    <s v="Q2"/>
    <x v="3"/>
    <x v="2"/>
    <x v="6"/>
    <x v="1"/>
    <s v="Card"/>
    <n v="3"/>
    <n v="191000"/>
    <n v="0.02"/>
    <n v="561540"/>
    <n v="386407.37"/>
    <n v="175132.63"/>
  </r>
  <r>
    <s v="ORD-0067"/>
    <d v="2025-05-06T00:00:00"/>
    <x v="4"/>
    <s v="Q2"/>
    <x v="3"/>
    <x v="0"/>
    <x v="2"/>
    <x v="2"/>
    <s v="Cash"/>
    <n v="1"/>
    <n v="9000"/>
    <n v="0.02"/>
    <n v="8820"/>
    <n v="6081.24"/>
    <n v="2738.76"/>
  </r>
  <r>
    <s v="ORD-0228"/>
    <d v="2025-05-09T00:00:00"/>
    <x v="4"/>
    <s v="Q2"/>
    <x v="1"/>
    <x v="4"/>
    <x v="7"/>
    <x v="0"/>
    <s v="Bank Transfer"/>
    <n v="3"/>
    <n v="325000"/>
    <n v="0"/>
    <n v="975000"/>
    <n v="780763.1"/>
    <n v="194236.9"/>
  </r>
  <r>
    <s v="ORD-0162"/>
    <d v="2025-05-10T00:00:00"/>
    <x v="4"/>
    <s v="Q2"/>
    <x v="0"/>
    <x v="1"/>
    <x v="3"/>
    <x v="0"/>
    <s v="Card"/>
    <n v="1"/>
    <n v="49000"/>
    <n v="0"/>
    <n v="49000"/>
    <n v="33023.550000000003"/>
    <n v="15976.45"/>
  </r>
  <r>
    <s v="ORD-0169"/>
    <d v="2025-05-12T00:00:00"/>
    <x v="4"/>
    <s v="Q2"/>
    <x v="3"/>
    <x v="3"/>
    <x v="2"/>
    <x v="0"/>
    <s v="Card"/>
    <n v="4"/>
    <n v="20000"/>
    <n v="0.05"/>
    <n v="76000"/>
    <n v="53262.93"/>
    <n v="22737.07"/>
  </r>
  <r>
    <s v="ORD-0066"/>
    <d v="2025-05-13T00:00:00"/>
    <x v="4"/>
    <s v="Q2"/>
    <x v="1"/>
    <x v="5"/>
    <x v="1"/>
    <x v="0"/>
    <s v="Bank Transfer"/>
    <n v="2"/>
    <n v="238000"/>
    <n v="0.02"/>
    <n v="466480"/>
    <n v="369672.68"/>
    <n v="96807.32"/>
  </r>
  <r>
    <s v="ORD-0245"/>
    <d v="2025-05-13T00:00:00"/>
    <x v="4"/>
    <s v="Q2"/>
    <x v="2"/>
    <x v="4"/>
    <x v="3"/>
    <x v="0"/>
    <s v="POS"/>
    <n v="1"/>
    <n v="18000"/>
    <n v="0.05"/>
    <n v="17100"/>
    <n v="11319.36"/>
    <n v="5780.64"/>
  </r>
  <r>
    <s v="ORD-0109"/>
    <d v="2025-05-14T00:00:00"/>
    <x v="4"/>
    <s v="Q2"/>
    <x v="1"/>
    <x v="5"/>
    <x v="5"/>
    <x v="1"/>
    <s v="Card"/>
    <n v="1"/>
    <n v="29000"/>
    <n v="0"/>
    <n v="29000"/>
    <n v="23200.11"/>
    <n v="5799.89"/>
  </r>
  <r>
    <s v="ORD-0290"/>
    <d v="2025-05-15T00:00:00"/>
    <x v="4"/>
    <s v="Q2"/>
    <x v="0"/>
    <x v="4"/>
    <x v="0"/>
    <x v="0"/>
    <s v="Card"/>
    <n v="4"/>
    <n v="849000"/>
    <n v="0.05"/>
    <n v="3226200"/>
    <n v="2190344.2200000002"/>
    <n v="1035855.78"/>
  </r>
  <r>
    <s v="ORD-0216"/>
    <d v="2025-05-16T00:00:00"/>
    <x v="4"/>
    <s v="Q2"/>
    <x v="4"/>
    <x v="0"/>
    <x v="6"/>
    <x v="0"/>
    <s v="POS"/>
    <n v="3"/>
    <n v="224000"/>
    <n v="0.05"/>
    <n v="638400"/>
    <n v="451195.65"/>
    <n v="187204.35"/>
  </r>
  <r>
    <s v="ORD-0252"/>
    <d v="2025-05-22T00:00:00"/>
    <x v="4"/>
    <s v="Q2"/>
    <x v="1"/>
    <x v="0"/>
    <x v="5"/>
    <x v="2"/>
    <s v="Cash"/>
    <n v="1"/>
    <n v="18000"/>
    <n v="0"/>
    <n v="18000"/>
    <n v="12526.21"/>
    <n v="5473.79"/>
  </r>
  <r>
    <s v="ORD-0032"/>
    <d v="2025-05-22T00:00:00"/>
    <x v="4"/>
    <s v="Q2"/>
    <x v="2"/>
    <x v="7"/>
    <x v="5"/>
    <x v="2"/>
    <s v="Bank Transfer"/>
    <n v="3"/>
    <n v="47000"/>
    <n v="0.05"/>
    <n v="133950"/>
    <n v="100461.53"/>
    <n v="33488.47"/>
  </r>
  <r>
    <s v="ORD-0293"/>
    <d v="2025-05-25T00:00:00"/>
    <x v="4"/>
    <s v="Q2"/>
    <x v="4"/>
    <x v="5"/>
    <x v="2"/>
    <x v="2"/>
    <s v="Bank Transfer"/>
    <n v="1"/>
    <n v="8000"/>
    <n v="0.05"/>
    <n v="7600"/>
    <n v="5748.26"/>
    <n v="1851.74"/>
  </r>
  <r>
    <s v="ORD-0094"/>
    <d v="2025-05-29T00:00:00"/>
    <x v="4"/>
    <s v="Q2"/>
    <x v="0"/>
    <x v="1"/>
    <x v="6"/>
    <x v="2"/>
    <s v="POS"/>
    <n v="6"/>
    <n v="612000"/>
    <n v="0"/>
    <n v="3672000"/>
    <n v="2710872.68"/>
    <n v="961127.32"/>
  </r>
  <r>
    <s v="ORD-0021"/>
    <d v="2025-05-31T00:00:00"/>
    <x v="4"/>
    <s v="Q2"/>
    <x v="4"/>
    <x v="5"/>
    <x v="6"/>
    <x v="2"/>
    <s v="POS"/>
    <n v="2"/>
    <n v="504000"/>
    <n v="0.05"/>
    <n v="957600"/>
    <n v="620050.01"/>
    <n v="337549.99"/>
  </r>
  <r>
    <s v="ORD-0282"/>
    <d v="2025-06-01T00:00:00"/>
    <x v="5"/>
    <s v="Q2"/>
    <x v="3"/>
    <x v="1"/>
    <x v="6"/>
    <x v="1"/>
    <s v="POS"/>
    <n v="4"/>
    <n v="547000"/>
    <n v="0"/>
    <n v="2188000"/>
    <n v="1499140.2"/>
    <n v="688859.8"/>
  </r>
  <r>
    <s v="ORD-0024"/>
    <d v="2025-06-02T00:00:00"/>
    <x v="5"/>
    <s v="Q2"/>
    <x v="0"/>
    <x v="0"/>
    <x v="2"/>
    <x v="2"/>
    <s v="Bank Transfer"/>
    <n v="3"/>
    <n v="22000"/>
    <n v="0"/>
    <n v="66000"/>
    <n v="53329.760000000002"/>
    <n v="12670.24"/>
  </r>
  <r>
    <s v="ORD-0253"/>
    <d v="2025-06-03T00:00:00"/>
    <x v="5"/>
    <s v="Q2"/>
    <x v="2"/>
    <x v="3"/>
    <x v="7"/>
    <x v="0"/>
    <s v="Cash"/>
    <n v="2"/>
    <n v="135000"/>
    <n v="0"/>
    <n v="270000"/>
    <n v="207354.82"/>
    <n v="62645.18"/>
  </r>
  <r>
    <s v="ORD-0249"/>
    <d v="2025-06-05T00:00:00"/>
    <x v="5"/>
    <s v="Q2"/>
    <x v="3"/>
    <x v="3"/>
    <x v="3"/>
    <x v="0"/>
    <s v="POS"/>
    <n v="4"/>
    <n v="20000"/>
    <n v="0"/>
    <n v="80000"/>
    <n v="60581.24"/>
    <n v="19418.759999999998"/>
  </r>
  <r>
    <s v="ORD-0087"/>
    <d v="2025-06-06T00:00:00"/>
    <x v="5"/>
    <s v="Q2"/>
    <x v="4"/>
    <x v="3"/>
    <x v="7"/>
    <x v="0"/>
    <s v="POS"/>
    <n v="2"/>
    <n v="300000"/>
    <n v="0"/>
    <n v="600000"/>
    <n v="467283.02"/>
    <n v="132716.98000000001"/>
  </r>
  <r>
    <s v="ORD-0257"/>
    <d v="2025-06-07T00:00:00"/>
    <x v="5"/>
    <s v="Q2"/>
    <x v="4"/>
    <x v="6"/>
    <x v="4"/>
    <x v="0"/>
    <s v="Bank Transfer"/>
    <n v="3"/>
    <n v="347000"/>
    <n v="0"/>
    <n v="1041000"/>
    <n v="819923.28"/>
    <n v="221076.72"/>
  </r>
  <r>
    <s v="ORD-0295"/>
    <d v="2025-06-07T00:00:00"/>
    <x v="5"/>
    <s v="Q2"/>
    <x v="2"/>
    <x v="1"/>
    <x v="6"/>
    <x v="2"/>
    <s v="Cash"/>
    <n v="3"/>
    <n v="190000"/>
    <n v="0.05"/>
    <n v="541500"/>
    <n v="395184.58"/>
    <n v="146315.42000000001"/>
  </r>
  <r>
    <s v="ORD-0041"/>
    <d v="2025-06-09T00:00:00"/>
    <x v="5"/>
    <s v="Q2"/>
    <x v="2"/>
    <x v="0"/>
    <x v="3"/>
    <x v="1"/>
    <s v="Cash"/>
    <n v="8"/>
    <n v="39000"/>
    <n v="0.05"/>
    <n v="296400"/>
    <n v="235175.55"/>
    <n v="61224.45"/>
  </r>
  <r>
    <s v="ORD-0181"/>
    <d v="2025-06-09T00:00:00"/>
    <x v="5"/>
    <s v="Q2"/>
    <x v="3"/>
    <x v="2"/>
    <x v="1"/>
    <x v="2"/>
    <s v="Card"/>
    <n v="1"/>
    <n v="191000"/>
    <n v="0"/>
    <n v="191000"/>
    <n v="127215.4"/>
    <n v="63784.6"/>
  </r>
  <r>
    <s v="ORD-0029"/>
    <d v="2025-06-10T00:00:00"/>
    <x v="5"/>
    <s v="Q2"/>
    <x v="0"/>
    <x v="0"/>
    <x v="3"/>
    <x v="2"/>
    <s v="Bank Transfer"/>
    <n v="1"/>
    <n v="54000"/>
    <n v="0"/>
    <n v="54000"/>
    <n v="35541.839999999997"/>
    <n v="18458.16"/>
  </r>
  <r>
    <s v="ORD-0300"/>
    <d v="2025-06-11T00:00:00"/>
    <x v="5"/>
    <s v="Q2"/>
    <x v="0"/>
    <x v="4"/>
    <x v="2"/>
    <x v="0"/>
    <s v="Cash"/>
    <n v="1"/>
    <n v="14000"/>
    <n v="0"/>
    <n v="14000"/>
    <n v="9437.1"/>
    <n v="4562.8999999999996"/>
  </r>
  <r>
    <s v="ORD-0135"/>
    <d v="2025-06-12T00:00:00"/>
    <x v="5"/>
    <s v="Q2"/>
    <x v="0"/>
    <x v="6"/>
    <x v="7"/>
    <x v="0"/>
    <s v="Bank Transfer"/>
    <n v="2"/>
    <n v="302000"/>
    <n v="0.02"/>
    <n v="591920"/>
    <n v="430916.03"/>
    <n v="161003.97"/>
  </r>
  <r>
    <s v="ORD-0159"/>
    <d v="2025-06-13T00:00:00"/>
    <x v="5"/>
    <s v="Q2"/>
    <x v="2"/>
    <x v="7"/>
    <x v="6"/>
    <x v="2"/>
    <s v="Bank Transfer"/>
    <n v="8"/>
    <n v="363000"/>
    <n v="0"/>
    <n v="2904000"/>
    <n v="2181912.65"/>
    <n v="722087.35"/>
  </r>
  <r>
    <s v="ORD-0111"/>
    <d v="2025-06-13T00:00:00"/>
    <x v="5"/>
    <s v="Q2"/>
    <x v="3"/>
    <x v="7"/>
    <x v="0"/>
    <x v="1"/>
    <s v="Bank Transfer"/>
    <n v="2"/>
    <n v="691000"/>
    <n v="0"/>
    <n v="1382000"/>
    <n v="936634.95"/>
    <n v="445365.05"/>
  </r>
  <r>
    <s v="ORD-0183"/>
    <d v="2025-06-16T00:00:00"/>
    <x v="5"/>
    <s v="Q2"/>
    <x v="1"/>
    <x v="4"/>
    <x v="7"/>
    <x v="2"/>
    <s v="Card"/>
    <n v="1"/>
    <n v="141000"/>
    <n v="0.02"/>
    <n v="138180"/>
    <n v="101655.9"/>
    <n v="36524.1"/>
  </r>
  <r>
    <s v="ORD-0042"/>
    <d v="2025-06-17T00:00:00"/>
    <x v="5"/>
    <s v="Q2"/>
    <x v="2"/>
    <x v="4"/>
    <x v="3"/>
    <x v="2"/>
    <s v="POS"/>
    <n v="3"/>
    <n v="33000"/>
    <n v="0.05"/>
    <n v="94050"/>
    <n v="65573.59"/>
    <n v="28476.41"/>
  </r>
  <r>
    <s v="ORD-0289"/>
    <d v="2025-06-18T00:00:00"/>
    <x v="5"/>
    <s v="Q2"/>
    <x v="0"/>
    <x v="0"/>
    <x v="5"/>
    <x v="1"/>
    <s v="Bank Transfer"/>
    <n v="3"/>
    <n v="48000"/>
    <n v="0.02"/>
    <n v="141120"/>
    <n v="110632.37"/>
    <n v="30487.63"/>
  </r>
  <r>
    <s v="ORD-0132"/>
    <d v="2025-06-18T00:00:00"/>
    <x v="5"/>
    <s v="Q2"/>
    <x v="0"/>
    <x v="1"/>
    <x v="5"/>
    <x v="1"/>
    <s v="Bank Transfer"/>
    <n v="4"/>
    <n v="63000"/>
    <n v="0.05"/>
    <n v="239400"/>
    <n v="189954.05"/>
    <n v="49445.95"/>
  </r>
  <r>
    <s v="ORD-0031"/>
    <d v="2025-06-19T00:00:00"/>
    <x v="5"/>
    <s v="Q2"/>
    <x v="1"/>
    <x v="6"/>
    <x v="4"/>
    <x v="2"/>
    <s v="POS"/>
    <n v="1"/>
    <n v="315000"/>
    <n v="0.02"/>
    <n v="308700"/>
    <n v="225525.11"/>
    <n v="83174.89"/>
  </r>
  <r>
    <s v="ORD-0114"/>
    <d v="2025-06-21T00:00:00"/>
    <x v="5"/>
    <s v="Q2"/>
    <x v="2"/>
    <x v="3"/>
    <x v="3"/>
    <x v="1"/>
    <s v="Cash"/>
    <n v="2"/>
    <n v="32000"/>
    <n v="0.05"/>
    <n v="60800"/>
    <n v="47416.9"/>
    <n v="13383.1"/>
  </r>
  <r>
    <s v="ORD-0062"/>
    <d v="2025-06-22T00:00:00"/>
    <x v="5"/>
    <s v="Q2"/>
    <x v="3"/>
    <x v="3"/>
    <x v="2"/>
    <x v="0"/>
    <s v="POS"/>
    <n v="2"/>
    <n v="16000"/>
    <n v="0"/>
    <n v="32000"/>
    <n v="21449.23"/>
    <n v="10550.77"/>
  </r>
  <r>
    <s v="ORD-0060"/>
    <d v="2025-06-26T00:00:00"/>
    <x v="5"/>
    <s v="Q2"/>
    <x v="1"/>
    <x v="5"/>
    <x v="7"/>
    <x v="2"/>
    <s v="Cash"/>
    <n v="4"/>
    <n v="220000"/>
    <n v="0"/>
    <n v="880000"/>
    <n v="691532.9"/>
    <n v="188467.1"/>
  </r>
  <r>
    <s v="ORD-0260"/>
    <d v="2025-06-28T00:00:00"/>
    <x v="5"/>
    <s v="Q2"/>
    <x v="0"/>
    <x v="7"/>
    <x v="6"/>
    <x v="2"/>
    <s v="POS"/>
    <n v="8"/>
    <n v="260000"/>
    <n v="0"/>
    <n v="2080000"/>
    <n v="1617741.74"/>
    <n v="462258.26"/>
  </r>
  <r>
    <s v="ORD-0163"/>
    <d v="2025-06-28T00:00:00"/>
    <x v="5"/>
    <s v="Q2"/>
    <x v="0"/>
    <x v="5"/>
    <x v="3"/>
    <x v="2"/>
    <s v="Bank Transfer"/>
    <n v="1"/>
    <n v="23000"/>
    <n v="0"/>
    <n v="23000"/>
    <n v="14735.22"/>
    <n v="8264.7800000000007"/>
  </r>
  <r>
    <s v="ORD-0096"/>
    <d v="2025-06-29T00:00:00"/>
    <x v="5"/>
    <s v="Q2"/>
    <x v="4"/>
    <x v="0"/>
    <x v="1"/>
    <x v="2"/>
    <s v="Card"/>
    <n v="2"/>
    <n v="132000"/>
    <n v="0"/>
    <n v="264000"/>
    <n v="172993.23"/>
    <n v="91006.77"/>
  </r>
  <r>
    <s v="ORD-0143"/>
    <d v="2025-06-30T00:00:00"/>
    <x v="5"/>
    <s v="Q2"/>
    <x v="2"/>
    <x v="5"/>
    <x v="6"/>
    <x v="1"/>
    <s v="Bank Transfer"/>
    <n v="3"/>
    <n v="393000"/>
    <n v="0"/>
    <n v="1179000"/>
    <n v="918864.93"/>
    <n v="260135.07"/>
  </r>
  <r>
    <s v="ORD-0210"/>
    <d v="2025-06-30T00:00:00"/>
    <x v="5"/>
    <s v="Q2"/>
    <x v="2"/>
    <x v="0"/>
    <x v="7"/>
    <x v="0"/>
    <s v="POS"/>
    <n v="2"/>
    <n v="355000"/>
    <n v="0.1"/>
    <n v="639000"/>
    <n v="473100.47"/>
    <n v="165899.53"/>
  </r>
  <r>
    <s v="ORD-0230"/>
    <d v="2025-07-01T00:00:00"/>
    <x v="6"/>
    <s v="Q3"/>
    <x v="4"/>
    <x v="2"/>
    <x v="6"/>
    <x v="0"/>
    <s v="POS"/>
    <n v="6"/>
    <n v="296000"/>
    <n v="0"/>
    <n v="1776000"/>
    <n v="1197716.54"/>
    <n v="578283.46"/>
  </r>
  <r>
    <s v="ORD-0089"/>
    <d v="2025-07-03T00:00:00"/>
    <x v="6"/>
    <s v="Q3"/>
    <x v="4"/>
    <x v="0"/>
    <x v="4"/>
    <x v="2"/>
    <s v="Cash"/>
    <n v="1"/>
    <n v="308000"/>
    <n v="0.05"/>
    <n v="292600"/>
    <n v="188872.64"/>
    <n v="103727.36"/>
  </r>
  <r>
    <s v="ORD-0156"/>
    <d v="2025-07-05T00:00:00"/>
    <x v="6"/>
    <s v="Q3"/>
    <x v="2"/>
    <x v="4"/>
    <x v="3"/>
    <x v="2"/>
    <s v="Bank Transfer"/>
    <n v="5"/>
    <n v="38000"/>
    <n v="0.02"/>
    <n v="186200"/>
    <n v="152391.04000000001"/>
    <n v="33808.959999999999"/>
  </r>
  <r>
    <s v="ORD-0013"/>
    <d v="2025-07-06T00:00:00"/>
    <x v="6"/>
    <s v="Q3"/>
    <x v="3"/>
    <x v="4"/>
    <x v="6"/>
    <x v="0"/>
    <s v="Card"/>
    <n v="4"/>
    <n v="372000"/>
    <n v="0"/>
    <n v="1488000"/>
    <n v="945469.22"/>
    <n v="542530.78"/>
  </r>
  <r>
    <s v="ORD-0151"/>
    <d v="2025-07-07T00:00:00"/>
    <x v="6"/>
    <s v="Q3"/>
    <x v="1"/>
    <x v="6"/>
    <x v="1"/>
    <x v="1"/>
    <s v="POS"/>
    <n v="5"/>
    <n v="203000"/>
    <n v="0"/>
    <n v="1015000"/>
    <n v="637573.07999999996"/>
    <n v="377426.92"/>
  </r>
  <r>
    <s v="ORD-0222"/>
    <d v="2025-07-07T00:00:00"/>
    <x v="6"/>
    <s v="Q3"/>
    <x v="1"/>
    <x v="2"/>
    <x v="2"/>
    <x v="1"/>
    <s v="Cash"/>
    <n v="3"/>
    <n v="9000"/>
    <n v="0.02"/>
    <n v="26460"/>
    <n v="19591.75"/>
    <n v="6868.25"/>
  </r>
  <r>
    <s v="ORD-0003"/>
    <d v="2025-07-07T00:00:00"/>
    <x v="6"/>
    <s v="Q3"/>
    <x v="0"/>
    <x v="3"/>
    <x v="0"/>
    <x v="2"/>
    <s v="Bank Transfer"/>
    <n v="3"/>
    <n v="459000"/>
    <n v="0"/>
    <n v="1377000"/>
    <n v="866591.72"/>
    <n v="510408.28"/>
  </r>
  <r>
    <s v="ORD-0215"/>
    <d v="2025-07-08T00:00:00"/>
    <x v="6"/>
    <s v="Q3"/>
    <x v="1"/>
    <x v="6"/>
    <x v="6"/>
    <x v="2"/>
    <s v="Cash"/>
    <n v="5"/>
    <n v="417000"/>
    <n v="0.02"/>
    <n v="2043300"/>
    <n v="1488436.66"/>
    <n v="554863.34"/>
  </r>
  <r>
    <s v="ORD-0247"/>
    <d v="2025-07-09T00:00:00"/>
    <x v="6"/>
    <s v="Q3"/>
    <x v="3"/>
    <x v="6"/>
    <x v="5"/>
    <x v="2"/>
    <s v="Card"/>
    <n v="1"/>
    <n v="37000"/>
    <n v="0.02"/>
    <n v="36260"/>
    <n v="28471.19"/>
    <n v="7788.81"/>
  </r>
  <r>
    <s v="ORD-0007"/>
    <d v="2025-07-09T00:00:00"/>
    <x v="6"/>
    <s v="Q3"/>
    <x v="0"/>
    <x v="0"/>
    <x v="7"/>
    <x v="1"/>
    <s v="Cash"/>
    <n v="2"/>
    <n v="332000"/>
    <n v="0.02"/>
    <n v="650720"/>
    <n v="471229.85"/>
    <n v="179490.15"/>
  </r>
  <r>
    <s v="ORD-0006"/>
    <d v="2025-07-10T00:00:00"/>
    <x v="6"/>
    <s v="Q3"/>
    <x v="1"/>
    <x v="4"/>
    <x v="3"/>
    <x v="0"/>
    <s v="Bank Transfer"/>
    <n v="3"/>
    <n v="27000"/>
    <n v="0"/>
    <n v="81000"/>
    <n v="53214.64"/>
    <n v="27785.360000000001"/>
  </r>
  <r>
    <s v="ORD-0223"/>
    <d v="2025-07-11T00:00:00"/>
    <x v="6"/>
    <s v="Q3"/>
    <x v="4"/>
    <x v="1"/>
    <x v="0"/>
    <x v="2"/>
    <s v="Cash"/>
    <n v="5"/>
    <n v="583000"/>
    <n v="0.02"/>
    <n v="2856700"/>
    <n v="2221721.27"/>
    <n v="634978.73"/>
  </r>
  <r>
    <s v="ORD-0002"/>
    <d v="2025-07-11T00:00:00"/>
    <x v="6"/>
    <s v="Q3"/>
    <x v="2"/>
    <x v="2"/>
    <x v="2"/>
    <x v="2"/>
    <s v="Bank Transfer"/>
    <n v="8"/>
    <n v="8000"/>
    <n v="0.05"/>
    <n v="60800"/>
    <n v="40278.04"/>
    <n v="20521.96"/>
  </r>
  <r>
    <s v="ORD-0123"/>
    <d v="2025-07-12T00:00:00"/>
    <x v="6"/>
    <s v="Q3"/>
    <x v="2"/>
    <x v="7"/>
    <x v="1"/>
    <x v="2"/>
    <s v="Card"/>
    <n v="5"/>
    <n v="146000"/>
    <n v="0.02"/>
    <n v="715400"/>
    <n v="527837.65"/>
    <n v="187562.35"/>
  </r>
  <r>
    <s v="ORD-0099"/>
    <d v="2025-07-13T00:00:00"/>
    <x v="6"/>
    <s v="Q3"/>
    <x v="4"/>
    <x v="2"/>
    <x v="4"/>
    <x v="2"/>
    <s v="Bank Transfer"/>
    <n v="3"/>
    <n v="312000"/>
    <n v="0"/>
    <n v="936000"/>
    <n v="713991.88"/>
    <n v="222008.12"/>
  </r>
  <r>
    <s v="ORD-0088"/>
    <d v="2025-07-15T00:00:00"/>
    <x v="6"/>
    <s v="Q3"/>
    <x v="4"/>
    <x v="5"/>
    <x v="7"/>
    <x v="1"/>
    <s v="Bank Transfer"/>
    <n v="4"/>
    <n v="340000"/>
    <n v="0.05"/>
    <n v="1292000"/>
    <n v="838024.27"/>
    <n v="453975.73"/>
  </r>
  <r>
    <s v="ORD-0019"/>
    <d v="2025-07-17T00:00:00"/>
    <x v="6"/>
    <s v="Q3"/>
    <x v="4"/>
    <x v="7"/>
    <x v="2"/>
    <x v="2"/>
    <s v="Card"/>
    <n v="4"/>
    <n v="13000"/>
    <n v="0"/>
    <n v="52000"/>
    <n v="38815.980000000003"/>
    <n v="13184.02"/>
  </r>
  <r>
    <s v="ORD-0124"/>
    <d v="2025-07-17T00:00:00"/>
    <x v="6"/>
    <s v="Q3"/>
    <x v="2"/>
    <x v="7"/>
    <x v="4"/>
    <x v="0"/>
    <s v="Cash"/>
    <n v="8"/>
    <n v="148000"/>
    <n v="0.05"/>
    <n v="1124800"/>
    <n v="755636.74"/>
    <n v="369163.26"/>
  </r>
  <r>
    <s v="ORD-0232"/>
    <d v="2025-07-18T00:00:00"/>
    <x v="6"/>
    <s v="Q3"/>
    <x v="4"/>
    <x v="5"/>
    <x v="5"/>
    <x v="2"/>
    <s v="POS"/>
    <n v="4"/>
    <n v="19000"/>
    <n v="0.1"/>
    <n v="68400"/>
    <n v="50071.1"/>
    <n v="18328.900000000001"/>
  </r>
  <r>
    <s v="ORD-0258"/>
    <d v="2025-07-20T00:00:00"/>
    <x v="6"/>
    <s v="Q3"/>
    <x v="2"/>
    <x v="4"/>
    <x v="3"/>
    <x v="0"/>
    <s v="Bank Transfer"/>
    <n v="2"/>
    <n v="41000"/>
    <n v="0"/>
    <n v="82000"/>
    <n v="58849.34"/>
    <n v="23150.66"/>
  </r>
  <r>
    <s v="ORD-0147"/>
    <d v="2025-07-21T00:00:00"/>
    <x v="6"/>
    <s v="Q3"/>
    <x v="1"/>
    <x v="5"/>
    <x v="7"/>
    <x v="2"/>
    <s v="Bank Transfer"/>
    <n v="3"/>
    <n v="145000"/>
    <n v="0.02"/>
    <n v="426300"/>
    <n v="324198.15999999997"/>
    <n v="102101.84"/>
  </r>
  <r>
    <s v="ORD-0161"/>
    <d v="2025-07-23T00:00:00"/>
    <x v="6"/>
    <s v="Q3"/>
    <x v="4"/>
    <x v="2"/>
    <x v="6"/>
    <x v="1"/>
    <s v="POS"/>
    <n v="2"/>
    <n v="348000"/>
    <n v="0.02"/>
    <n v="682080"/>
    <n v="471553.56"/>
    <n v="210526.44"/>
  </r>
  <r>
    <s v="ORD-0254"/>
    <d v="2025-07-25T00:00:00"/>
    <x v="6"/>
    <s v="Q3"/>
    <x v="3"/>
    <x v="6"/>
    <x v="7"/>
    <x v="1"/>
    <s v="Card"/>
    <n v="4"/>
    <n v="364000"/>
    <n v="0.05"/>
    <n v="1383200"/>
    <n v="1129188.79"/>
    <n v="254011.21"/>
  </r>
  <r>
    <s v="ORD-0064"/>
    <d v="2025-07-26T00:00:00"/>
    <x v="6"/>
    <s v="Q3"/>
    <x v="1"/>
    <x v="3"/>
    <x v="7"/>
    <x v="1"/>
    <s v="Cash"/>
    <n v="5"/>
    <n v="128000"/>
    <n v="0.02"/>
    <n v="627200"/>
    <n v="449080.97"/>
    <n v="178119.03"/>
  </r>
  <r>
    <s v="ORD-0288"/>
    <d v="2025-07-27T00:00:00"/>
    <x v="6"/>
    <s v="Q3"/>
    <x v="1"/>
    <x v="3"/>
    <x v="4"/>
    <x v="1"/>
    <s v="Cash"/>
    <n v="1"/>
    <n v="178000"/>
    <n v="0.1"/>
    <n v="160200"/>
    <n v="106396.69"/>
    <n v="53803.31"/>
  </r>
  <r>
    <s v="ORD-0207"/>
    <d v="2025-07-30T00:00:00"/>
    <x v="6"/>
    <s v="Q3"/>
    <x v="3"/>
    <x v="4"/>
    <x v="1"/>
    <x v="2"/>
    <s v="Bank Transfer"/>
    <n v="2"/>
    <n v="163000"/>
    <n v="0.1"/>
    <n v="293400"/>
    <n v="238871.61"/>
    <n v="54528.39"/>
  </r>
  <r>
    <s v="ORD-0098"/>
    <d v="2025-07-30T00:00:00"/>
    <x v="6"/>
    <s v="Q3"/>
    <x v="0"/>
    <x v="3"/>
    <x v="1"/>
    <x v="2"/>
    <s v="Card"/>
    <n v="2"/>
    <n v="125000"/>
    <n v="0"/>
    <n v="250000"/>
    <n v="174865.91"/>
    <n v="75134.09"/>
  </r>
  <r>
    <s v="ORD-0229"/>
    <d v="2025-08-01T00:00:00"/>
    <x v="7"/>
    <s v="Q3"/>
    <x v="0"/>
    <x v="4"/>
    <x v="6"/>
    <x v="2"/>
    <s v="Bank Transfer"/>
    <n v="2"/>
    <n v="241000"/>
    <n v="0.05"/>
    <n v="457900"/>
    <n v="327129.28999999998"/>
    <n v="130770.71"/>
  </r>
  <r>
    <s v="ORD-0267"/>
    <d v="2025-08-03T00:00:00"/>
    <x v="7"/>
    <s v="Q3"/>
    <x v="0"/>
    <x v="4"/>
    <x v="7"/>
    <x v="1"/>
    <s v="Bank Transfer"/>
    <n v="1"/>
    <n v="362000"/>
    <n v="0.02"/>
    <n v="354760"/>
    <n v="223579.36"/>
    <n v="131180.64000000001"/>
  </r>
  <r>
    <s v="ORD-0001"/>
    <d v="2025-08-03T00:00:00"/>
    <x v="7"/>
    <s v="Q3"/>
    <x v="0"/>
    <x v="0"/>
    <x v="4"/>
    <x v="2"/>
    <s v="POS"/>
    <n v="4"/>
    <n v="338000"/>
    <n v="0.02"/>
    <n v="1324960"/>
    <n v="862818.89"/>
    <n v="462141.11"/>
  </r>
  <r>
    <s v="ORD-0106"/>
    <d v="2025-08-03T00:00:00"/>
    <x v="7"/>
    <s v="Q3"/>
    <x v="1"/>
    <x v="2"/>
    <x v="7"/>
    <x v="1"/>
    <s v="Card"/>
    <n v="1"/>
    <n v="344000"/>
    <n v="0.05"/>
    <n v="326800"/>
    <n v="234474.5"/>
    <n v="92325.5"/>
  </r>
  <r>
    <s v="ORD-0051"/>
    <d v="2025-08-05T00:00:00"/>
    <x v="7"/>
    <s v="Q3"/>
    <x v="3"/>
    <x v="4"/>
    <x v="7"/>
    <x v="2"/>
    <s v="Cash"/>
    <n v="2"/>
    <n v="219000"/>
    <n v="0.05"/>
    <n v="416100"/>
    <n v="336812.03"/>
    <n v="79287.97"/>
  </r>
  <r>
    <s v="ORD-0044"/>
    <d v="2025-08-05T00:00:00"/>
    <x v="7"/>
    <s v="Q3"/>
    <x v="1"/>
    <x v="2"/>
    <x v="6"/>
    <x v="1"/>
    <s v="Card"/>
    <n v="4"/>
    <n v="413000"/>
    <n v="0"/>
    <n v="1652000"/>
    <n v="1333708.55"/>
    <n v="318291.45"/>
  </r>
  <r>
    <s v="ORD-0011"/>
    <d v="2025-08-06T00:00:00"/>
    <x v="7"/>
    <s v="Q3"/>
    <x v="0"/>
    <x v="3"/>
    <x v="5"/>
    <x v="1"/>
    <s v="Card"/>
    <n v="1"/>
    <n v="44000"/>
    <n v="0.02"/>
    <n v="43120"/>
    <n v="33295.410000000003"/>
    <n v="9824.59"/>
  </r>
  <r>
    <s v="ORD-0091"/>
    <d v="2025-08-06T00:00:00"/>
    <x v="7"/>
    <s v="Q3"/>
    <x v="3"/>
    <x v="3"/>
    <x v="5"/>
    <x v="2"/>
    <s v="Card"/>
    <n v="2"/>
    <n v="51000"/>
    <n v="0"/>
    <n v="102000"/>
    <n v="82564.58"/>
    <n v="19435.419999999998"/>
  </r>
  <r>
    <s v="ORD-0018"/>
    <d v="2025-08-06T00:00:00"/>
    <x v="7"/>
    <s v="Q3"/>
    <x v="2"/>
    <x v="0"/>
    <x v="0"/>
    <x v="1"/>
    <s v="Cash"/>
    <n v="3"/>
    <n v="588000"/>
    <n v="0.02"/>
    <n v="1728720"/>
    <n v="1255373.8500000001"/>
    <n v="473346.15"/>
  </r>
  <r>
    <s v="ORD-0166"/>
    <d v="2025-08-06T00:00:00"/>
    <x v="7"/>
    <s v="Q3"/>
    <x v="0"/>
    <x v="3"/>
    <x v="1"/>
    <x v="1"/>
    <s v="Card"/>
    <n v="1"/>
    <n v="254000"/>
    <n v="0.02"/>
    <n v="248920"/>
    <n v="196055.13"/>
    <n v="52864.87"/>
  </r>
  <r>
    <s v="ORD-0286"/>
    <d v="2025-08-07T00:00:00"/>
    <x v="7"/>
    <s v="Q3"/>
    <x v="4"/>
    <x v="6"/>
    <x v="4"/>
    <x v="1"/>
    <s v="Cash"/>
    <n v="3"/>
    <n v="237000"/>
    <n v="0.02"/>
    <n v="696780"/>
    <n v="552626.97"/>
    <n v="144153.03"/>
  </r>
  <r>
    <s v="ORD-0078"/>
    <d v="2025-08-08T00:00:00"/>
    <x v="7"/>
    <s v="Q3"/>
    <x v="2"/>
    <x v="7"/>
    <x v="1"/>
    <x v="0"/>
    <s v="Card"/>
    <n v="10"/>
    <n v="167000"/>
    <n v="0"/>
    <n v="1670000"/>
    <n v="1168283.77"/>
    <n v="501716.23"/>
  </r>
  <r>
    <s v="ORD-0208"/>
    <d v="2025-08-08T00:00:00"/>
    <x v="7"/>
    <s v="Q3"/>
    <x v="2"/>
    <x v="0"/>
    <x v="0"/>
    <x v="0"/>
    <s v="Card"/>
    <n v="4"/>
    <n v="714000"/>
    <n v="0"/>
    <n v="2856000"/>
    <n v="1782683.76"/>
    <n v="1073316.24"/>
  </r>
  <r>
    <s v="ORD-0242"/>
    <d v="2025-08-08T00:00:00"/>
    <x v="7"/>
    <s v="Q3"/>
    <x v="0"/>
    <x v="0"/>
    <x v="6"/>
    <x v="2"/>
    <s v="POS"/>
    <n v="2"/>
    <n v="468000"/>
    <n v="0.05"/>
    <n v="889200"/>
    <n v="581333.03"/>
    <n v="307866.96999999997"/>
  </r>
  <r>
    <s v="ORD-0164"/>
    <d v="2025-08-11T00:00:00"/>
    <x v="7"/>
    <s v="Q3"/>
    <x v="0"/>
    <x v="6"/>
    <x v="7"/>
    <x v="1"/>
    <s v="POS"/>
    <n v="8"/>
    <n v="101000"/>
    <n v="0.02"/>
    <n v="791840"/>
    <n v="628391.28"/>
    <n v="163448.72"/>
  </r>
  <r>
    <s v="ORD-0103"/>
    <d v="2025-08-11T00:00:00"/>
    <x v="7"/>
    <s v="Q3"/>
    <x v="0"/>
    <x v="5"/>
    <x v="5"/>
    <x v="2"/>
    <s v="Cash"/>
    <n v="2"/>
    <n v="65000"/>
    <n v="0.02"/>
    <n v="127400"/>
    <n v="84211"/>
    <n v="43189"/>
  </r>
  <r>
    <s v="ORD-0285"/>
    <d v="2025-08-16T00:00:00"/>
    <x v="7"/>
    <s v="Q3"/>
    <x v="0"/>
    <x v="2"/>
    <x v="1"/>
    <x v="1"/>
    <s v="Cash"/>
    <n v="4"/>
    <n v="107000"/>
    <n v="0"/>
    <n v="428000"/>
    <n v="291249.5"/>
    <n v="136750.5"/>
  </r>
  <r>
    <s v="ORD-0028"/>
    <d v="2025-08-21T00:00:00"/>
    <x v="7"/>
    <s v="Q3"/>
    <x v="2"/>
    <x v="1"/>
    <x v="0"/>
    <x v="2"/>
    <s v="Card"/>
    <n v="2"/>
    <n v="847000"/>
    <n v="0"/>
    <n v="1694000"/>
    <n v="1349607.77"/>
    <n v="344392.23"/>
  </r>
  <r>
    <s v="ORD-0277"/>
    <d v="2025-08-22T00:00:00"/>
    <x v="7"/>
    <s v="Q3"/>
    <x v="4"/>
    <x v="3"/>
    <x v="1"/>
    <x v="0"/>
    <s v="Cash"/>
    <n v="2"/>
    <n v="273000"/>
    <n v="0"/>
    <n v="546000"/>
    <n v="341900.37"/>
    <n v="204099.63"/>
  </r>
  <r>
    <s v="ORD-0049"/>
    <d v="2025-08-23T00:00:00"/>
    <x v="7"/>
    <s v="Q3"/>
    <x v="3"/>
    <x v="7"/>
    <x v="1"/>
    <x v="2"/>
    <s v="Bank Transfer"/>
    <n v="3"/>
    <n v="100000"/>
    <n v="0"/>
    <n v="300000"/>
    <n v="239262.25"/>
    <n v="60737.75"/>
  </r>
  <r>
    <s v="ORD-0107"/>
    <d v="2025-08-23T00:00:00"/>
    <x v="7"/>
    <s v="Q3"/>
    <x v="4"/>
    <x v="5"/>
    <x v="6"/>
    <x v="1"/>
    <s v="Card"/>
    <n v="3"/>
    <n v="434000"/>
    <n v="0"/>
    <n v="1302000"/>
    <n v="843528.32"/>
    <n v="458471.67999999999"/>
  </r>
  <r>
    <s v="ORD-0140"/>
    <d v="2025-08-24T00:00:00"/>
    <x v="7"/>
    <s v="Q3"/>
    <x v="0"/>
    <x v="1"/>
    <x v="5"/>
    <x v="0"/>
    <s v="POS"/>
    <n v="2"/>
    <n v="62000"/>
    <n v="0"/>
    <n v="124000"/>
    <n v="98407.75"/>
    <n v="25592.25"/>
  </r>
  <r>
    <s v="ORD-0037"/>
    <d v="2025-08-25T00:00:00"/>
    <x v="7"/>
    <s v="Q3"/>
    <x v="0"/>
    <x v="0"/>
    <x v="6"/>
    <x v="1"/>
    <s v="POS"/>
    <n v="2"/>
    <n v="253000"/>
    <n v="0"/>
    <n v="506000"/>
    <n v="386037.11"/>
    <n v="119962.89"/>
  </r>
  <r>
    <s v="ORD-0012"/>
    <d v="2025-08-29T00:00:00"/>
    <x v="7"/>
    <s v="Q3"/>
    <x v="0"/>
    <x v="0"/>
    <x v="2"/>
    <x v="1"/>
    <s v="Card"/>
    <n v="2"/>
    <n v="10000"/>
    <n v="0"/>
    <n v="20000"/>
    <n v="15983.05"/>
    <n v="4016.95"/>
  </r>
  <r>
    <s v="ORD-0201"/>
    <d v="2025-08-30T00:00:00"/>
    <x v="7"/>
    <s v="Q3"/>
    <x v="3"/>
    <x v="1"/>
    <x v="2"/>
    <x v="0"/>
    <s v="Card"/>
    <n v="3"/>
    <n v="11000"/>
    <n v="0"/>
    <n v="33000"/>
    <n v="20540"/>
    <n v="12460"/>
  </r>
  <r>
    <s v="ORD-0180"/>
    <d v="2025-08-30T00:00:00"/>
    <x v="7"/>
    <s v="Q3"/>
    <x v="0"/>
    <x v="2"/>
    <x v="5"/>
    <x v="1"/>
    <s v="Bank Transfer"/>
    <n v="4"/>
    <n v="42000"/>
    <n v="0"/>
    <n v="168000"/>
    <n v="125121.67"/>
    <n v="42878.33"/>
  </r>
  <r>
    <s v="ORD-0191"/>
    <d v="2025-09-01T00:00:00"/>
    <x v="8"/>
    <s v="Q3"/>
    <x v="0"/>
    <x v="7"/>
    <x v="5"/>
    <x v="2"/>
    <s v="Bank Transfer"/>
    <n v="5"/>
    <n v="27000"/>
    <n v="0.02"/>
    <n v="132300"/>
    <n v="97017.58"/>
    <n v="35282.42"/>
  </r>
  <r>
    <s v="ORD-0101"/>
    <d v="2025-09-04T00:00:00"/>
    <x v="8"/>
    <s v="Q3"/>
    <x v="0"/>
    <x v="7"/>
    <x v="0"/>
    <x v="1"/>
    <s v="Card"/>
    <n v="4"/>
    <n v="512000"/>
    <n v="0.02"/>
    <n v="2007040"/>
    <n v="1255241.3500000001"/>
    <n v="751798.65"/>
  </r>
  <r>
    <s v="ORD-0133"/>
    <d v="2025-09-06T00:00:00"/>
    <x v="8"/>
    <s v="Q3"/>
    <x v="0"/>
    <x v="7"/>
    <x v="0"/>
    <x v="2"/>
    <s v="POS"/>
    <n v="1"/>
    <n v="729000"/>
    <n v="0.05"/>
    <n v="692550"/>
    <n v="562532.78"/>
    <n v="130017.22"/>
  </r>
  <r>
    <s v="ORD-0040"/>
    <d v="2025-09-07T00:00:00"/>
    <x v="8"/>
    <s v="Q3"/>
    <x v="2"/>
    <x v="0"/>
    <x v="4"/>
    <x v="0"/>
    <s v="Card"/>
    <n v="3"/>
    <n v="261000"/>
    <n v="0"/>
    <n v="783000"/>
    <n v="544124.34"/>
    <n v="238875.66"/>
  </r>
  <r>
    <s v="ORD-0022"/>
    <d v="2025-09-11T00:00:00"/>
    <x v="8"/>
    <s v="Q3"/>
    <x v="2"/>
    <x v="1"/>
    <x v="6"/>
    <x v="0"/>
    <s v="Cash"/>
    <n v="3"/>
    <n v="641000"/>
    <n v="0"/>
    <n v="1923000"/>
    <n v="1575419.17"/>
    <n v="347580.83"/>
  </r>
  <r>
    <s v="ORD-0202"/>
    <d v="2025-09-13T00:00:00"/>
    <x v="8"/>
    <s v="Q3"/>
    <x v="0"/>
    <x v="5"/>
    <x v="0"/>
    <x v="2"/>
    <s v="Bank Transfer"/>
    <n v="2"/>
    <n v="598000"/>
    <n v="0.02"/>
    <n v="1172080"/>
    <n v="843741.44"/>
    <n v="328338.56"/>
  </r>
  <r>
    <s v="ORD-0105"/>
    <d v="2025-09-13T00:00:00"/>
    <x v="8"/>
    <s v="Q3"/>
    <x v="4"/>
    <x v="5"/>
    <x v="6"/>
    <x v="0"/>
    <s v="Cash"/>
    <n v="3"/>
    <n v="358000"/>
    <n v="0"/>
    <n v="1074000"/>
    <n v="799947.19"/>
    <n v="274052.81"/>
  </r>
  <r>
    <s v="ORD-0291"/>
    <d v="2025-09-14T00:00:00"/>
    <x v="8"/>
    <s v="Q3"/>
    <x v="1"/>
    <x v="5"/>
    <x v="0"/>
    <x v="2"/>
    <s v="Cash"/>
    <n v="8"/>
    <n v="452000"/>
    <n v="0.05"/>
    <n v="3435200"/>
    <n v="2685765.21"/>
    <n v="749434.79"/>
  </r>
  <r>
    <s v="ORD-0093"/>
    <d v="2025-09-14T00:00:00"/>
    <x v="8"/>
    <s v="Q3"/>
    <x v="0"/>
    <x v="1"/>
    <x v="3"/>
    <x v="2"/>
    <s v="POS"/>
    <n v="4"/>
    <n v="31000"/>
    <n v="0.05"/>
    <n v="117800"/>
    <n v="94842.39"/>
    <n v="22957.61"/>
  </r>
  <r>
    <s v="ORD-0160"/>
    <d v="2025-09-14T00:00:00"/>
    <x v="8"/>
    <s v="Q3"/>
    <x v="4"/>
    <x v="0"/>
    <x v="0"/>
    <x v="1"/>
    <s v="Card"/>
    <n v="3"/>
    <n v="517000"/>
    <n v="0"/>
    <n v="1551000"/>
    <n v="1218739.6200000001"/>
    <n v="332260.38"/>
  </r>
  <r>
    <s v="ORD-0214"/>
    <d v="2025-09-15T00:00:00"/>
    <x v="8"/>
    <s v="Q3"/>
    <x v="0"/>
    <x v="7"/>
    <x v="4"/>
    <x v="2"/>
    <s v="Bank Transfer"/>
    <n v="2"/>
    <n v="293000"/>
    <n v="0"/>
    <n v="586000"/>
    <n v="448635.41"/>
    <n v="137364.59"/>
  </r>
  <r>
    <s v="ORD-0015"/>
    <d v="2025-09-16T00:00:00"/>
    <x v="8"/>
    <s v="Q3"/>
    <x v="0"/>
    <x v="0"/>
    <x v="5"/>
    <x v="1"/>
    <s v="Bank Transfer"/>
    <n v="3"/>
    <n v="33000"/>
    <n v="0"/>
    <n v="99000"/>
    <n v="68360.86"/>
    <n v="30639.14"/>
  </r>
  <r>
    <s v="ORD-0081"/>
    <d v="2025-09-18T00:00:00"/>
    <x v="8"/>
    <s v="Q3"/>
    <x v="0"/>
    <x v="4"/>
    <x v="7"/>
    <x v="2"/>
    <s v="POS"/>
    <n v="3"/>
    <n v="202000"/>
    <n v="0"/>
    <n v="606000"/>
    <n v="430777.28"/>
    <n v="175222.72"/>
  </r>
  <r>
    <s v="ORD-0126"/>
    <d v="2025-09-19T00:00:00"/>
    <x v="8"/>
    <s v="Q3"/>
    <x v="1"/>
    <x v="3"/>
    <x v="6"/>
    <x v="0"/>
    <s v="Card"/>
    <n v="2"/>
    <n v="262000"/>
    <n v="0"/>
    <n v="524000"/>
    <n v="406580.45"/>
    <n v="117419.55"/>
  </r>
  <r>
    <s v="ORD-0005"/>
    <d v="2025-09-21T00:00:00"/>
    <x v="8"/>
    <s v="Q3"/>
    <x v="0"/>
    <x v="3"/>
    <x v="3"/>
    <x v="2"/>
    <s v="Bank Transfer"/>
    <n v="1"/>
    <n v="30000"/>
    <n v="0"/>
    <n v="30000"/>
    <n v="20046.150000000001"/>
    <n v="9953.85"/>
  </r>
  <r>
    <s v="ORD-0043"/>
    <d v="2025-09-21T00:00:00"/>
    <x v="8"/>
    <s v="Q3"/>
    <x v="4"/>
    <x v="5"/>
    <x v="0"/>
    <x v="2"/>
    <s v="Bank Transfer"/>
    <n v="1"/>
    <n v="457000"/>
    <n v="0.02"/>
    <n v="447860"/>
    <n v="284049.71000000002"/>
    <n v="163810.29"/>
  </r>
  <r>
    <s v="ORD-0102"/>
    <d v="2025-09-21T00:00:00"/>
    <x v="8"/>
    <s v="Q3"/>
    <x v="0"/>
    <x v="0"/>
    <x v="3"/>
    <x v="0"/>
    <s v="POS"/>
    <n v="3"/>
    <n v="28000"/>
    <n v="0.05"/>
    <n v="79800"/>
    <n v="58361.279999999999"/>
    <n v="21438.720000000001"/>
  </r>
  <r>
    <s v="ORD-0269"/>
    <d v="2025-09-23T00:00:00"/>
    <x v="8"/>
    <s v="Q3"/>
    <x v="4"/>
    <x v="6"/>
    <x v="2"/>
    <x v="0"/>
    <s v="Card"/>
    <n v="3"/>
    <n v="17000"/>
    <n v="0.02"/>
    <n v="49980"/>
    <n v="39864.44"/>
    <n v="10115.56"/>
  </r>
  <r>
    <s v="ORD-0193"/>
    <d v="2025-09-23T00:00:00"/>
    <x v="8"/>
    <s v="Q3"/>
    <x v="1"/>
    <x v="2"/>
    <x v="0"/>
    <x v="1"/>
    <s v="Card"/>
    <n v="2"/>
    <n v="511000"/>
    <n v="0.1"/>
    <n v="919800"/>
    <n v="675692.7"/>
    <n v="244107.3"/>
  </r>
  <r>
    <s v="ORD-0100"/>
    <d v="2025-09-23T00:00:00"/>
    <x v="8"/>
    <s v="Q3"/>
    <x v="0"/>
    <x v="3"/>
    <x v="2"/>
    <x v="1"/>
    <s v="Card"/>
    <n v="2"/>
    <n v="10000"/>
    <n v="0"/>
    <n v="20000"/>
    <n v="15412.98"/>
    <n v="4587.0200000000004"/>
  </r>
  <r>
    <s v="ORD-0146"/>
    <d v="2025-09-24T00:00:00"/>
    <x v="8"/>
    <s v="Q3"/>
    <x v="4"/>
    <x v="0"/>
    <x v="7"/>
    <x v="2"/>
    <s v="POS"/>
    <n v="4"/>
    <n v="331000"/>
    <n v="0.05"/>
    <n v="1257800"/>
    <n v="1019484.29"/>
    <n v="238315.71"/>
  </r>
  <r>
    <s v="ORD-0240"/>
    <d v="2025-09-25T00:00:00"/>
    <x v="8"/>
    <s v="Q3"/>
    <x v="4"/>
    <x v="0"/>
    <x v="3"/>
    <x v="2"/>
    <s v="Card"/>
    <n v="2"/>
    <n v="47000"/>
    <n v="0.05"/>
    <n v="89300"/>
    <n v="72591.55"/>
    <n v="16708.45"/>
  </r>
  <r>
    <s v="ORD-0035"/>
    <d v="2025-09-26T00:00:00"/>
    <x v="8"/>
    <s v="Q3"/>
    <x v="2"/>
    <x v="5"/>
    <x v="0"/>
    <x v="2"/>
    <s v="Card"/>
    <n v="3"/>
    <n v="662000"/>
    <n v="0.02"/>
    <n v="1946280"/>
    <n v="1489329.01"/>
    <n v="456950.99"/>
  </r>
  <r>
    <s v="ORD-0184"/>
    <d v="2025-09-26T00:00:00"/>
    <x v="8"/>
    <s v="Q3"/>
    <x v="4"/>
    <x v="5"/>
    <x v="3"/>
    <x v="1"/>
    <s v="POS"/>
    <n v="2"/>
    <n v="31000"/>
    <n v="0"/>
    <n v="62000"/>
    <n v="46092.73"/>
    <n v="15907.27"/>
  </r>
  <r>
    <s v="ORD-0248"/>
    <d v="2025-09-30T00:00:00"/>
    <x v="8"/>
    <s v="Q3"/>
    <x v="1"/>
    <x v="6"/>
    <x v="2"/>
    <x v="0"/>
    <s v="Cash"/>
    <n v="3"/>
    <n v="12000"/>
    <n v="0"/>
    <n v="36000"/>
    <n v="26476.2"/>
    <n v="9523.7999999999993"/>
  </r>
  <r>
    <s v="ORD-0025"/>
    <d v="2025-10-04T00:00:00"/>
    <x v="9"/>
    <s v="Q4"/>
    <x v="0"/>
    <x v="0"/>
    <x v="2"/>
    <x v="1"/>
    <s v="Cash"/>
    <n v="2"/>
    <n v="22000"/>
    <n v="0.02"/>
    <n v="43120"/>
    <n v="28780.44"/>
    <n v="14339.56"/>
  </r>
  <r>
    <s v="ORD-0279"/>
    <d v="2025-10-05T00:00:00"/>
    <x v="9"/>
    <s v="Q4"/>
    <x v="4"/>
    <x v="1"/>
    <x v="7"/>
    <x v="1"/>
    <s v="Card"/>
    <n v="8"/>
    <n v="192000"/>
    <n v="0"/>
    <n v="1536000"/>
    <n v="1070749.26"/>
    <n v="465250.74"/>
  </r>
  <r>
    <s v="ORD-0136"/>
    <d v="2025-10-05T00:00:00"/>
    <x v="9"/>
    <s v="Q4"/>
    <x v="2"/>
    <x v="0"/>
    <x v="1"/>
    <x v="0"/>
    <s v="POS"/>
    <n v="2"/>
    <n v="249000"/>
    <n v="0"/>
    <n v="498000"/>
    <n v="383828.4"/>
    <n v="114171.6"/>
  </r>
  <r>
    <s v="ORD-0281"/>
    <d v="2025-10-07T00:00:00"/>
    <x v="9"/>
    <s v="Q4"/>
    <x v="2"/>
    <x v="1"/>
    <x v="6"/>
    <x v="1"/>
    <s v="Cash"/>
    <n v="3"/>
    <n v="634000"/>
    <n v="0"/>
    <n v="1902000"/>
    <n v="1400049.88"/>
    <n v="501950.12"/>
  </r>
  <r>
    <s v="ORD-0090"/>
    <d v="2025-10-09T00:00:00"/>
    <x v="9"/>
    <s v="Q4"/>
    <x v="0"/>
    <x v="1"/>
    <x v="4"/>
    <x v="0"/>
    <s v="Bank Transfer"/>
    <n v="1"/>
    <n v="297000"/>
    <n v="0.02"/>
    <n v="291060"/>
    <n v="213376.57"/>
    <n v="77683.429999999993"/>
  </r>
  <r>
    <s v="ORD-0050"/>
    <d v="2025-10-10T00:00:00"/>
    <x v="9"/>
    <s v="Q4"/>
    <x v="3"/>
    <x v="1"/>
    <x v="5"/>
    <x v="1"/>
    <s v="Bank Transfer"/>
    <n v="5"/>
    <n v="67000"/>
    <n v="0"/>
    <n v="335000"/>
    <n v="222612.62"/>
    <n v="112387.38"/>
  </r>
  <r>
    <s v="ORD-0047"/>
    <d v="2025-10-11T00:00:00"/>
    <x v="9"/>
    <s v="Q4"/>
    <x v="2"/>
    <x v="0"/>
    <x v="0"/>
    <x v="1"/>
    <s v="Bank Transfer"/>
    <n v="8"/>
    <n v="471000"/>
    <n v="0.05"/>
    <n v="3579600"/>
    <n v="2473435.7200000002"/>
    <n v="1106164.28"/>
  </r>
  <r>
    <s v="ORD-0255"/>
    <d v="2025-10-13T00:00:00"/>
    <x v="9"/>
    <s v="Q4"/>
    <x v="0"/>
    <x v="2"/>
    <x v="6"/>
    <x v="1"/>
    <s v="Card"/>
    <n v="1"/>
    <n v="590000"/>
    <n v="0.02"/>
    <n v="578200"/>
    <n v="421010.37"/>
    <n v="157189.63"/>
  </r>
  <r>
    <s v="ORD-0196"/>
    <d v="2025-10-14T00:00:00"/>
    <x v="9"/>
    <s v="Q4"/>
    <x v="0"/>
    <x v="6"/>
    <x v="0"/>
    <x v="2"/>
    <s v="Card"/>
    <n v="1"/>
    <n v="706000"/>
    <n v="0.02"/>
    <n v="691880"/>
    <n v="518937.83"/>
    <n v="172942.17"/>
  </r>
  <r>
    <s v="ORD-0167"/>
    <d v="2025-10-16T00:00:00"/>
    <x v="9"/>
    <s v="Q4"/>
    <x v="3"/>
    <x v="7"/>
    <x v="5"/>
    <x v="1"/>
    <s v="Card"/>
    <n v="4"/>
    <n v="67000"/>
    <n v="0"/>
    <n v="268000"/>
    <n v="208799.35999999999"/>
    <n v="59200.639999999999"/>
  </r>
  <r>
    <s v="ORD-0009"/>
    <d v="2025-10-16T00:00:00"/>
    <x v="9"/>
    <s v="Q4"/>
    <x v="3"/>
    <x v="5"/>
    <x v="4"/>
    <x v="2"/>
    <s v="Card"/>
    <n v="1"/>
    <n v="187000"/>
    <n v="0"/>
    <n v="187000"/>
    <n v="142544.19"/>
    <n v="44455.81"/>
  </r>
  <r>
    <s v="ORD-0084"/>
    <d v="2025-10-18T00:00:00"/>
    <x v="9"/>
    <s v="Q4"/>
    <x v="0"/>
    <x v="1"/>
    <x v="0"/>
    <x v="2"/>
    <s v="Bank Transfer"/>
    <n v="5"/>
    <n v="762000"/>
    <n v="0.05"/>
    <n v="3619500"/>
    <n v="2822874.93"/>
    <n v="796625.07"/>
  </r>
  <r>
    <s v="ORD-0171"/>
    <d v="2025-10-18T00:00:00"/>
    <x v="9"/>
    <s v="Q4"/>
    <x v="0"/>
    <x v="5"/>
    <x v="3"/>
    <x v="1"/>
    <s v="POS"/>
    <n v="3"/>
    <n v="30000"/>
    <n v="0.02"/>
    <n v="88200"/>
    <n v="64309.919999999998"/>
    <n v="23890.080000000002"/>
  </r>
  <r>
    <s v="ORD-0092"/>
    <d v="2025-10-20T00:00:00"/>
    <x v="9"/>
    <s v="Q4"/>
    <x v="3"/>
    <x v="5"/>
    <x v="0"/>
    <x v="0"/>
    <s v="Cash"/>
    <n v="8"/>
    <n v="798000"/>
    <n v="0.02"/>
    <n v="6256320"/>
    <n v="4750612.5"/>
    <n v="1505707.5"/>
  </r>
  <r>
    <s v="ORD-0095"/>
    <d v="2025-10-21T00:00:00"/>
    <x v="9"/>
    <s v="Q4"/>
    <x v="0"/>
    <x v="5"/>
    <x v="2"/>
    <x v="1"/>
    <s v="Cash"/>
    <n v="1"/>
    <n v="21000"/>
    <n v="0"/>
    <n v="21000"/>
    <n v="16646.78"/>
    <n v="4353.22"/>
  </r>
  <r>
    <s v="ORD-0073"/>
    <d v="2025-10-21T00:00:00"/>
    <x v="9"/>
    <s v="Q4"/>
    <x v="4"/>
    <x v="7"/>
    <x v="3"/>
    <x v="2"/>
    <s v="Cash"/>
    <n v="4"/>
    <n v="48000"/>
    <n v="0"/>
    <n v="192000"/>
    <n v="152341.06"/>
    <n v="39658.94"/>
  </r>
  <r>
    <s v="ORD-0085"/>
    <d v="2025-10-22T00:00:00"/>
    <x v="9"/>
    <s v="Q4"/>
    <x v="3"/>
    <x v="0"/>
    <x v="1"/>
    <x v="1"/>
    <s v="Bank Transfer"/>
    <n v="6"/>
    <n v="158000"/>
    <n v="0"/>
    <n v="948000"/>
    <n v="742587.25"/>
    <n v="205412.75"/>
  </r>
  <r>
    <s v="ORD-0294"/>
    <d v="2025-10-22T00:00:00"/>
    <x v="9"/>
    <s v="Q4"/>
    <x v="4"/>
    <x v="7"/>
    <x v="0"/>
    <x v="0"/>
    <s v="Bank Transfer"/>
    <n v="2"/>
    <n v="479000"/>
    <n v="0"/>
    <n v="958000"/>
    <n v="638484.84"/>
    <n v="319515.15999999997"/>
  </r>
  <r>
    <s v="ORD-0177"/>
    <d v="2025-10-25T00:00:00"/>
    <x v="9"/>
    <s v="Q4"/>
    <x v="2"/>
    <x v="4"/>
    <x v="6"/>
    <x v="1"/>
    <s v="Cash"/>
    <n v="4"/>
    <n v="426000"/>
    <n v="0"/>
    <n v="1704000"/>
    <n v="1249820"/>
    <n v="454180"/>
  </r>
  <r>
    <s v="ORD-0186"/>
    <d v="2025-10-27T00:00:00"/>
    <x v="9"/>
    <s v="Q4"/>
    <x v="0"/>
    <x v="1"/>
    <x v="3"/>
    <x v="2"/>
    <s v="Cash"/>
    <n v="4"/>
    <n v="37000"/>
    <n v="0"/>
    <n v="148000"/>
    <n v="93540.21"/>
    <n v="54459.79"/>
  </r>
  <r>
    <s v="ORD-0074"/>
    <d v="2025-10-27T00:00:00"/>
    <x v="9"/>
    <s v="Q4"/>
    <x v="0"/>
    <x v="1"/>
    <x v="4"/>
    <x v="1"/>
    <s v="POS"/>
    <n v="2"/>
    <n v="124000"/>
    <n v="0"/>
    <n v="248000"/>
    <n v="170003.87"/>
    <n v="77996.13"/>
  </r>
  <r>
    <s v="ORD-0115"/>
    <d v="2025-10-30T00:00:00"/>
    <x v="9"/>
    <s v="Q4"/>
    <x v="0"/>
    <x v="0"/>
    <x v="4"/>
    <x v="0"/>
    <s v="POS"/>
    <n v="8"/>
    <n v="305000"/>
    <n v="0.05"/>
    <n v="2318000"/>
    <n v="1757303.72"/>
    <n v="560696.28"/>
  </r>
  <r>
    <s v="ORD-0224"/>
    <d v="2025-10-30T00:00:00"/>
    <x v="9"/>
    <s v="Q4"/>
    <x v="2"/>
    <x v="4"/>
    <x v="2"/>
    <x v="2"/>
    <s v="Card"/>
    <n v="2"/>
    <n v="13000"/>
    <n v="0"/>
    <n v="26000"/>
    <n v="20287.11"/>
    <n v="5712.89"/>
  </r>
  <r>
    <s v="ORD-0250"/>
    <d v="2025-10-30T00:00:00"/>
    <x v="9"/>
    <s v="Q4"/>
    <x v="0"/>
    <x v="7"/>
    <x v="7"/>
    <x v="2"/>
    <s v="Card"/>
    <n v="1"/>
    <n v="123000"/>
    <n v="0"/>
    <n v="123000"/>
    <n v="97573.11"/>
    <n v="25426.89"/>
  </r>
  <r>
    <s v="ORD-0172"/>
    <d v="2025-10-31T00:00:00"/>
    <x v="9"/>
    <s v="Q4"/>
    <x v="1"/>
    <x v="4"/>
    <x v="3"/>
    <x v="2"/>
    <s v="Bank Transfer"/>
    <n v="2"/>
    <n v="39000"/>
    <n v="0"/>
    <n v="78000"/>
    <n v="61828"/>
    <n v="16172"/>
  </r>
  <r>
    <s v="ORD-0055"/>
    <d v="2025-11-01T00:00:00"/>
    <x v="10"/>
    <s v="Q4"/>
    <x v="3"/>
    <x v="7"/>
    <x v="5"/>
    <x v="0"/>
    <s v="Bank Transfer"/>
    <n v="4"/>
    <n v="32000"/>
    <n v="0"/>
    <n v="128000"/>
    <n v="83615.12"/>
    <n v="44384.88"/>
  </r>
  <r>
    <s v="ORD-0233"/>
    <d v="2025-11-01T00:00:00"/>
    <x v="10"/>
    <s v="Q4"/>
    <x v="4"/>
    <x v="2"/>
    <x v="3"/>
    <x v="0"/>
    <s v="POS"/>
    <n v="10"/>
    <n v="34000"/>
    <n v="0"/>
    <n v="340000"/>
    <n v="260110.59"/>
    <n v="79889.41"/>
  </r>
  <r>
    <s v="ORD-0086"/>
    <d v="2025-11-05T00:00:00"/>
    <x v="10"/>
    <s v="Q4"/>
    <x v="2"/>
    <x v="6"/>
    <x v="1"/>
    <x v="1"/>
    <s v="Bank Transfer"/>
    <n v="3"/>
    <n v="173000"/>
    <n v="0"/>
    <n v="519000"/>
    <n v="362415.84"/>
    <n v="156584.16"/>
  </r>
  <r>
    <s v="ORD-0220"/>
    <d v="2025-11-06T00:00:00"/>
    <x v="10"/>
    <s v="Q4"/>
    <x v="3"/>
    <x v="1"/>
    <x v="3"/>
    <x v="2"/>
    <s v="Bank Transfer"/>
    <n v="1"/>
    <n v="46000"/>
    <n v="0"/>
    <n v="46000"/>
    <n v="34619.99"/>
    <n v="11380.01"/>
  </r>
  <r>
    <s v="ORD-0120"/>
    <d v="2025-11-07T00:00:00"/>
    <x v="10"/>
    <s v="Q4"/>
    <x v="4"/>
    <x v="5"/>
    <x v="3"/>
    <x v="2"/>
    <s v="Cash"/>
    <n v="3"/>
    <n v="44000"/>
    <n v="0"/>
    <n v="132000"/>
    <n v="104983.97"/>
    <n v="27016.03"/>
  </r>
  <r>
    <s v="ORD-0219"/>
    <d v="2025-11-08T00:00:00"/>
    <x v="10"/>
    <s v="Q4"/>
    <x v="4"/>
    <x v="5"/>
    <x v="7"/>
    <x v="2"/>
    <s v="Card"/>
    <n v="2"/>
    <n v="217000"/>
    <n v="0"/>
    <n v="434000"/>
    <n v="295606.45"/>
    <n v="138393.54999999999"/>
  </r>
  <r>
    <s v="ORD-0153"/>
    <d v="2025-11-08T00:00:00"/>
    <x v="10"/>
    <s v="Q4"/>
    <x v="2"/>
    <x v="6"/>
    <x v="0"/>
    <x v="2"/>
    <s v="Cash"/>
    <n v="1"/>
    <n v="514000"/>
    <n v="0.02"/>
    <n v="503720"/>
    <n v="345785.1"/>
    <n v="157934.9"/>
  </r>
  <r>
    <s v="ORD-0218"/>
    <d v="2025-11-10T00:00:00"/>
    <x v="10"/>
    <s v="Q4"/>
    <x v="0"/>
    <x v="2"/>
    <x v="3"/>
    <x v="2"/>
    <s v="Card"/>
    <n v="3"/>
    <n v="30000"/>
    <n v="0"/>
    <n v="90000"/>
    <n v="71064.86"/>
    <n v="18935.14"/>
  </r>
  <r>
    <s v="ORD-0211"/>
    <d v="2025-11-11T00:00:00"/>
    <x v="10"/>
    <s v="Q4"/>
    <x v="4"/>
    <x v="5"/>
    <x v="6"/>
    <x v="1"/>
    <s v="Bank Transfer"/>
    <n v="1"/>
    <n v="200000"/>
    <n v="0.02"/>
    <n v="196000"/>
    <n v="125244.46"/>
    <n v="70755.539999999994"/>
  </r>
  <r>
    <s v="ORD-0130"/>
    <d v="2025-11-12T00:00:00"/>
    <x v="10"/>
    <s v="Q4"/>
    <x v="0"/>
    <x v="4"/>
    <x v="4"/>
    <x v="2"/>
    <s v="Card"/>
    <n v="4"/>
    <n v="179000"/>
    <n v="0"/>
    <n v="716000"/>
    <n v="455525.82"/>
    <n v="260474.18"/>
  </r>
  <r>
    <s v="ORD-0027"/>
    <d v="2025-11-13T00:00:00"/>
    <x v="10"/>
    <s v="Q4"/>
    <x v="4"/>
    <x v="4"/>
    <x v="5"/>
    <x v="2"/>
    <s v="Card"/>
    <n v="5"/>
    <n v="53000"/>
    <n v="0"/>
    <n v="265000"/>
    <n v="194875.91"/>
    <n v="70124.09"/>
  </r>
  <r>
    <s v="ORD-0054"/>
    <d v="2025-11-13T00:00:00"/>
    <x v="10"/>
    <s v="Q4"/>
    <x v="0"/>
    <x v="0"/>
    <x v="5"/>
    <x v="1"/>
    <s v="Cash"/>
    <n v="8"/>
    <n v="30000"/>
    <n v="0"/>
    <n v="240000"/>
    <n v="195354.18"/>
    <n v="44645.82"/>
  </r>
  <r>
    <s v="ORD-0036"/>
    <d v="2025-11-14T00:00:00"/>
    <x v="10"/>
    <s v="Q4"/>
    <x v="1"/>
    <x v="2"/>
    <x v="4"/>
    <x v="1"/>
    <s v="Card"/>
    <n v="4"/>
    <n v="219000"/>
    <n v="0"/>
    <n v="876000"/>
    <n v="575415.26"/>
    <n v="300584.74"/>
  </r>
  <r>
    <s v="ORD-0150"/>
    <d v="2025-11-14T00:00:00"/>
    <x v="10"/>
    <s v="Q4"/>
    <x v="3"/>
    <x v="7"/>
    <x v="1"/>
    <x v="2"/>
    <s v="POS"/>
    <n v="6"/>
    <n v="224000"/>
    <n v="0.02"/>
    <n v="1317120"/>
    <n v="1027808.82"/>
    <n v="289311.18"/>
  </r>
  <r>
    <s v="ORD-0234"/>
    <d v="2025-11-23T00:00:00"/>
    <x v="10"/>
    <s v="Q4"/>
    <x v="3"/>
    <x v="2"/>
    <x v="4"/>
    <x v="1"/>
    <s v="Card"/>
    <n v="1"/>
    <n v="146000"/>
    <n v="0"/>
    <n v="146000"/>
    <n v="97848.23"/>
    <n v="48151.77"/>
  </r>
  <r>
    <s v="ORD-0190"/>
    <d v="2025-11-27T00:00:00"/>
    <x v="10"/>
    <s v="Q4"/>
    <x v="1"/>
    <x v="3"/>
    <x v="6"/>
    <x v="2"/>
    <s v="POS"/>
    <n v="2"/>
    <n v="340000"/>
    <n v="0"/>
    <n v="680000"/>
    <n v="454111.53"/>
    <n v="225888.47"/>
  </r>
  <r>
    <s v="ORD-0014"/>
    <d v="2025-11-27T00:00:00"/>
    <x v="10"/>
    <s v="Q4"/>
    <x v="0"/>
    <x v="7"/>
    <x v="6"/>
    <x v="0"/>
    <s v="Cash"/>
    <n v="2"/>
    <n v="229000"/>
    <n v="0"/>
    <n v="458000"/>
    <n v="322112.31"/>
    <n v="135887.69"/>
  </r>
  <r>
    <s v="ORD-0065"/>
    <d v="2025-12-01T00:00:00"/>
    <x v="11"/>
    <s v="Q4"/>
    <x v="4"/>
    <x v="7"/>
    <x v="5"/>
    <x v="1"/>
    <s v="Card"/>
    <n v="10"/>
    <n v="53000"/>
    <n v="0.02"/>
    <n v="519400"/>
    <n v="388162.61"/>
    <n v="131237.39000000001"/>
  </r>
  <r>
    <s v="ORD-0192"/>
    <d v="2025-12-02T00:00:00"/>
    <x v="11"/>
    <s v="Q4"/>
    <x v="0"/>
    <x v="3"/>
    <x v="5"/>
    <x v="2"/>
    <s v="Card"/>
    <n v="6"/>
    <n v="39000"/>
    <n v="0.05"/>
    <n v="222300"/>
    <n v="173657.44"/>
    <n v="48642.559999999998"/>
  </r>
  <r>
    <s v="ORD-0287"/>
    <d v="2025-12-03T00:00:00"/>
    <x v="11"/>
    <s v="Q4"/>
    <x v="3"/>
    <x v="2"/>
    <x v="3"/>
    <x v="0"/>
    <s v="Cash"/>
    <n v="1"/>
    <n v="53000"/>
    <n v="0"/>
    <n v="53000"/>
    <n v="41912"/>
    <n v="11088"/>
  </r>
  <r>
    <s v="ORD-0127"/>
    <d v="2025-12-04T00:00:00"/>
    <x v="11"/>
    <s v="Q4"/>
    <x v="3"/>
    <x v="0"/>
    <x v="1"/>
    <x v="0"/>
    <s v="Cash"/>
    <n v="3"/>
    <n v="203000"/>
    <n v="0"/>
    <n v="609000"/>
    <n v="440337.2"/>
    <n v="168662.8"/>
  </r>
  <r>
    <s v="ORD-0039"/>
    <d v="2025-12-07T00:00:00"/>
    <x v="11"/>
    <s v="Q4"/>
    <x v="4"/>
    <x v="2"/>
    <x v="0"/>
    <x v="1"/>
    <s v="Card"/>
    <n v="4"/>
    <n v="792000"/>
    <n v="0"/>
    <n v="3168000"/>
    <n v="2026147.72"/>
    <n v="1141852.28"/>
  </r>
  <r>
    <s v="ORD-0030"/>
    <d v="2025-12-08T00:00:00"/>
    <x v="11"/>
    <s v="Q4"/>
    <x v="0"/>
    <x v="7"/>
    <x v="7"/>
    <x v="1"/>
    <s v="Bank Transfer"/>
    <n v="3"/>
    <n v="322000"/>
    <n v="0"/>
    <n v="966000"/>
    <n v="717739.4"/>
    <n v="248260.6"/>
  </r>
  <r>
    <s v="ORD-0205"/>
    <d v="2025-12-09T00:00:00"/>
    <x v="11"/>
    <s v="Q4"/>
    <x v="4"/>
    <x v="6"/>
    <x v="5"/>
    <x v="2"/>
    <s v="POS"/>
    <n v="2"/>
    <n v="46000"/>
    <n v="0"/>
    <n v="92000"/>
    <n v="61216.15"/>
    <n v="30783.85"/>
  </r>
  <r>
    <s v="ORD-0020"/>
    <d v="2025-12-12T00:00:00"/>
    <x v="11"/>
    <s v="Q4"/>
    <x v="4"/>
    <x v="6"/>
    <x v="6"/>
    <x v="2"/>
    <s v="Cash"/>
    <n v="4"/>
    <n v="418000"/>
    <n v="0.05"/>
    <n v="1588400"/>
    <n v="1088358.6299999999"/>
    <n v="500041.37"/>
  </r>
  <r>
    <s v="ORD-0053"/>
    <d v="2025-12-14T00:00:00"/>
    <x v="11"/>
    <s v="Q4"/>
    <x v="2"/>
    <x v="7"/>
    <x v="0"/>
    <x v="1"/>
    <s v="Card"/>
    <n v="1"/>
    <n v="497000"/>
    <n v="0.02"/>
    <n v="487060"/>
    <n v="374650.92"/>
    <n v="112409.08"/>
  </r>
  <r>
    <s v="ORD-0125"/>
    <d v="2025-12-15T00:00:00"/>
    <x v="11"/>
    <s v="Q4"/>
    <x v="3"/>
    <x v="1"/>
    <x v="5"/>
    <x v="0"/>
    <s v="Bank Transfer"/>
    <n v="4"/>
    <n v="74000"/>
    <n v="0"/>
    <n v="296000"/>
    <n v="207293.55"/>
    <n v="88706.45"/>
  </r>
  <r>
    <s v="ORD-0227"/>
    <d v="2025-12-15T00:00:00"/>
    <x v="11"/>
    <s v="Q4"/>
    <x v="4"/>
    <x v="4"/>
    <x v="6"/>
    <x v="0"/>
    <s v="Bank Transfer"/>
    <n v="2"/>
    <n v="622000"/>
    <n v="0"/>
    <n v="1244000"/>
    <n v="988415.29"/>
    <n v="255584.71"/>
  </r>
  <r>
    <s v="ORD-0226"/>
    <d v="2025-12-16T00:00:00"/>
    <x v="11"/>
    <s v="Q4"/>
    <x v="1"/>
    <x v="1"/>
    <x v="6"/>
    <x v="1"/>
    <s v="Cash"/>
    <n v="10"/>
    <n v="445000"/>
    <n v="0"/>
    <n v="4450000"/>
    <n v="3382224.24"/>
    <n v="1067775.76"/>
  </r>
  <r>
    <s v="ORD-0270"/>
    <d v="2025-12-16T00:00:00"/>
    <x v="11"/>
    <s v="Q4"/>
    <x v="0"/>
    <x v="2"/>
    <x v="6"/>
    <x v="1"/>
    <s v="POS"/>
    <n v="3"/>
    <n v="260000"/>
    <n v="0.02"/>
    <n v="764400"/>
    <n v="554953.1"/>
    <n v="209446.9"/>
  </r>
  <r>
    <s v="ORD-0077"/>
    <d v="2025-12-16T00:00:00"/>
    <x v="11"/>
    <s v="Q4"/>
    <x v="0"/>
    <x v="7"/>
    <x v="6"/>
    <x v="0"/>
    <s v="Cash"/>
    <n v="3"/>
    <n v="351000"/>
    <n v="0.05"/>
    <n v="1000350"/>
    <n v="637800.68000000005"/>
    <n v="362549.32"/>
  </r>
  <r>
    <s v="ORD-0154"/>
    <d v="2025-12-16T00:00:00"/>
    <x v="11"/>
    <s v="Q4"/>
    <x v="2"/>
    <x v="5"/>
    <x v="3"/>
    <x v="1"/>
    <s v="POS"/>
    <n v="1"/>
    <n v="17000"/>
    <n v="0"/>
    <n v="17000"/>
    <n v="12112.92"/>
    <n v="4887.08"/>
  </r>
  <r>
    <s v="ORD-0251"/>
    <d v="2025-12-21T00:00:00"/>
    <x v="11"/>
    <s v="Q4"/>
    <x v="0"/>
    <x v="7"/>
    <x v="4"/>
    <x v="2"/>
    <s v="Card"/>
    <n v="8"/>
    <n v="270000"/>
    <n v="0.05"/>
    <n v="2052000"/>
    <n v="1586632.98"/>
    <n v="465367.02"/>
  </r>
  <r>
    <s v="ORD-0292"/>
    <d v="2025-12-21T00:00:00"/>
    <x v="11"/>
    <s v="Q4"/>
    <x v="4"/>
    <x v="3"/>
    <x v="1"/>
    <x v="0"/>
    <s v="Card"/>
    <n v="2"/>
    <n v="104000"/>
    <n v="0"/>
    <n v="208000"/>
    <n v="131706.01"/>
    <n v="76293.990000000005"/>
  </r>
  <r>
    <s v="ORD-0152"/>
    <d v="2025-12-22T00:00:00"/>
    <x v="11"/>
    <s v="Q4"/>
    <x v="1"/>
    <x v="1"/>
    <x v="6"/>
    <x v="0"/>
    <s v="Cash"/>
    <n v="6"/>
    <n v="254000"/>
    <n v="0"/>
    <n v="1524000"/>
    <n v="1242323.73"/>
    <n v="281676.27"/>
  </r>
  <r>
    <s v="ORD-0061"/>
    <d v="2025-12-24T00:00:00"/>
    <x v="11"/>
    <s v="Q4"/>
    <x v="2"/>
    <x v="7"/>
    <x v="6"/>
    <x v="0"/>
    <s v="Card"/>
    <n v="6"/>
    <n v="206000"/>
    <n v="0.05"/>
    <n v="1174200"/>
    <n v="962777.7"/>
    <n v="211422.3"/>
  </r>
  <r>
    <s v="ORD-0056"/>
    <d v="2025-12-24T00:00:00"/>
    <x v="11"/>
    <s v="Q4"/>
    <x v="4"/>
    <x v="4"/>
    <x v="3"/>
    <x v="2"/>
    <s v="Bank Transfer"/>
    <n v="1"/>
    <n v="51000"/>
    <n v="0"/>
    <n v="51000"/>
    <n v="41314.199999999997"/>
    <n v="9685.7999999999993"/>
  </r>
  <r>
    <s v="ORD-0122"/>
    <d v="2025-12-25T00:00:00"/>
    <x v="11"/>
    <s v="Q4"/>
    <x v="4"/>
    <x v="2"/>
    <x v="3"/>
    <x v="2"/>
    <s v="Cash"/>
    <n v="10"/>
    <n v="49000"/>
    <n v="0.05"/>
    <n v="465500"/>
    <n v="327504.09000000003"/>
    <n v="137995.91"/>
  </r>
  <r>
    <s v="ORD-0213"/>
    <d v="2025-12-26T00:00:00"/>
    <x v="11"/>
    <s v="Q4"/>
    <x v="4"/>
    <x v="7"/>
    <x v="5"/>
    <x v="1"/>
    <s v="Cash"/>
    <n v="4"/>
    <n v="32000"/>
    <n v="0"/>
    <n v="128000"/>
    <n v="100915.16"/>
    <n v="27084.84"/>
  </r>
  <r>
    <s v="ORD-0273"/>
    <d v="2025-12-26T00:00:00"/>
    <x v="11"/>
    <s v="Q4"/>
    <x v="2"/>
    <x v="0"/>
    <x v="2"/>
    <x v="2"/>
    <s v="Card"/>
    <n v="5"/>
    <n v="26000"/>
    <n v="0.05"/>
    <n v="123500"/>
    <n v="87215.33"/>
    <n v="36284.67"/>
  </r>
  <r>
    <s v="ORD-0188"/>
    <d v="2025-12-26T00:00:00"/>
    <x v="11"/>
    <s v="Q4"/>
    <x v="1"/>
    <x v="2"/>
    <x v="7"/>
    <x v="0"/>
    <s v="Card"/>
    <n v="2"/>
    <n v="175000"/>
    <n v="0"/>
    <n v="350000"/>
    <n v="286473.84999999998"/>
    <n v="63526.15"/>
  </r>
  <r>
    <s v="ORD-0068"/>
    <d v="2025-12-26T00:00:00"/>
    <x v="11"/>
    <s v="Q4"/>
    <x v="3"/>
    <x v="2"/>
    <x v="6"/>
    <x v="0"/>
    <s v="Cash"/>
    <n v="1"/>
    <n v="240000"/>
    <n v="0"/>
    <n v="240000"/>
    <n v="179561.99"/>
    <n v="60438.01"/>
  </r>
  <r>
    <s v="ORD-0261"/>
    <d v="2025-12-27T00:00:00"/>
    <x v="11"/>
    <s v="Q4"/>
    <x v="4"/>
    <x v="7"/>
    <x v="4"/>
    <x v="2"/>
    <s v="Bank Transfer"/>
    <n v="4"/>
    <n v="232000"/>
    <n v="0.1"/>
    <n v="835200"/>
    <n v="618156.75"/>
    <n v="217043.25"/>
  </r>
  <r>
    <s v="ORD-0262"/>
    <d v="2025-12-28T00:00:00"/>
    <x v="11"/>
    <s v="Q4"/>
    <x v="2"/>
    <x v="1"/>
    <x v="6"/>
    <x v="1"/>
    <s v="Cash"/>
    <n v="3"/>
    <n v="350000"/>
    <n v="0"/>
    <n v="1050000"/>
    <n v="680405.06"/>
    <n v="369594.94"/>
  </r>
  <r>
    <s v="ORD-0264"/>
    <d v="2025-12-29T00:00:00"/>
    <x v="11"/>
    <s v="Q4"/>
    <x v="0"/>
    <x v="2"/>
    <x v="0"/>
    <x v="2"/>
    <s v="Card"/>
    <n v="5"/>
    <n v="585000"/>
    <n v="0.02"/>
    <n v="2866500"/>
    <n v="2071142.41"/>
    <n v="795357.59"/>
  </r>
  <r>
    <s v="ORD-0246"/>
    <d v="2025-12-30T00:00:00"/>
    <x v="11"/>
    <s v="Q4"/>
    <x v="4"/>
    <x v="1"/>
    <x v="5"/>
    <x v="2"/>
    <s v="Bank Transfer"/>
    <n v="4"/>
    <n v="24000"/>
    <n v="0.1"/>
    <n v="86400"/>
    <n v="69142.399999999994"/>
    <n v="17257.599999999999"/>
  </r>
  <r>
    <s v="ORD-0119"/>
    <d v="2025-12-30T00:00:00"/>
    <x v="11"/>
    <s v="Q4"/>
    <x v="4"/>
    <x v="0"/>
    <x v="6"/>
    <x v="1"/>
    <s v="Card"/>
    <n v="4"/>
    <n v="216000"/>
    <n v="0"/>
    <n v="864000"/>
    <n v="660919.69999999995"/>
    <n v="203080.3"/>
  </r>
  <r>
    <s v="ORD-0076"/>
    <d v="2025-12-31T00:00:00"/>
    <x v="11"/>
    <s v="Q4"/>
    <x v="0"/>
    <x v="2"/>
    <x v="6"/>
    <x v="2"/>
    <s v="Bank Transfer"/>
    <n v="3"/>
    <n v="350000"/>
    <n v="0.02"/>
    <n v="1029000"/>
    <n v="711264.71"/>
    <n v="317735.28999999998"/>
  </r>
  <r>
    <s v="ORD-0072"/>
    <d v="2025-12-31T00:00:00"/>
    <x v="11"/>
    <s v="Q4"/>
    <x v="0"/>
    <x v="6"/>
    <x v="4"/>
    <x v="2"/>
    <s v="Cash"/>
    <n v="3"/>
    <n v="231000"/>
    <n v="0"/>
    <n v="693000"/>
    <n v="493767.31"/>
    <n v="199232.69"/>
  </r>
  <r>
    <m/>
    <m/>
    <x v="12"/>
    <m/>
    <x v="5"/>
    <x v="8"/>
    <x v="8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A1AAF-3785-4096-B053-1EE84B56D69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3:B19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7">
        <item x="4"/>
        <item x="1"/>
        <item x="2"/>
        <item x="0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677DD-DF6E-4B4B-8C31-C23D9C4FBD0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F3:G1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5"/>
        <item x="3"/>
        <item x="0"/>
        <item x="1"/>
        <item x="2"/>
        <item x="7"/>
        <item x="6"/>
        <item x="4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9">
    <i>
      <x v="4"/>
    </i>
    <i>
      <x v="1"/>
    </i>
    <i>
      <x/>
    </i>
    <i>
      <x v="5"/>
    </i>
    <i>
      <x v="7"/>
    </i>
    <i>
      <x v="3"/>
    </i>
    <i>
      <x v="2"/>
    </i>
    <i>
      <x v="6"/>
    </i>
    <i t="grand">
      <x/>
    </i>
  </rowItems>
  <colItems count="1">
    <i/>
  </colItems>
  <dataFields count="1">
    <dataField name="Sum of Sales_NGN" fld="12" baseField="6" baseItem="3" numFmtId="165"/>
  </dataFields>
  <formats count="2">
    <format dxfId="3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A8AC3-5B95-4731-AACE-D8D1BD2F367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9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7">
        <item x="4"/>
        <item x="1"/>
        <item x="2"/>
        <item x="0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Sales_NGN" fld="12" baseField="0" baseItem="0"/>
  </dataFields>
  <formats count="2">
    <format dxfId="28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27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DD255-BE00-488C-A88A-D952C4FAF4F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Month">
  <location ref="A3:B16" firstHeaderRow="1" firstDataRow="1" firstDataCol="1"/>
  <pivotFields count="15"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NGN" fld="12" baseField="0" baseItem="0" numFmtId="168"/>
  </dataFields>
  <formats count="2">
    <format dxfId="26">
      <pivotArea outline="0" collapsedLevelsAreSubtotals="1" fieldPosition="0"/>
    </format>
    <format dxfId="25">
      <pivotArea dataOnly="0" labelOnly="1" outline="0" axis="axisValues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F5D9B-62B6-4E02-9884-E46AFFC340B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">
  <location ref="A3:D12" firstHeaderRow="0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10">
        <item x="2"/>
        <item x="5"/>
        <item x="0"/>
        <item x="6"/>
        <item x="4"/>
        <item x="1"/>
        <item x="3"/>
        <item x="7"/>
        <item h="1"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</pivotFields>
  <rowFields count="1">
    <field x="5"/>
  </rowFields>
  <rowItems count="9">
    <i>
      <x v="5"/>
    </i>
    <i>
      <x v="7"/>
    </i>
    <i>
      <x v="1"/>
    </i>
    <i>
      <x/>
    </i>
    <i>
      <x v="2"/>
    </i>
    <i>
      <x v="4"/>
    </i>
    <i>
      <x v="3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9" baseField="0" baseItem="0"/>
    <dataField name="Sum of Sales_NGN" fld="12" baseField="0" baseItem="0" numFmtId="165"/>
    <dataField name="Sum of Profit_NGN" fld="14" baseField="0" baseItem="0" numFmtId="165"/>
  </dataFields>
  <formats count="4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3E452-A8E3-4C05-A8D3-F834A44FD74E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9" baseField="0" baseItem="0"/>
    <dataField name="Sum of Sales_NGN" fld="12" baseField="0" baseItem="0" numFmtId="166"/>
    <dataField name="Sum of Profit_NGN" fld="14" baseField="0" baseItem="0"/>
  </dataFields>
  <formats count="4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606D2-2994-4D25-8967-C4E069325E2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NGN" fld="12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18E303-2B40-4E2A-ABC4-216D0024A5F2}" name="Table3" displayName="Table3" ref="A3:O62" totalsRowShown="0">
  <autoFilter ref="A3:O62" xr:uid="{A618E303-2B40-4E2A-ABC4-216D0024A5F2}"/>
  <tableColumns count="15">
    <tableColumn id="1" xr3:uid="{A8D33589-6924-4586-8BA2-41929A332367}" name="Order_ID"/>
    <tableColumn id="2" xr3:uid="{1BE34CF7-7D1C-4879-A0DF-995A6859E283}" name="Order_Date" dataDxfId="2"/>
    <tableColumn id="3" xr3:uid="{55418A84-04F5-407A-932B-8F11D4C8B0A5}" name="Month"/>
    <tableColumn id="4" xr3:uid="{65A207D0-B266-43E8-995E-7F29EEF4040D}" name="Quarter"/>
    <tableColumn id="5" xr3:uid="{C84F3808-DBED-434D-95CD-85A3BB3AA028}" name="Region"/>
    <tableColumn id="6" xr3:uid="{499176BC-5852-40D7-97F9-C3531FC8332C}" name="Sales_Rep"/>
    <tableColumn id="7" xr3:uid="{68E58699-86E7-42AB-BEB1-13EC4F625569}" name="Product"/>
    <tableColumn id="8" xr3:uid="{B9A5AEFB-898D-4553-AB98-BD328C6812AD}" name="Sales_Channel"/>
    <tableColumn id="9" xr3:uid="{F57BCC4E-D4CC-44C1-B89F-3C9E73B21E2C}" name="Payment_Method"/>
    <tableColumn id="10" xr3:uid="{53A845A3-9F5B-483B-889D-A1CB29348655}" name="Quantity"/>
    <tableColumn id="11" xr3:uid="{F191F1F2-42EA-440A-8B8F-E9CB72B62C5A}" name="Unit_Price_NGN"/>
    <tableColumn id="12" xr3:uid="{FE2B2E54-5C39-4B46-9C08-89CAB4CA1CCB}" name="Discount_Rate"/>
    <tableColumn id="13" xr3:uid="{D0F7168F-54F2-4519-B45E-000E08243D4F}" name="Sales_NGN"/>
    <tableColumn id="14" xr3:uid="{651E99DA-72CB-4FE9-BD76-054F7A4B884C}" name="Cost_NGN"/>
    <tableColumn id="15" xr3:uid="{AE16076C-0E4F-4EEB-8C48-24EE07FF3250}" name="Profit_NG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9C83CF-DE7C-4079-8CBB-851BDE7E84EB}" name="Table5" displayName="Table5" ref="A3:O62" totalsRowShown="0">
  <autoFilter ref="A3:O62" xr:uid="{509C83CF-DE7C-4079-8CBB-851BDE7E84EB}"/>
  <tableColumns count="15">
    <tableColumn id="1" xr3:uid="{AE7B5034-32A5-491A-BB47-E8C3F0E72740}" name="Order_ID"/>
    <tableColumn id="2" xr3:uid="{3EA807EA-5F82-47AD-8010-653BE559F320}" name="Order_Date" dataDxfId="1"/>
    <tableColumn id="3" xr3:uid="{D10DD2A6-B8B6-45AF-81B5-15712DC74BD0}" name="Month"/>
    <tableColumn id="4" xr3:uid="{CAE351DC-6E6A-4568-967E-3698F8181266}" name="Quarter"/>
    <tableColumn id="5" xr3:uid="{B85A31E1-ADDC-4037-BA82-E08E2373EFE2}" name="Region"/>
    <tableColumn id="6" xr3:uid="{00CA4B79-4A53-4CCF-831E-B3A4D8FBC6EB}" name="Sales_Rep"/>
    <tableColumn id="7" xr3:uid="{D06645AC-BA1B-4F7F-9D64-4556D4DFA005}" name="Product"/>
    <tableColumn id="8" xr3:uid="{E5D9D25D-F682-45DA-8A34-233249745E9E}" name="Sales_Channel"/>
    <tableColumn id="9" xr3:uid="{04965D5E-7139-422F-AD22-06134584091B}" name="Payment_Method"/>
    <tableColumn id="10" xr3:uid="{C83A845D-4CBF-482A-9382-A93AABE28B23}" name="Quantity"/>
    <tableColumn id="11" xr3:uid="{1CDE924A-C656-482A-9192-83F5775409CA}" name="Unit_Price_NGN"/>
    <tableColumn id="12" xr3:uid="{CBD50CEB-7146-4C5B-832C-BED9B75D39ED}" name="Discount_Rate"/>
    <tableColumn id="13" xr3:uid="{5CE5F86D-E35F-46CE-9D33-C4BFEBFB98E3}" name="Sales_NGN"/>
    <tableColumn id="14" xr3:uid="{0B9B63F1-F88B-483C-8C82-0ABB8ECBF852}" name="Cost_NGN"/>
    <tableColumn id="15" xr3:uid="{8D9A12A1-48B9-4345-99C7-C293E3D3AAD3}" name="Profit_NG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8634A1-AD1A-431F-B9C1-0DB6533C1E44}" name="Table6" displayName="Table6" ref="A3:O99" totalsRowShown="0">
  <autoFilter ref="A3:O99" xr:uid="{CA8634A1-AD1A-431F-B9C1-0DB6533C1E44}"/>
  <tableColumns count="15">
    <tableColumn id="1" xr3:uid="{04168193-C0A6-4B63-A071-F534A44E2C9E}" name="Order_ID"/>
    <tableColumn id="2" xr3:uid="{77118669-8616-4D53-ABE5-84E0858B3C39}" name="Order_Date" dataDxfId="0"/>
    <tableColumn id="3" xr3:uid="{3F5E6635-229D-4C12-B46A-629300778403}" name="Month"/>
    <tableColumn id="4" xr3:uid="{C6553BA9-3111-45A5-9CB3-C44D9A0672E5}" name="Quarter"/>
    <tableColumn id="5" xr3:uid="{467F6DCE-75F1-47BB-99B5-6921CDC0E9E4}" name="Region"/>
    <tableColumn id="6" xr3:uid="{41BD0CFD-B467-41D6-9B48-B005BD1C34B7}" name="Sales_Rep"/>
    <tableColumn id="7" xr3:uid="{A37529F1-90B7-4201-9147-E109F416B95C}" name="Product"/>
    <tableColumn id="8" xr3:uid="{8386A54B-2DAD-43FD-BB94-AC0E240EAFA4}" name="Sales_Channel"/>
    <tableColumn id="9" xr3:uid="{553A6D2A-DEA8-4370-BF1B-36F60A04DE68}" name="Payment_Method"/>
    <tableColumn id="10" xr3:uid="{05103591-461A-4D09-9F3A-A510DB7FEA74}" name="Quantity"/>
    <tableColumn id="11" xr3:uid="{7B6DB8CD-5BC2-4BE7-BA77-0161B1AC9DD2}" name="Unit_Price_NGN"/>
    <tableColumn id="12" xr3:uid="{E6150B7C-BE68-440F-9AFA-71A0EF3061D3}" name="Discount_Rate"/>
    <tableColumn id="13" xr3:uid="{62C7C6A1-DFFA-473B-87DC-2D8ECB3D75C2}" name="Sales_NGN"/>
    <tableColumn id="14" xr3:uid="{F7FFBDF4-04C3-4EFD-ABEF-B61EF41A3216}" name="Cost_NGN"/>
    <tableColumn id="15" xr3:uid="{E561A3B4-37AA-4529-BC42-D76462DF8492}" name="Profit_NG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FC5E8-504D-405A-A56F-A477C1BB451B}" name="salesData" displayName="salesData" ref="A1:O301" totalsRowShown="0" headerRowDxfId="16" headerRowBorderDxfId="15" tableBorderDxfId="14">
  <autoFilter ref="A1:O301" xr:uid="{00000000-0009-0000-0000-000000000000}"/>
  <tableColumns count="15">
    <tableColumn id="1" xr3:uid="{8371E481-2CE4-4223-ACB6-39DD44F49E1A}" name="Order_ID"/>
    <tableColumn id="2" xr3:uid="{CFEF3C03-0C5A-4D2F-9F97-1DC1AD4F8CC8}" name="Order_Date" dataDxfId="13"/>
    <tableColumn id="3" xr3:uid="{3852D71E-37A4-4E01-8B4F-0ACD3F793EEE}" name="Month"/>
    <tableColumn id="4" xr3:uid="{C0F6428D-16A9-4E75-9FBF-78D72CF5F520}" name="Quarter"/>
    <tableColumn id="5" xr3:uid="{DFDA1CFD-FDEF-454A-AC63-F91D395FE88C}" name="Region"/>
    <tableColumn id="6" xr3:uid="{0F69140F-027C-4F88-8D8F-F315F4F4BCF9}" name="Sales_Rep"/>
    <tableColumn id="7" xr3:uid="{D96DBED7-4B33-44B1-B6D7-CE6026CF451C}" name="Product"/>
    <tableColumn id="8" xr3:uid="{08B483D1-9BD4-4E82-BBAB-90719B646E3C}" name="Sales_Channel" dataDxfId="12"/>
    <tableColumn id="9" xr3:uid="{CBF1C2AB-EA11-48EF-80D0-4A23EA47172A}" name="Payment_Method"/>
    <tableColumn id="10" xr3:uid="{2AA95DDE-703D-4136-BDEB-85C8846EE0B4}" name="Quantity"/>
    <tableColumn id="11" xr3:uid="{53B6A2EB-7BB9-4260-B1B3-C99964C0D9CE}" name="Unit_Price_NGN" dataDxfId="11"/>
    <tableColumn id="12" xr3:uid="{AF404E40-8525-4A01-B386-3434219DB754}" name="Discount_Rate" dataDxfId="10"/>
    <tableColumn id="13" xr3:uid="{8ED0B924-13CC-4A56-A7D7-943B25A30E3A}" name="Sales_NGN" dataDxfId="9"/>
    <tableColumn id="14" xr3:uid="{4E32CC65-020F-4BF4-BDA9-653D4A0C3029}" name="Cost_NGN" dataDxfId="8"/>
    <tableColumn id="15" xr3:uid="{485F166B-5FA7-404A-A39F-33AEA2692A3D}" name="Profit_NGN" dataDxf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345FC3-78F9-42B1-8F80-DF1CE137FA9E}" name="Table4" displayName="Table4" ref="A1:B8" totalsRowShown="0" headerRowDxfId="6">
  <autoFilter ref="A1:B8" xr:uid="{7C345FC3-78F9-42B1-8F80-DF1CE137FA9E}"/>
  <tableColumns count="2">
    <tableColumn id="1" xr3:uid="{ED3ED682-A755-4F19-B90B-182045B1E009}" name="KPI"/>
    <tableColumn id="2" xr3:uid="{2926CCE8-296F-493F-9EB8-243B36EDC511}" name="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49EBF-5B80-4829-AA8E-0157006AD495}" name="Table2" displayName="Table2" ref="A1:XFD1048575" totalsRowShown="0">
  <autoFilter ref="A1:XFD1048575" xr:uid="{57A49EBF-5B80-4829-AA8E-0157006AD495}"/>
  <tableColumns count="16384">
    <tableColumn id="1" xr3:uid="{12547AE3-C3AA-4F17-B55F-0952C04A0CE1}" name="Field" dataDxfId="5"/>
    <tableColumn id="2" xr3:uid="{752E438A-E5D4-499D-AA13-697ED161AAD6}" name="Meaning"/>
    <tableColumn id="3" xr3:uid="{4FC94CCA-4EAA-4726-AC45-FA2B77CACB4E}" name="Use in Analysis"/>
    <tableColumn id="4" xr3:uid="{4B6D29C6-A723-44FD-A420-5DB7CADF99E5}" name="Column1"/>
    <tableColumn id="5" xr3:uid="{E55F3EFA-1D83-4E0F-BE68-07EA26B42634}" name="Column2"/>
    <tableColumn id="6" xr3:uid="{D6A598E8-517E-482B-89F9-DE6399B6607C}" name="Column3"/>
    <tableColumn id="7" xr3:uid="{9EC3B3D4-6514-4809-8BF1-D393DFB946AA}" name="Column4"/>
    <tableColumn id="8" xr3:uid="{E02076E9-3768-4C86-9867-05CDDC9DE989}" name="Column5"/>
    <tableColumn id="9" xr3:uid="{E30CEBD1-E40A-4E32-A1CF-D5EF8C0C96F7}" name="Column6"/>
    <tableColumn id="10" xr3:uid="{F1BF1C23-1021-4782-9400-BCCEEAB8FBDD}" name="Column7"/>
    <tableColumn id="11" xr3:uid="{73A43188-2C47-4F84-AFAD-A771208EE782}" name="Column8"/>
    <tableColumn id="12" xr3:uid="{DBEA1CB8-7794-4424-AFEC-CD562EE09567}" name="Column9"/>
    <tableColumn id="13" xr3:uid="{49C7A7B2-FDA3-46D1-A528-6EB30F3027DB}" name="Column10"/>
    <tableColumn id="14" xr3:uid="{DB8D3C4A-6007-4C74-82BC-8C73EF8A4C39}" name="Column11"/>
    <tableColumn id="15" xr3:uid="{79CD82A4-0428-441A-BB2C-A680E731F3E7}" name="Column12"/>
    <tableColumn id="16" xr3:uid="{365E227D-AFC2-41A1-9B28-3ABEAEEEB52A}" name="Column13"/>
    <tableColumn id="17" xr3:uid="{6BC985FF-44B6-4DFF-A9B9-CD1C85BF2886}" name="Column14"/>
    <tableColumn id="18" xr3:uid="{940CF608-ED1F-445C-B2DA-3572530BCB45}" name="Column15"/>
    <tableColumn id="19" xr3:uid="{581F40B7-54DE-46BF-B661-A4CD63B54CEB}" name="Column16"/>
    <tableColumn id="20" xr3:uid="{14CCFE57-09B3-41DE-8D65-20CF475ECA27}" name="Column17"/>
    <tableColumn id="21" xr3:uid="{7E7F18EF-46CF-450B-B6A2-B4777409F5AF}" name="Column18"/>
    <tableColumn id="22" xr3:uid="{C085896A-403C-4719-B68E-8C5A944D92BD}" name="Column19"/>
    <tableColumn id="23" xr3:uid="{04B558A7-DAA2-40D9-A220-7C0CCB1EB04E}" name="Column20"/>
    <tableColumn id="24" xr3:uid="{66611000-E73E-4086-9C2C-2B183A1610BB}" name="Column21"/>
    <tableColumn id="25" xr3:uid="{DFB37C01-A823-43D4-8D43-9442B1BA4A5C}" name="Column22"/>
    <tableColumn id="26" xr3:uid="{356C5F16-05D2-48BF-969A-EF64FCA7F407}" name="Column23"/>
    <tableColumn id="27" xr3:uid="{FB8CDD15-D616-4427-9CE8-00E4970D2A74}" name="Column24"/>
    <tableColumn id="28" xr3:uid="{50B76D05-CFAF-49FD-9DFC-7CAEB4370A93}" name="Column25"/>
    <tableColumn id="29" xr3:uid="{DA010AB5-4EC8-408B-9ADD-41C7C51F7806}" name="Column26"/>
    <tableColumn id="30" xr3:uid="{F127AA34-013A-4CF2-BCFC-0F4D56E0B30B}" name="Column27"/>
    <tableColumn id="31" xr3:uid="{B665DB15-98A2-4EAC-BABC-CA60263DA0AB}" name="Column28"/>
    <tableColumn id="32" xr3:uid="{8B4CA6E6-7268-4F93-A38B-8B5AE6264D58}" name="Column29"/>
    <tableColumn id="33" xr3:uid="{4D0650FA-618D-4FCF-9F23-1515FD166DB5}" name="Column30"/>
    <tableColumn id="34" xr3:uid="{6C3C93CA-8144-4CE0-ACC6-F0968019B513}" name="Column31"/>
    <tableColumn id="35" xr3:uid="{CA7BE9C5-4603-4A90-92F9-6F8B8F96DA8E}" name="Column32"/>
    <tableColumn id="36" xr3:uid="{3F89BF41-E872-4980-82E0-E14CDA5497CF}" name="Column33"/>
    <tableColumn id="37" xr3:uid="{FDF4126E-4729-4A75-90F7-1A9B453A5511}" name="Column34"/>
    <tableColumn id="38" xr3:uid="{90C656E6-5A60-4D75-8214-1316966AFEBE}" name="Column35"/>
    <tableColumn id="39" xr3:uid="{E5E5E73B-0992-490A-81D1-32C1C15CB96F}" name="Column36"/>
    <tableColumn id="40" xr3:uid="{BBAFDE06-DEC0-49AB-B0B4-0C8DD40750CE}" name="Column37"/>
    <tableColumn id="41" xr3:uid="{742F23C5-BFAA-49E1-ADF2-E0C7FA2DCCF3}" name="Column38"/>
    <tableColumn id="42" xr3:uid="{2A492FBA-8B1A-404D-B642-05F7503BCE58}" name="Column39"/>
    <tableColumn id="43" xr3:uid="{B0396783-9638-4760-A9D2-B08FF51E4DC7}" name="Column40"/>
    <tableColumn id="44" xr3:uid="{F6930576-38CB-49AF-9F48-1919E7EFFBAF}" name="Column41"/>
    <tableColumn id="45" xr3:uid="{CD276FFE-A95B-407B-A69C-594AC39351E3}" name="Column42"/>
    <tableColumn id="46" xr3:uid="{99C4E432-DF79-4BC5-BB5D-6822F50E7003}" name="Column43"/>
    <tableColumn id="47" xr3:uid="{827C434A-BD78-4E13-927B-E0D43001C392}" name="Column44"/>
    <tableColumn id="48" xr3:uid="{0AA94550-A39F-4439-8BEC-42E8C1715A38}" name="Column45"/>
    <tableColumn id="49" xr3:uid="{F4BA2F0E-7B68-475C-9F5B-144BB3999145}" name="Column46"/>
    <tableColumn id="50" xr3:uid="{EEACCE0C-8959-4A75-9E6B-250588F998B5}" name="Column47"/>
    <tableColumn id="51" xr3:uid="{7179F882-B24F-4B5D-80A7-DB4FB6C8F3C3}" name="Column48"/>
    <tableColumn id="52" xr3:uid="{5EAD0302-9D37-4121-9251-26F190664A59}" name="Column49"/>
    <tableColumn id="53" xr3:uid="{26C245A7-D42C-4EC8-8F92-7E308CDA9998}" name="Column50"/>
    <tableColumn id="54" xr3:uid="{BFA71B04-94E1-4471-BF06-095D64DB46E7}" name="Column51"/>
    <tableColumn id="55" xr3:uid="{06FA7C56-4280-4140-A527-E382830C0B3D}" name="Column52"/>
    <tableColumn id="56" xr3:uid="{9276E9D0-65D2-454E-AC81-F3540C078D26}" name="Column53"/>
    <tableColumn id="57" xr3:uid="{3208FB0F-ECA5-4919-BD75-355CE9AC685D}" name="Column54"/>
    <tableColumn id="58" xr3:uid="{5B20F1AC-50B6-457C-94E7-23380AE9936B}" name="Column55"/>
    <tableColumn id="59" xr3:uid="{A7EC3AC2-1695-4C83-BF5B-B50F903D730D}" name="Column56"/>
    <tableColumn id="60" xr3:uid="{30CF5BB1-885A-4B4B-AFF2-263764CD277D}" name="Column57"/>
    <tableColumn id="61" xr3:uid="{A1F3A278-3796-4163-AB56-A3CC0CB34C44}" name="Column58"/>
    <tableColumn id="62" xr3:uid="{88766EBB-68D2-4E06-8EE6-0700611DB744}" name="Column59"/>
    <tableColumn id="63" xr3:uid="{66675B62-0CF4-49D9-B6A2-EE5A7FF8878A}" name="Column60"/>
    <tableColumn id="64" xr3:uid="{A13FD224-5900-4616-BB92-78280583FBFF}" name="Column61"/>
    <tableColumn id="65" xr3:uid="{8F7AFBE3-077B-4A24-AE8B-9E5D69AD2473}" name="Column62"/>
    <tableColumn id="66" xr3:uid="{8302B299-AB4A-4753-AE3B-D9F7C740AECC}" name="Column63"/>
    <tableColumn id="67" xr3:uid="{B6B1B3DC-46BD-42F6-851D-7A289C84BA59}" name="Column64"/>
    <tableColumn id="68" xr3:uid="{64A37A27-F91A-46D7-95A2-3D915F4609DB}" name="Column65"/>
    <tableColumn id="69" xr3:uid="{7CA99C17-4425-4FD0-9C6D-E8A51C48C4B2}" name="Column66"/>
    <tableColumn id="70" xr3:uid="{A7234A8F-23A6-42B9-A27A-0C1B2D290965}" name="Column67"/>
    <tableColumn id="71" xr3:uid="{9BB013C6-6579-43BA-81E4-02E6FA3185EF}" name="Column68"/>
    <tableColumn id="72" xr3:uid="{ED52E326-9B97-4371-918F-F0EFF78124E8}" name="Column69"/>
    <tableColumn id="73" xr3:uid="{E32577D7-59BD-42CA-B0BD-5B0B73F7E82B}" name="Column70"/>
    <tableColumn id="74" xr3:uid="{519E6E94-BE28-440F-BF25-220BE79BF1F7}" name="Column71"/>
    <tableColumn id="75" xr3:uid="{BD54DE80-B4D2-4FA5-9A59-88743A21FBD6}" name="Column72"/>
    <tableColumn id="76" xr3:uid="{5A023C88-5794-4D26-AE7B-4332715B3B9B}" name="Column73"/>
    <tableColumn id="77" xr3:uid="{5D69E763-24F3-4E61-A738-6D1BB32B646D}" name="Column74"/>
    <tableColumn id="78" xr3:uid="{1B31BEC0-38CB-40FD-AA2A-50178C50F768}" name="Column75"/>
    <tableColumn id="79" xr3:uid="{46E8C08B-0B09-4F6F-B4AC-306D022BFA67}" name="Column76"/>
    <tableColumn id="80" xr3:uid="{83892975-5DF2-4082-97F0-FEBEE1B16F96}" name="Column77"/>
    <tableColumn id="81" xr3:uid="{56835A29-F1B8-4082-BA63-0990C83CEBF7}" name="Column78"/>
    <tableColumn id="82" xr3:uid="{8E217BEF-8F2D-4262-9C8C-BF198C362DE7}" name="Column79"/>
    <tableColumn id="83" xr3:uid="{903FFE16-CB45-43F8-8624-600F7C5EB525}" name="Column80"/>
    <tableColumn id="84" xr3:uid="{059A20C0-FBE4-4F8B-9B0C-A48F9B72F272}" name="Column81"/>
    <tableColumn id="85" xr3:uid="{98045DDB-8FC2-4119-B5F2-2CABD64DE5DD}" name="Column82"/>
    <tableColumn id="86" xr3:uid="{D3383C0F-2CDF-4EF9-A283-011726150031}" name="Column83"/>
    <tableColumn id="87" xr3:uid="{C32C6219-5826-4666-AF16-6A876DD429E7}" name="Column84"/>
    <tableColumn id="88" xr3:uid="{E267C8A8-1937-4B15-A5E1-A62A4D56ED46}" name="Column85"/>
    <tableColumn id="89" xr3:uid="{B19E2A03-3CC0-4828-BEE4-7E24C1E26225}" name="Column86"/>
    <tableColumn id="90" xr3:uid="{0E7B201B-EDE4-4EE9-902F-69E43FF5F389}" name="Column87"/>
    <tableColumn id="91" xr3:uid="{F6561184-D107-4155-B1D6-1333662CDA2B}" name="Column88"/>
    <tableColumn id="92" xr3:uid="{348B1F23-D506-44F6-A5E3-AEEC0A65D539}" name="Column89"/>
    <tableColumn id="93" xr3:uid="{AC50AB62-C095-41FD-88BA-493B3F504505}" name="Column90"/>
    <tableColumn id="94" xr3:uid="{48F7F571-F4DC-46CC-88C2-92AF9962C09A}" name="Column91"/>
    <tableColumn id="95" xr3:uid="{D4F47899-8E77-48B7-BC49-5165638B8785}" name="Column92"/>
    <tableColumn id="96" xr3:uid="{FA823990-B96C-4851-960F-AB8105DFDBC9}" name="Column93"/>
    <tableColumn id="97" xr3:uid="{96149838-B941-49C8-9DC5-D8028494EA2B}" name="Column94"/>
    <tableColumn id="98" xr3:uid="{A2B0FB90-9B19-4535-8357-A7785455257B}" name="Column95"/>
    <tableColumn id="99" xr3:uid="{6D3C25AA-E7CA-4E18-9D5C-C1DBCD00A605}" name="Column96"/>
    <tableColumn id="100" xr3:uid="{9CEFC2AE-659B-406E-ACA4-A7BA384300EB}" name="Column97"/>
    <tableColumn id="101" xr3:uid="{6AC14FC4-D897-4C4B-851A-D23994A1B1F2}" name="Column98"/>
    <tableColumn id="102" xr3:uid="{F787C6A2-838B-4219-8934-759F7788AC3F}" name="Column99"/>
    <tableColumn id="103" xr3:uid="{AFC47F6B-8277-490B-8FEC-444CD2601AD2}" name="Column100"/>
    <tableColumn id="104" xr3:uid="{9CD860BB-D58A-4A84-AAF8-0CBDB0A4D3B3}" name="Column101"/>
    <tableColumn id="105" xr3:uid="{0FE0A2ED-4BA8-4E08-BE48-17BD2C374E37}" name="Column102"/>
    <tableColumn id="106" xr3:uid="{B4BEB8E9-FFDE-4A2F-940E-8436D6572359}" name="Column103"/>
    <tableColumn id="107" xr3:uid="{D253DEA9-2DB3-497A-B4D8-7C6A476AAED0}" name="Column104"/>
    <tableColumn id="108" xr3:uid="{8B10F07B-FAA6-4B0F-A6C0-DB22AC8A080A}" name="Column105"/>
    <tableColumn id="109" xr3:uid="{FDF9BBB7-ED9D-411B-9462-D4411B6AA259}" name="Column106"/>
    <tableColumn id="110" xr3:uid="{623ED21E-785B-447D-B296-5BBC2E0D35B9}" name="Column107"/>
    <tableColumn id="111" xr3:uid="{F6751DE3-2668-4885-A55D-83603C0EFCDE}" name="Column108"/>
    <tableColumn id="112" xr3:uid="{D31C9464-F59B-40E9-A2E0-D5F351091112}" name="Column109"/>
    <tableColumn id="113" xr3:uid="{3A189AB4-3427-46CD-A226-94585DBC6E8B}" name="Column110"/>
    <tableColumn id="114" xr3:uid="{5858B1A8-FA42-4F25-BAB1-BD435F62CB53}" name="Column111"/>
    <tableColumn id="115" xr3:uid="{E13045EC-4778-4DAF-A201-CA77D092D730}" name="Column112"/>
    <tableColumn id="116" xr3:uid="{4190C069-25C2-4CE7-BC9A-BCD6425F2984}" name="Column113"/>
    <tableColumn id="117" xr3:uid="{5670D599-E51B-4D52-AC89-FACA29BD6D62}" name="Column114"/>
    <tableColumn id="118" xr3:uid="{31A9BE1D-A5BC-4705-8E4E-E913033CA7D4}" name="Column115"/>
    <tableColumn id="119" xr3:uid="{D16D9322-CF39-4741-A41D-F35E0859FA77}" name="Column116"/>
    <tableColumn id="120" xr3:uid="{AC56AD77-2D58-490A-ADD3-35452954CCF1}" name="Column117"/>
    <tableColumn id="121" xr3:uid="{C6FAEDC2-6C3F-4E64-BAA0-3A9DF26F9009}" name="Column118"/>
    <tableColumn id="122" xr3:uid="{E947C624-B0A4-443A-A4A0-B08F086471D0}" name="Column119"/>
    <tableColumn id="123" xr3:uid="{5DB59025-F139-4D7A-950B-5E433C073491}" name="Column120"/>
    <tableColumn id="124" xr3:uid="{007B969A-5239-4897-AC10-1B39B07B6DA1}" name="Column121"/>
    <tableColumn id="125" xr3:uid="{3C09FB02-B3B1-43C0-A51A-24844572A9FD}" name="Column122"/>
    <tableColumn id="126" xr3:uid="{29A8BB6B-5D71-46AF-A16B-218E6CBD5F48}" name="Column123"/>
    <tableColumn id="127" xr3:uid="{1291F341-A3B0-48CE-B1BB-B173C7EC9F94}" name="Column124"/>
    <tableColumn id="128" xr3:uid="{F790A7CF-A863-43C1-80DD-D6359B5BC775}" name="Column125"/>
    <tableColumn id="129" xr3:uid="{64C71FFC-B6D1-4F0D-9900-BF11676D507C}" name="Column126"/>
    <tableColumn id="130" xr3:uid="{0833B582-042D-4C36-A6B1-32E28E84B88D}" name="Column127"/>
    <tableColumn id="131" xr3:uid="{CD936491-F5C4-4B64-9BE8-E7303875B2AE}" name="Column128"/>
    <tableColumn id="132" xr3:uid="{4690997D-1D0F-4810-A6A2-45ED196E22A9}" name="Column129"/>
    <tableColumn id="133" xr3:uid="{C0071652-081C-4D37-B14E-A17D0A38D541}" name="Column130"/>
    <tableColumn id="134" xr3:uid="{4E76B140-D3FD-4FD7-B488-0A650C784621}" name="Column131"/>
    <tableColumn id="135" xr3:uid="{3919AC28-0B5C-4A9A-A113-A7D5DA078CC7}" name="Column132"/>
    <tableColumn id="136" xr3:uid="{13135D09-021E-44B4-BBDB-786CCCBB7D27}" name="Column133"/>
    <tableColumn id="137" xr3:uid="{83C4A6D3-739C-4426-9BFA-6143004C60AE}" name="Column134"/>
    <tableColumn id="138" xr3:uid="{69FE3DF6-65CB-40E2-8B02-A836E0060B61}" name="Column135"/>
    <tableColumn id="139" xr3:uid="{9F1676BC-6720-4830-A9D1-56879B2C16F4}" name="Column136"/>
    <tableColumn id="140" xr3:uid="{B10F6D58-E8B1-4718-BF22-35D03C68F5E5}" name="Column137"/>
    <tableColumn id="141" xr3:uid="{DD738427-AB10-430E-9D67-1446535285E6}" name="Column138"/>
    <tableColumn id="142" xr3:uid="{CB0B5763-5337-4329-9AEC-D5CF847638D6}" name="Column139"/>
    <tableColumn id="143" xr3:uid="{9E916BAF-87ED-457A-AA81-0578235DAE6E}" name="Column140"/>
    <tableColumn id="144" xr3:uid="{27BA8D2F-A624-40DE-BE39-30EECA7AA015}" name="Column141"/>
    <tableColumn id="145" xr3:uid="{E4543342-5EEA-4915-AF70-E680F4C5BCFB}" name="Column142"/>
    <tableColumn id="146" xr3:uid="{CE7C4156-CDA0-4A61-B993-637C43C025BC}" name="Column143"/>
    <tableColumn id="147" xr3:uid="{F88AD602-D0BD-4BC0-B851-40C73B130E35}" name="Column144"/>
    <tableColumn id="148" xr3:uid="{6423623F-8091-4B8E-9511-BEB5B827B456}" name="Column145"/>
    <tableColumn id="149" xr3:uid="{6651E89B-80E3-4A78-8358-65A62D7195A6}" name="Column146"/>
    <tableColumn id="150" xr3:uid="{3D37C858-EB6C-41A3-A21A-DE04AD8F859D}" name="Column147"/>
    <tableColumn id="151" xr3:uid="{32909374-3347-416C-B7EB-FD6B837EE1A8}" name="Column148"/>
    <tableColumn id="152" xr3:uid="{9318BD19-8325-4AC8-8020-5FD598C7DAD5}" name="Column149"/>
    <tableColumn id="153" xr3:uid="{00F64308-6181-482B-BA87-A598059FE90B}" name="Column150"/>
    <tableColumn id="154" xr3:uid="{C1956195-C89B-4031-A748-D23FB9867D87}" name="Column151"/>
    <tableColumn id="155" xr3:uid="{B6CE726D-9201-4878-B067-90FC06A078E4}" name="Column152"/>
    <tableColumn id="156" xr3:uid="{CF583A99-454D-4812-AC2B-B1203696ED83}" name="Column153"/>
    <tableColumn id="157" xr3:uid="{B133E06B-7C02-443B-8A07-851BE83A912A}" name="Column154"/>
    <tableColumn id="158" xr3:uid="{15C90515-CFCE-4A26-B2AE-FF8DC4FB87F5}" name="Column155"/>
    <tableColumn id="159" xr3:uid="{B63CF4C4-35CD-4501-9D89-4584459CCF36}" name="Column156"/>
    <tableColumn id="160" xr3:uid="{2E59D41E-FB3D-4887-8501-2D93A541428A}" name="Column157"/>
    <tableColumn id="161" xr3:uid="{83585E10-4A67-4496-A8FA-E9754FEE50F8}" name="Column158"/>
    <tableColumn id="162" xr3:uid="{54E8C581-6D41-4A54-9D45-70283A81E460}" name="Column159"/>
    <tableColumn id="163" xr3:uid="{F21D91E2-99FA-4C7B-892F-3B171505B7BE}" name="Column160"/>
    <tableColumn id="164" xr3:uid="{64C1F7DB-1014-43BC-9091-BE5266CE84B0}" name="Column161"/>
    <tableColumn id="165" xr3:uid="{162E4747-02D9-45A9-91E4-3BBC0FD5775E}" name="Column162"/>
    <tableColumn id="166" xr3:uid="{65D74531-865F-4681-9CCB-69256F29B3E1}" name="Column163"/>
    <tableColumn id="167" xr3:uid="{7EA7171D-335F-4EB1-AF81-13474EC48F9E}" name="Column164"/>
    <tableColumn id="168" xr3:uid="{B12BB44D-BAB5-481E-B080-8C75CF4DF59F}" name="Column165"/>
    <tableColumn id="169" xr3:uid="{882CC116-1ED1-468A-AF9F-F67D5A2D0D19}" name="Column166"/>
    <tableColumn id="170" xr3:uid="{261BBBE4-BB2B-4CB8-A27B-73803E650A62}" name="Column167"/>
    <tableColumn id="171" xr3:uid="{A3AB0F1C-50D9-424E-AE0F-FFC8BA85337D}" name="Column168"/>
    <tableColumn id="172" xr3:uid="{589D9FB3-077F-4EF6-857D-A52B4A120178}" name="Column169"/>
    <tableColumn id="173" xr3:uid="{8E378EE4-79F7-4144-90B9-6E9AA142A7CD}" name="Column170"/>
    <tableColumn id="174" xr3:uid="{73EF1A2B-95A9-4C94-825F-38F50782EEA1}" name="Column171"/>
    <tableColumn id="175" xr3:uid="{A728256B-6318-4CA0-B346-1FC26B1BFD47}" name="Column172"/>
    <tableColumn id="176" xr3:uid="{181CAB12-3DFA-49DC-A20C-4AE0CADFEE23}" name="Column173"/>
    <tableColumn id="177" xr3:uid="{EFA57587-5928-4F8C-AFAD-54886794A3AA}" name="Column174"/>
    <tableColumn id="178" xr3:uid="{BCBBAC9F-A54F-4607-A42B-CBC12D41D6C6}" name="Column175"/>
    <tableColumn id="179" xr3:uid="{9D25D097-27D7-407A-AF22-E21937C07EBD}" name="Column176"/>
    <tableColumn id="180" xr3:uid="{4C9039C9-5BF9-4CA5-892A-C7B90F6276E1}" name="Column177"/>
    <tableColumn id="181" xr3:uid="{D9042398-187D-4C20-92C4-6D11AB79229E}" name="Column178"/>
    <tableColumn id="182" xr3:uid="{30FF06A4-2A45-4DCA-BE27-4E6B130F66E7}" name="Column179"/>
    <tableColumn id="183" xr3:uid="{BAB0F8F1-2DA8-46A4-83A8-0FB74DDAE96C}" name="Column180"/>
    <tableColumn id="184" xr3:uid="{607030E3-1096-4842-9446-F5804A0F0045}" name="Column181"/>
    <tableColumn id="185" xr3:uid="{21772682-5BB2-47F4-8C35-78A70B85F71D}" name="Column182"/>
    <tableColumn id="186" xr3:uid="{9A73E448-A731-4E83-9750-2C6D3FDE3714}" name="Column183"/>
    <tableColumn id="187" xr3:uid="{892D9DA3-D7F8-46CD-80F7-276034C999F6}" name="Column184"/>
    <tableColumn id="188" xr3:uid="{8D966D0E-BA9C-49F6-8130-8B02DD85E0D7}" name="Column185"/>
    <tableColumn id="189" xr3:uid="{227B604E-4124-4574-AEC7-2ABF5A7F93C4}" name="Column186"/>
    <tableColumn id="190" xr3:uid="{039DDFFF-22D1-4F97-903B-4ACAE589A3C5}" name="Column187"/>
    <tableColumn id="191" xr3:uid="{BE361999-2D46-4499-AD64-4B07CC5FA5EC}" name="Column188"/>
    <tableColumn id="192" xr3:uid="{33F7F41F-B590-42AB-9371-694EFD29BBF5}" name="Column189"/>
    <tableColumn id="193" xr3:uid="{D008E3E2-7B57-4E8A-8706-0A46A6B89640}" name="Column190"/>
    <tableColumn id="194" xr3:uid="{DBB6DC3A-5791-4DD1-A674-396AF869FAEA}" name="Column191"/>
    <tableColumn id="195" xr3:uid="{5C1A5A4F-3F17-48AA-9AAB-76B923FA8D64}" name="Column192"/>
    <tableColumn id="196" xr3:uid="{741B4451-9A4C-42C7-921F-5CA4219E0176}" name="Column193"/>
    <tableColumn id="197" xr3:uid="{41F3DFEE-D7CA-4F00-BC7B-07EA837D3EA8}" name="Column194"/>
    <tableColumn id="198" xr3:uid="{4A452BDB-2881-4004-9B9D-30600499D960}" name="Column195"/>
    <tableColumn id="199" xr3:uid="{6EA49F3D-50DC-4100-A0B8-EB15D31662E3}" name="Column196"/>
    <tableColumn id="200" xr3:uid="{64101543-5865-475B-9DDE-DA922ECEC4EA}" name="Column197"/>
    <tableColumn id="201" xr3:uid="{27D6B1D4-836E-4A1A-89D0-6ED343282149}" name="Column198"/>
    <tableColumn id="202" xr3:uid="{B6785C44-2F8B-4C63-8E5C-0861E148F8F0}" name="Column199"/>
    <tableColumn id="203" xr3:uid="{861F69C1-7C3E-4DD5-8A79-4E073E23391C}" name="Column200"/>
    <tableColumn id="204" xr3:uid="{698E7F30-BE98-44AF-A00A-F1118DABD298}" name="Column201"/>
    <tableColumn id="205" xr3:uid="{36ECC601-8B88-456E-9538-A6ABA92276F3}" name="Column202"/>
    <tableColumn id="206" xr3:uid="{E865FD06-B176-414D-88F1-6A03B02145AA}" name="Column203"/>
    <tableColumn id="207" xr3:uid="{1635CDAF-E457-4A2E-A3C4-883212BED164}" name="Column204"/>
    <tableColumn id="208" xr3:uid="{DA9DB59C-7CB3-4B9A-B858-42F5927AB0E1}" name="Column205"/>
    <tableColumn id="209" xr3:uid="{F3BC1824-F72A-4545-80A7-665D6EC71FAF}" name="Column206"/>
    <tableColumn id="210" xr3:uid="{77F3C0BE-4CA1-47EE-9E37-7A016F0AD0C4}" name="Column207"/>
    <tableColumn id="211" xr3:uid="{EBABB814-4630-4AF4-96E4-7FEA17226D52}" name="Column208"/>
    <tableColumn id="212" xr3:uid="{1BBE254E-9B40-46EC-8C0F-21CE87AC169E}" name="Column209"/>
    <tableColumn id="213" xr3:uid="{172D3D55-1676-4199-ABEC-15BD4C6A3A18}" name="Column210"/>
    <tableColumn id="214" xr3:uid="{DA335AAA-A455-41FD-A09C-D48FE6373E2C}" name="Column211"/>
    <tableColumn id="215" xr3:uid="{BDCDA3A0-EC69-479A-80F4-C7D66874A330}" name="Column212"/>
    <tableColumn id="216" xr3:uid="{E3AEACCF-8018-4B38-B329-3C55F4949664}" name="Column213"/>
    <tableColumn id="217" xr3:uid="{6C6E2C70-C35C-406B-B6AB-55CB963D4A40}" name="Column214"/>
    <tableColumn id="218" xr3:uid="{2D0F73BD-62B6-46B2-8FC2-71F88802A9B6}" name="Column215"/>
    <tableColumn id="219" xr3:uid="{128088C5-FD04-4785-9BB6-2684FBF9A234}" name="Column216"/>
    <tableColumn id="220" xr3:uid="{4A5F9313-E23B-4ECD-9A19-1C00C1B738C6}" name="Column217"/>
    <tableColumn id="221" xr3:uid="{38B50AF5-F2E7-48CD-8439-49D7C0694B52}" name="Column218"/>
    <tableColumn id="222" xr3:uid="{58BD5E3F-783B-4D75-9291-AFB9D8E48A61}" name="Column219"/>
    <tableColumn id="223" xr3:uid="{DA4825B9-0AB1-4D43-A7E1-37572CB31552}" name="Column220"/>
    <tableColumn id="224" xr3:uid="{6D9059F1-9F88-495E-9DCD-842D2865F2DE}" name="Column221"/>
    <tableColumn id="225" xr3:uid="{055B2999-ADD8-4B7E-A67B-899A85E0414D}" name="Column222"/>
    <tableColumn id="226" xr3:uid="{DA7DDCCD-91E9-46E5-BF7A-727E020C6439}" name="Column223"/>
    <tableColumn id="227" xr3:uid="{7B9EF72F-BE9D-4F19-8F36-B74AF215450E}" name="Column224"/>
    <tableColumn id="228" xr3:uid="{F560D965-948A-4255-BCD9-D9898010ED6E}" name="Column225"/>
    <tableColumn id="229" xr3:uid="{A1C5AA44-A7CE-42EA-8CB7-A75DD984CA0B}" name="Column226"/>
    <tableColumn id="230" xr3:uid="{24547910-2FD8-4F22-A0B4-9BCB2EA8D1DD}" name="Column227"/>
    <tableColumn id="231" xr3:uid="{6F26DE74-052A-4DAF-889C-112CC8D565ED}" name="Column228"/>
    <tableColumn id="232" xr3:uid="{C12D45E0-0885-4C0C-9ACE-8DD19FFADAAB}" name="Column229"/>
    <tableColumn id="233" xr3:uid="{FDE925C4-9A46-432D-8615-A558FC500227}" name="Column230"/>
    <tableColumn id="234" xr3:uid="{3FA30CF9-F70C-4BF4-BB48-AECF178FD4F1}" name="Column231"/>
    <tableColumn id="235" xr3:uid="{65E946FE-6844-4625-A5C5-604398564BF8}" name="Column232"/>
    <tableColumn id="236" xr3:uid="{BCEF2343-9A6E-44EA-AF8A-44660C52B942}" name="Column233"/>
    <tableColumn id="237" xr3:uid="{049D7A65-5A44-491A-A88C-333F18D26D28}" name="Column234"/>
    <tableColumn id="238" xr3:uid="{40F25E62-1844-417A-8B7F-3FF9D53FA0AE}" name="Column235"/>
    <tableColumn id="239" xr3:uid="{2B6CBE54-063B-42E5-99CF-8B019C7042B1}" name="Column236"/>
    <tableColumn id="240" xr3:uid="{1808F27A-ABAF-49BA-BF22-81FD147C3A45}" name="Column237"/>
    <tableColumn id="241" xr3:uid="{9B9E6485-E7B2-4151-815D-D490A17F6869}" name="Column238"/>
    <tableColumn id="242" xr3:uid="{C9CFDD35-AB4D-41DB-8310-8EB71D58024E}" name="Column239"/>
    <tableColumn id="243" xr3:uid="{E5F27497-5274-4B88-AB53-FCD70310D823}" name="Column240"/>
    <tableColumn id="244" xr3:uid="{E6111CC0-BD40-424F-9479-D7E362F221AD}" name="Column241"/>
    <tableColumn id="245" xr3:uid="{BC6B070E-BFC0-41C5-9FD7-9A34EE758AF6}" name="Column242"/>
    <tableColumn id="246" xr3:uid="{717429BA-99A6-4E96-A8D7-0BE8D67F713E}" name="Column243"/>
    <tableColumn id="247" xr3:uid="{4FA428F1-EEF4-4A84-8A51-2CEA60B90521}" name="Column244"/>
    <tableColumn id="248" xr3:uid="{40B3EEC8-3E94-4F34-932D-2E2278A44956}" name="Column245"/>
    <tableColumn id="249" xr3:uid="{E801E735-114A-4662-B38E-803CE5AA981E}" name="Column246"/>
    <tableColumn id="250" xr3:uid="{3C6B1B1D-9172-4E0A-A6CC-B1CC1963746E}" name="Column247"/>
    <tableColumn id="251" xr3:uid="{D6479C57-F354-486B-ABDF-909420258D2E}" name="Column248"/>
    <tableColumn id="252" xr3:uid="{1F689869-5FBA-4C57-B6EE-FB9D6390AD9E}" name="Column249"/>
    <tableColumn id="253" xr3:uid="{2C964C65-5F21-4109-8883-51D9DDD60622}" name="Column250"/>
    <tableColumn id="254" xr3:uid="{661D3C15-47D8-4EDE-AD5D-005876EBF6AB}" name="Column251"/>
    <tableColumn id="255" xr3:uid="{C6467FF7-3BC9-448F-9E33-312A9CC38F77}" name="Column252"/>
    <tableColumn id="256" xr3:uid="{04435203-9355-4E3D-BE46-22F9AF3214D6}" name="Column253"/>
    <tableColumn id="257" xr3:uid="{7DAA1444-02B2-42C8-AA40-9ED787F8C684}" name="Column254"/>
    <tableColumn id="258" xr3:uid="{049498B6-E4E6-452E-B103-26BD2B088ACA}" name="Column255"/>
    <tableColumn id="259" xr3:uid="{B22C0BFF-5025-4D7D-B84A-6186CF1C33DB}" name="Column256"/>
    <tableColumn id="260" xr3:uid="{31903425-B19F-4A80-99D0-191D99D0D6A1}" name="Column257"/>
    <tableColumn id="261" xr3:uid="{6411017E-195A-44E8-B6CA-82094CB55B68}" name="Column258"/>
    <tableColumn id="262" xr3:uid="{1E4BF643-0627-4AA6-B26C-F00F8269359D}" name="Column259"/>
    <tableColumn id="263" xr3:uid="{12FB43B6-AA04-40F1-9691-643D15D43175}" name="Column260"/>
    <tableColumn id="264" xr3:uid="{B4173C04-2799-44C5-AC9A-F74FA7BC1495}" name="Column261"/>
    <tableColumn id="265" xr3:uid="{2BDFDD96-04A1-4570-B9A9-230FC39D4ECE}" name="Column262"/>
    <tableColumn id="266" xr3:uid="{38A1F666-FE2D-4600-9A15-B11189D1F266}" name="Column263"/>
    <tableColumn id="267" xr3:uid="{AEFB009F-7BE4-4A25-A5E4-E1FBA340F428}" name="Column264"/>
    <tableColumn id="268" xr3:uid="{9FEAFEBC-8361-4631-9040-06B3374A30A3}" name="Column265"/>
    <tableColumn id="269" xr3:uid="{03979742-10F0-4A9E-9CCD-B199C1869859}" name="Column266"/>
    <tableColumn id="270" xr3:uid="{3CE5FEFD-F2A9-4AFC-8E4A-21A0F0ADD024}" name="Column267"/>
    <tableColumn id="271" xr3:uid="{58ED7A6A-85C7-4F8B-8AD1-BA45398259BC}" name="Column268"/>
    <tableColumn id="272" xr3:uid="{703C5986-8962-4E96-8EBE-E438B00BDAC4}" name="Column269"/>
    <tableColumn id="273" xr3:uid="{827EEE07-86BA-46A1-BB9B-ACEEAED5C652}" name="Column270"/>
    <tableColumn id="274" xr3:uid="{7AB3F2B3-64A9-497C-B1E8-4B5B466CD515}" name="Column271"/>
    <tableColumn id="275" xr3:uid="{C364BD32-EA63-43B9-9699-5D3B2F70E9F3}" name="Column272"/>
    <tableColumn id="276" xr3:uid="{A0DBBFA1-0051-4400-9014-6D4CE2373718}" name="Column273"/>
    <tableColumn id="277" xr3:uid="{1071115C-C735-4761-BF8E-1C86858A51A5}" name="Column274"/>
    <tableColumn id="278" xr3:uid="{E6A49777-7182-4980-BB89-D15EFDFAF7A6}" name="Column275"/>
    <tableColumn id="279" xr3:uid="{0C16970F-0C34-413E-BBCE-A393FE9BBBFB}" name="Column276"/>
    <tableColumn id="280" xr3:uid="{AA79DD93-C2B5-484A-9808-CC99752AF316}" name="Column277"/>
    <tableColumn id="281" xr3:uid="{EB3678B0-25F6-4E64-90DE-569642E4F780}" name="Column278"/>
    <tableColumn id="282" xr3:uid="{3E779668-19E2-471B-A245-3CD5DBF0B37E}" name="Column279"/>
    <tableColumn id="283" xr3:uid="{92CE4B4F-8266-41F1-BDA0-2FF15C45C929}" name="Column280"/>
    <tableColumn id="284" xr3:uid="{F2E57BC5-58C7-4337-ADF0-6C0DF1C1C874}" name="Column281"/>
    <tableColumn id="285" xr3:uid="{53EA1CAC-D327-4136-AE9A-0604CC8FDA1E}" name="Column282"/>
    <tableColumn id="286" xr3:uid="{BE769267-F788-493E-967E-E0195645E518}" name="Column283"/>
    <tableColumn id="287" xr3:uid="{6545CAB2-9BE2-4317-9AAA-BB3BDC7B7D29}" name="Column284"/>
    <tableColumn id="288" xr3:uid="{B589A795-52C8-408F-9BF0-CB879826C732}" name="Column285"/>
    <tableColumn id="289" xr3:uid="{B985CD9B-1F74-4564-991B-D538F95F06D0}" name="Column286"/>
    <tableColumn id="290" xr3:uid="{7699D987-B5A5-4880-88D7-82D4B0939354}" name="Column287"/>
    <tableColumn id="291" xr3:uid="{1BE652F2-0F3B-40CB-94EC-22C81B8F2FEB}" name="Column288"/>
    <tableColumn id="292" xr3:uid="{FA2C141A-48E4-43F1-8B1C-962A38BFB315}" name="Column289"/>
    <tableColumn id="293" xr3:uid="{8E6439DF-1229-4FEA-82E5-86DC4A3E1194}" name="Column290"/>
    <tableColumn id="294" xr3:uid="{27B2DE64-F52C-41BC-AD5A-660520FAD544}" name="Column291"/>
    <tableColumn id="295" xr3:uid="{0937E0CF-F78B-40F2-8217-78AC8FD0E2B9}" name="Column292"/>
    <tableColumn id="296" xr3:uid="{1DD881DB-0D97-4469-9BE2-8A19BEAFB485}" name="Column293"/>
    <tableColumn id="297" xr3:uid="{6C109C72-46A4-4800-8272-756622E250EC}" name="Column294"/>
    <tableColumn id="298" xr3:uid="{3D3612C3-7247-439E-BCFE-4696363BF9BB}" name="Column295"/>
    <tableColumn id="299" xr3:uid="{25AB6AC8-5CE2-4A7D-9EDE-FF69EC7A2FEA}" name="Column296"/>
    <tableColumn id="300" xr3:uid="{1251B272-6676-414E-A37B-9B22A76C99F8}" name="Column297"/>
    <tableColumn id="301" xr3:uid="{1B8495B3-E6B7-4C60-AC50-76151839B6AD}" name="Column298"/>
    <tableColumn id="302" xr3:uid="{58F38522-358C-4F2D-A04B-C94A76C22374}" name="Column299"/>
    <tableColumn id="303" xr3:uid="{4200A1F6-B116-491D-8496-80484E60860C}" name="Column300"/>
    <tableColumn id="304" xr3:uid="{59211C3C-7E68-4C17-837A-DB158ECFE6E8}" name="Column301"/>
    <tableColumn id="305" xr3:uid="{24D0E97F-CFE2-4AE4-8879-62E603277137}" name="Column302"/>
    <tableColumn id="306" xr3:uid="{5C670DA7-536F-4385-8458-94C20F9A471E}" name="Column303"/>
    <tableColumn id="307" xr3:uid="{51E61756-D846-4B38-A658-7C3731962140}" name="Column304"/>
    <tableColumn id="308" xr3:uid="{FB2413CF-66BE-4731-A463-43FC76764A17}" name="Column305"/>
    <tableColumn id="309" xr3:uid="{78C67106-9FFB-4C27-B3A9-7FCA08858DBE}" name="Column306"/>
    <tableColumn id="310" xr3:uid="{CDC2BBC2-13F8-41F2-A32C-8F80AAB93520}" name="Column307"/>
    <tableColumn id="311" xr3:uid="{4A01172D-562B-4AE5-AF5E-9251ADECE79A}" name="Column308"/>
    <tableColumn id="312" xr3:uid="{3D8588A0-C139-4159-85D4-729C4B95B13A}" name="Column309"/>
    <tableColumn id="313" xr3:uid="{ACA96AA5-E741-4E31-A1CC-9188D1BF47A8}" name="Column310"/>
    <tableColumn id="314" xr3:uid="{3AF3583E-FC0D-40FA-B686-88F339AB2342}" name="Column311"/>
    <tableColumn id="315" xr3:uid="{60093511-548F-4DFA-8D1B-E785CA34FE79}" name="Column312"/>
    <tableColumn id="316" xr3:uid="{BD176712-C91D-4072-B147-8DCA8B5BC550}" name="Column313"/>
    <tableColumn id="317" xr3:uid="{05DC975B-705A-4A16-A55A-C17F96F3ED76}" name="Column314"/>
    <tableColumn id="318" xr3:uid="{B08B8F70-1D23-4CC3-8C16-186E6C1F64C0}" name="Column315"/>
    <tableColumn id="319" xr3:uid="{3EA2335F-0219-4E48-81D2-12FD029E3EA2}" name="Column316"/>
    <tableColumn id="320" xr3:uid="{3519A5A4-7B3D-4154-B672-8598AD6FFA39}" name="Column317"/>
    <tableColumn id="321" xr3:uid="{2B34B9CF-A07D-414F-A572-F7C7DA7601D8}" name="Column318"/>
    <tableColumn id="322" xr3:uid="{EF17CAC9-2CB3-4BDE-AFA7-AAB874DDBDFB}" name="Column319"/>
    <tableColumn id="323" xr3:uid="{2CE79183-0EBF-4D13-88E6-5AE0F1B669FA}" name="Column320"/>
    <tableColumn id="324" xr3:uid="{41D311AE-CECA-4E6C-8F0A-EFBD46524D40}" name="Column321"/>
    <tableColumn id="325" xr3:uid="{CA16F765-52F1-4D8F-84D1-CEB92D22D138}" name="Column322"/>
    <tableColumn id="326" xr3:uid="{C321D197-1522-4112-BAF9-5858AFE19FC9}" name="Column323"/>
    <tableColumn id="327" xr3:uid="{530CB0AD-23BF-41F1-9916-09CD27580F65}" name="Column324"/>
    <tableColumn id="328" xr3:uid="{9612EBE7-3C61-4791-9AFE-FDC2C342607A}" name="Column325"/>
    <tableColumn id="329" xr3:uid="{F9C5AF1B-33EB-414A-A2AA-54377C05F41C}" name="Column326"/>
    <tableColumn id="330" xr3:uid="{A343A35E-7956-4D91-B058-6048620EFD8D}" name="Column327"/>
    <tableColumn id="331" xr3:uid="{76AAC2CD-5010-4F9B-9246-8411A54036D6}" name="Column328"/>
    <tableColumn id="332" xr3:uid="{BC399A12-441C-419F-A7DB-38430C8E9A1F}" name="Column329"/>
    <tableColumn id="333" xr3:uid="{1BC24CB3-1ACF-4762-8822-9EE428606B22}" name="Column330"/>
    <tableColumn id="334" xr3:uid="{08F4C559-05E9-464D-91B0-4AB7D4ED880B}" name="Column331"/>
    <tableColumn id="335" xr3:uid="{99CF31C5-D080-4E97-853B-9197F185883D}" name="Column332"/>
    <tableColumn id="336" xr3:uid="{112B081F-1AD0-4A02-9F8A-F24352DE0082}" name="Column333"/>
    <tableColumn id="337" xr3:uid="{20ED48DE-FADD-4123-A966-212DA95CCE2E}" name="Column334"/>
    <tableColumn id="338" xr3:uid="{B689ECCA-8E80-48C8-9E98-11DAE1552191}" name="Column335"/>
    <tableColumn id="339" xr3:uid="{1200460F-0F16-4F46-AB3B-438FA32BE98D}" name="Column336"/>
    <tableColumn id="340" xr3:uid="{10A7586E-FA7A-47C1-BC12-23B61988BAAB}" name="Column337"/>
    <tableColumn id="341" xr3:uid="{F00EFEBC-D245-4746-889F-225D71246B34}" name="Column338"/>
    <tableColumn id="342" xr3:uid="{DF6E8F57-349E-4474-B7B8-4144662B25A5}" name="Column339"/>
    <tableColumn id="343" xr3:uid="{6BFA7497-1BBF-4B46-A4E0-CAA572011058}" name="Column340"/>
    <tableColumn id="344" xr3:uid="{8C35B703-9541-4DF1-8398-F8F6EAAD9AC3}" name="Column341"/>
    <tableColumn id="345" xr3:uid="{4A411D38-062A-4D5E-91C3-F24570D0E13A}" name="Column342"/>
    <tableColumn id="346" xr3:uid="{ADEC07D5-AF11-426F-B7FB-9C6442D6F418}" name="Column343"/>
    <tableColumn id="347" xr3:uid="{EE38B6F0-4137-4766-83B4-7C4D8DCDC629}" name="Column344"/>
    <tableColumn id="348" xr3:uid="{F56A095E-4FC8-46EE-AAF7-3E3D494E2911}" name="Column345"/>
    <tableColumn id="349" xr3:uid="{ADB705D5-CD48-4818-9F1A-7835694E2770}" name="Column346"/>
    <tableColumn id="350" xr3:uid="{4DD4407B-FAD4-419F-954E-B667CE600A48}" name="Column347"/>
    <tableColumn id="351" xr3:uid="{263CB35F-FC20-48F2-B8EF-504FF4ACD125}" name="Column348"/>
    <tableColumn id="352" xr3:uid="{3CD500C9-FE36-4586-B2FA-563B3EF1879A}" name="Column349"/>
    <tableColumn id="353" xr3:uid="{C6ABBAD6-23AD-4ACD-9424-C4EB6CEC15DD}" name="Column350"/>
    <tableColumn id="354" xr3:uid="{6DF6293D-2A12-4880-8F4B-006B7FB1DF1E}" name="Column351"/>
    <tableColumn id="355" xr3:uid="{FE24A7CF-0DFD-491E-86F2-F3AABA9DD663}" name="Column352"/>
    <tableColumn id="356" xr3:uid="{6F109E29-7AEB-4061-A086-A12339584D6F}" name="Column353"/>
    <tableColumn id="357" xr3:uid="{95D6D619-FAE8-41A6-BF39-C0D1DBA85C81}" name="Column354"/>
    <tableColumn id="358" xr3:uid="{E41FF854-D441-4468-83EB-96844891D8B0}" name="Column355"/>
    <tableColumn id="359" xr3:uid="{7B88DBB6-7AC1-4032-929F-D60AC939B641}" name="Column356"/>
    <tableColumn id="360" xr3:uid="{FC040385-3024-4DD6-9002-D1F4B75855D8}" name="Column357"/>
    <tableColumn id="361" xr3:uid="{D5D815C5-21E8-443C-B98C-5BA7D107422E}" name="Column358"/>
    <tableColumn id="362" xr3:uid="{1EECE89B-9E49-41AA-B230-3A73DCB6F438}" name="Column359"/>
    <tableColumn id="363" xr3:uid="{538E016B-B92B-446C-9D87-9ECAF5A2AE5C}" name="Column360"/>
    <tableColumn id="364" xr3:uid="{D8E8F0A1-AA7B-4901-A238-A76E0C0F07E3}" name="Column361"/>
    <tableColumn id="365" xr3:uid="{B5591194-8084-4D2E-8B86-8740893011F6}" name="Column362"/>
    <tableColumn id="366" xr3:uid="{D763530D-F951-4C96-BDD6-C6181E3C2C06}" name="Column363"/>
    <tableColumn id="367" xr3:uid="{C6A1EE9F-E834-4B00-828A-EC782F2FAAF9}" name="Column364"/>
    <tableColumn id="368" xr3:uid="{0B5C7811-1310-4E4C-9313-8D13DBD34469}" name="Column365"/>
    <tableColumn id="369" xr3:uid="{3F6FB1A6-B377-4034-A721-E8A8AFDEE6A6}" name="Column366"/>
    <tableColumn id="370" xr3:uid="{86E4DEFF-B82B-47F8-8153-AC2AE54E9229}" name="Column367"/>
    <tableColumn id="371" xr3:uid="{0916A143-5431-4414-91A5-5EBCE08F1EBA}" name="Column368"/>
    <tableColumn id="372" xr3:uid="{42555B5C-CCC4-4C96-9EFC-425055825C9E}" name="Column369"/>
    <tableColumn id="373" xr3:uid="{816C062B-84FD-496E-88DB-9909C4CED13D}" name="Column370"/>
    <tableColumn id="374" xr3:uid="{6C5581F6-3946-48E3-9F9F-537812F8AF6E}" name="Column371"/>
    <tableColumn id="375" xr3:uid="{616C0E6A-B598-402E-997B-2C1EB552E6E7}" name="Column372"/>
    <tableColumn id="376" xr3:uid="{D45CD7F8-3E01-4D32-B959-73D5F41DFA78}" name="Column373"/>
    <tableColumn id="377" xr3:uid="{C342E49D-FC42-4B0E-9C9F-04A74718AC16}" name="Column374"/>
    <tableColumn id="378" xr3:uid="{A1B77E76-2F01-454A-AB47-99F3074C1CD5}" name="Column375"/>
    <tableColumn id="379" xr3:uid="{D22B1C6E-9AF5-4AB5-8DF8-BCC10C3DF4CF}" name="Column376"/>
    <tableColumn id="380" xr3:uid="{ADF900D2-32D5-43EC-A9D8-E6A41D856654}" name="Column377"/>
    <tableColumn id="381" xr3:uid="{01EA0B17-A030-4B8F-97DA-E53F890F7ED0}" name="Column378"/>
    <tableColumn id="382" xr3:uid="{788A85FB-4634-4BF5-B650-68D2ACD51F2F}" name="Column379"/>
    <tableColumn id="383" xr3:uid="{8FD7EDA5-3CEB-4277-A61E-D4243AA17084}" name="Column380"/>
    <tableColumn id="384" xr3:uid="{45E827DF-D857-4936-817D-03FC37749313}" name="Column381"/>
    <tableColumn id="385" xr3:uid="{1CAD64EE-958E-4A22-BDCF-E03AF01FF8D1}" name="Column382"/>
    <tableColumn id="386" xr3:uid="{4E8387AC-0E63-4791-87DE-7A16BD5E1BA8}" name="Column383"/>
    <tableColumn id="387" xr3:uid="{A426BE70-DC2B-441F-9692-6C5385ED6782}" name="Column384"/>
    <tableColumn id="388" xr3:uid="{6F9C660F-C33D-4D55-8DDB-64C9F4551420}" name="Column385"/>
    <tableColumn id="389" xr3:uid="{99696F85-1793-47AA-9773-0F16569585AD}" name="Column386"/>
    <tableColumn id="390" xr3:uid="{C6FD5156-2F77-41D9-8101-01D19A8D45E9}" name="Column387"/>
    <tableColumn id="391" xr3:uid="{125F4F5F-D5C8-4B0B-ACCB-D1782821DE32}" name="Column388"/>
    <tableColumn id="392" xr3:uid="{9AD4D9D7-3C62-4646-8458-13F4DF7AADDF}" name="Column389"/>
    <tableColumn id="393" xr3:uid="{AB7AD026-F436-4C75-B09C-0B0C1915D562}" name="Column390"/>
    <tableColumn id="394" xr3:uid="{1AEBE735-3FF9-4958-8D91-8F75D0BF9986}" name="Column391"/>
    <tableColumn id="395" xr3:uid="{6583C81E-74EC-4B78-A159-F5AD544D4545}" name="Column392"/>
    <tableColumn id="396" xr3:uid="{E2B9B2FB-49D5-4653-BB8E-94607BCCAD3B}" name="Column393"/>
    <tableColumn id="397" xr3:uid="{07F60A32-E1C6-4C8C-8F87-E5D997289779}" name="Column394"/>
    <tableColumn id="398" xr3:uid="{23C70871-A580-4416-90C5-F3279C6B38D0}" name="Column395"/>
    <tableColumn id="399" xr3:uid="{CF5011D9-AD01-4FA0-811B-82208EF18033}" name="Column396"/>
    <tableColumn id="400" xr3:uid="{66DC9E9F-19DC-4CE9-A090-7013C5F31B23}" name="Column397"/>
    <tableColumn id="401" xr3:uid="{A9CA2A76-9F98-4334-A29E-E3DD70C30F42}" name="Column398"/>
    <tableColumn id="402" xr3:uid="{7E3D29D8-7204-408D-9E75-95B20F5C7A98}" name="Column399"/>
    <tableColumn id="403" xr3:uid="{7592A053-6AB1-435E-8ADB-ED315E830E04}" name="Column400"/>
    <tableColumn id="404" xr3:uid="{B836290F-3A5C-41BA-A4CB-91DABC88C924}" name="Column401"/>
    <tableColumn id="405" xr3:uid="{E01129DB-CDD3-4600-8306-46EA2600EAE6}" name="Column402"/>
    <tableColumn id="406" xr3:uid="{352BF836-68AD-4988-A81D-5ACBC87E505F}" name="Column403"/>
    <tableColumn id="407" xr3:uid="{608671B3-F5BF-46E0-B1EA-14891606CB2C}" name="Column404"/>
    <tableColumn id="408" xr3:uid="{CDBFAA95-2C39-4098-B89E-C25F63E21B4A}" name="Column405"/>
    <tableColumn id="409" xr3:uid="{07A23439-C43E-43E5-B0A1-679D36A6CB84}" name="Column406"/>
    <tableColumn id="410" xr3:uid="{C4A2DD51-99FE-4FF6-9C79-2D446310B4CA}" name="Column407"/>
    <tableColumn id="411" xr3:uid="{179C4CF4-7211-4234-AAFC-F1154656C87F}" name="Column408"/>
    <tableColumn id="412" xr3:uid="{4A444117-164A-4890-9484-12719D525028}" name="Column409"/>
    <tableColumn id="413" xr3:uid="{17C115E3-8FD8-440D-9F7E-7ACECFB20E4A}" name="Column410"/>
    <tableColumn id="414" xr3:uid="{48793E16-9CED-4B78-B3A2-204596F8DC41}" name="Column411"/>
    <tableColumn id="415" xr3:uid="{3FB6C3CA-1DDF-4E39-8851-9626C91178EA}" name="Column412"/>
    <tableColumn id="416" xr3:uid="{33768351-C06B-4892-B12A-ED734294D083}" name="Column413"/>
    <tableColumn id="417" xr3:uid="{68D8E2D5-0526-49C3-88D4-603CFDE8F59E}" name="Column414"/>
    <tableColumn id="418" xr3:uid="{6316721D-CADF-4A9B-A0B5-4A92B544C1CB}" name="Column415"/>
    <tableColumn id="419" xr3:uid="{A6013EA0-0344-481E-9EDA-AC257F6E00A2}" name="Column416"/>
    <tableColumn id="420" xr3:uid="{E1B291A4-8A58-4CAB-B395-DA6FB45F836B}" name="Column417"/>
    <tableColumn id="421" xr3:uid="{99635821-37D9-4251-8CA0-8058016203C3}" name="Column418"/>
    <tableColumn id="422" xr3:uid="{1C805719-321D-41E6-942A-769AB23EDD90}" name="Column419"/>
    <tableColumn id="423" xr3:uid="{5D298479-ADF9-4DEA-B128-2B0FEC2E6E53}" name="Column420"/>
    <tableColumn id="424" xr3:uid="{D5361014-2781-4ED4-934A-15559403EC7F}" name="Column421"/>
    <tableColumn id="425" xr3:uid="{DAE751E9-1D46-4293-9BF5-1A732B56F480}" name="Column422"/>
    <tableColumn id="426" xr3:uid="{32C5959B-02A4-4F9C-839F-D52A3062B47D}" name="Column423"/>
    <tableColumn id="427" xr3:uid="{6646EEE9-A50A-49F3-A9C2-97E29FA4CC4A}" name="Column424"/>
    <tableColumn id="428" xr3:uid="{FE074CA2-8C87-48D3-B0EB-EFC0284CF792}" name="Column425"/>
    <tableColumn id="429" xr3:uid="{A5D9B7CE-BA6E-4279-876C-FE80CA44109D}" name="Column426"/>
    <tableColumn id="430" xr3:uid="{996D623E-296A-420C-9DF0-96E223D9389A}" name="Column427"/>
    <tableColumn id="431" xr3:uid="{6B91A081-C4B1-4649-8DEF-3321613E6A1E}" name="Column428"/>
    <tableColumn id="432" xr3:uid="{5F7E727C-81D2-47D8-BE51-48FAEDF1424F}" name="Column429"/>
    <tableColumn id="433" xr3:uid="{68A2D9E8-4A10-4A60-A601-1684981C0C90}" name="Column430"/>
    <tableColumn id="434" xr3:uid="{C9ABBECB-2C02-4E61-AB35-6B83601F26B4}" name="Column431"/>
    <tableColumn id="435" xr3:uid="{EEAC73F4-1D73-4E45-A9D6-A7DEDE775BFB}" name="Column432"/>
    <tableColumn id="436" xr3:uid="{692CF7C5-60B3-4E6D-88BD-900899FE8AED}" name="Column433"/>
    <tableColumn id="437" xr3:uid="{A845EF6C-A04D-4758-8F81-F247CE1E235D}" name="Column434"/>
    <tableColumn id="438" xr3:uid="{93DDCD4A-56B5-48C6-82E9-C110888253A2}" name="Column435"/>
    <tableColumn id="439" xr3:uid="{DD23F5B1-DAA6-407D-8999-1C092673D1FC}" name="Column436"/>
    <tableColumn id="440" xr3:uid="{1056E55C-DF33-4473-928F-93DF737E63DC}" name="Column437"/>
    <tableColumn id="441" xr3:uid="{5739B0E5-8C6E-4CE8-84E1-22A51AFD6BB7}" name="Column438"/>
    <tableColumn id="442" xr3:uid="{F8944255-73A1-4E92-B2E9-4098D566B9C3}" name="Column439"/>
    <tableColumn id="443" xr3:uid="{BFA69D50-FEC0-4A15-B80B-3547EAA95D78}" name="Column440"/>
    <tableColumn id="444" xr3:uid="{C2051035-EEB5-4086-AB38-D70E133CD9C6}" name="Column441"/>
    <tableColumn id="445" xr3:uid="{681128A9-9E71-468D-A960-DC12452005A7}" name="Column442"/>
    <tableColumn id="446" xr3:uid="{8E1E7A3B-F9C7-48A7-9BEB-2AEBB2C4A84B}" name="Column443"/>
    <tableColumn id="447" xr3:uid="{26DF0FAE-76CB-4F86-9468-D834DA27EE24}" name="Column444"/>
    <tableColumn id="448" xr3:uid="{A96990DA-437C-4CB2-8C86-DD6D6A23158E}" name="Column445"/>
    <tableColumn id="449" xr3:uid="{6EF4C8D1-5193-46A8-9A39-52B4F165C261}" name="Column446"/>
    <tableColumn id="450" xr3:uid="{4A53BCA7-AE69-4747-9807-3B0A4ACCEAE4}" name="Column447"/>
    <tableColumn id="451" xr3:uid="{711D7605-0993-4A39-A7A8-FE256FC7CD8D}" name="Column448"/>
    <tableColumn id="452" xr3:uid="{49F632EE-5F34-49D0-B955-EE057E79F2C8}" name="Column449"/>
    <tableColumn id="453" xr3:uid="{7BA8BA16-47B7-4435-A2BB-83B64829AF6F}" name="Column450"/>
    <tableColumn id="454" xr3:uid="{13836AA7-0762-4193-ACF2-58BCBB379B6E}" name="Column451"/>
    <tableColumn id="455" xr3:uid="{B7B7D99E-2044-415E-B198-2E5E076513D2}" name="Column452"/>
    <tableColumn id="456" xr3:uid="{11C93788-A151-49CB-AED1-DB702B396D9E}" name="Column453"/>
    <tableColumn id="457" xr3:uid="{39227842-EBDD-483E-8864-6097E8A9E1E7}" name="Column454"/>
    <tableColumn id="458" xr3:uid="{E757366F-7B47-48FD-95FF-39FE81FEE496}" name="Column455"/>
    <tableColumn id="459" xr3:uid="{0A199D60-EF54-4813-878F-C7377DBEB365}" name="Column456"/>
    <tableColumn id="460" xr3:uid="{A7D30B70-AF1A-455B-B049-86E5172B2567}" name="Column457"/>
    <tableColumn id="461" xr3:uid="{AE689778-59F4-46B0-85F9-FCD18656B785}" name="Column458"/>
    <tableColumn id="462" xr3:uid="{25D6ED63-6CA6-494F-B166-B8DFF0339A11}" name="Column459"/>
    <tableColumn id="463" xr3:uid="{C783D351-5F8A-4EFD-A1CF-8AA64A6F9AFF}" name="Column460"/>
    <tableColumn id="464" xr3:uid="{6C741B98-3190-4884-90EC-4419AB41B28E}" name="Column461"/>
    <tableColumn id="465" xr3:uid="{5DF05063-B461-45CB-84FD-74A1CFD9EEF8}" name="Column462"/>
    <tableColumn id="466" xr3:uid="{53BBB2E1-423F-4E0D-9E5C-DA5076F903AA}" name="Column463"/>
    <tableColumn id="467" xr3:uid="{DA13B731-021F-41CC-9AB1-78C03A39ABBE}" name="Column464"/>
    <tableColumn id="468" xr3:uid="{419DD4E6-58FB-4530-BE72-572C12F50E38}" name="Column465"/>
    <tableColumn id="469" xr3:uid="{C04DBB36-C837-49BB-B3D5-36A142405B1F}" name="Column466"/>
    <tableColumn id="470" xr3:uid="{593806F7-0BF9-4D54-AC27-297E0B331ECB}" name="Column467"/>
    <tableColumn id="471" xr3:uid="{E160300C-A309-490E-AFAA-F020B1DA6697}" name="Column468"/>
    <tableColumn id="472" xr3:uid="{4F3A3970-D0AA-43C1-AE88-AC77B6455BB7}" name="Column469"/>
    <tableColumn id="473" xr3:uid="{EB44BBCC-EAFB-42E2-B841-24FDC740B7FD}" name="Column470"/>
    <tableColumn id="474" xr3:uid="{403BC224-0FA6-4E22-B06B-015866DBC511}" name="Column471"/>
    <tableColumn id="475" xr3:uid="{9630A207-3160-4B73-A52C-4B523D5A727A}" name="Column472"/>
    <tableColumn id="476" xr3:uid="{8D953E3E-04A8-4BC4-B4C3-E888651A8650}" name="Column473"/>
    <tableColumn id="477" xr3:uid="{BC9D5247-5D4B-443C-9341-E0B9321CC7C3}" name="Column474"/>
    <tableColumn id="478" xr3:uid="{7059A637-9A9D-4690-8D3E-F6FA15960D54}" name="Column475"/>
    <tableColumn id="479" xr3:uid="{8FAD4A70-9F86-4D82-B204-6B76AB87B79C}" name="Column476"/>
    <tableColumn id="480" xr3:uid="{EA644D1C-22C7-47C5-9C35-FA435ABF8652}" name="Column477"/>
    <tableColumn id="481" xr3:uid="{73BA7AD5-8964-469B-AE27-7E04553FDD23}" name="Column478"/>
    <tableColumn id="482" xr3:uid="{F422EA83-5276-48BB-9283-8AA0A8E3E214}" name="Column479"/>
    <tableColumn id="483" xr3:uid="{AC108DFB-7AC6-4DD9-9514-096744EB16C7}" name="Column480"/>
    <tableColumn id="484" xr3:uid="{40DBC52C-7911-4904-B8A4-EB84D7D3C026}" name="Column481"/>
    <tableColumn id="485" xr3:uid="{E28A9AEA-F413-42D8-9E0F-AA269B987919}" name="Column482"/>
    <tableColumn id="486" xr3:uid="{B962C203-D5B9-4FCB-8D29-6483351284ED}" name="Column483"/>
    <tableColumn id="487" xr3:uid="{C75524B8-A91A-475A-A714-D1C0749BD776}" name="Column484"/>
    <tableColumn id="488" xr3:uid="{82660307-DE71-488C-BE64-E7A76D43E293}" name="Column485"/>
    <tableColumn id="489" xr3:uid="{2F4C5CD2-E65C-4F89-A2F6-7264C8D2D100}" name="Column486"/>
    <tableColumn id="490" xr3:uid="{E03C60A8-13E2-4927-8F65-9C10EE536014}" name="Column487"/>
    <tableColumn id="491" xr3:uid="{7B477DE0-C140-47DF-AC14-6874D1AFC5FD}" name="Column488"/>
    <tableColumn id="492" xr3:uid="{45DD87D3-BA80-4BDE-ACB0-A31F932B823B}" name="Column489"/>
    <tableColumn id="493" xr3:uid="{DDD08093-E1EB-4A24-9175-663F6A1530E2}" name="Column490"/>
    <tableColumn id="494" xr3:uid="{7C1F7ED5-394A-4FAA-8E54-FED0C0AC010D}" name="Column491"/>
    <tableColumn id="495" xr3:uid="{FC136722-B9F1-49F1-8246-C6CC29B620F9}" name="Column492"/>
    <tableColumn id="496" xr3:uid="{D69D3232-D6C6-41DA-A42C-D9910E0F9430}" name="Column493"/>
    <tableColumn id="497" xr3:uid="{D1562FE5-6E8A-430C-ABD5-E8508CC13B89}" name="Column494"/>
    <tableColumn id="498" xr3:uid="{5769E293-14F0-4015-9837-31DF8328BC1A}" name="Column495"/>
    <tableColumn id="499" xr3:uid="{393F2938-5AE0-4855-9820-7B3B7CCC658A}" name="Column496"/>
    <tableColumn id="500" xr3:uid="{257B3A3D-CE0C-4C69-B712-2B12CA166EA1}" name="Column497"/>
    <tableColumn id="501" xr3:uid="{B4158630-EECA-45D8-827A-7B14437D8B80}" name="Column498"/>
    <tableColumn id="502" xr3:uid="{64B266D3-92FB-4EE4-BDF8-2938D65D11D7}" name="Column499"/>
    <tableColumn id="503" xr3:uid="{C198E14E-5599-48B1-B5D5-F89F4740FB10}" name="Column500"/>
    <tableColumn id="504" xr3:uid="{F936460B-04D7-410E-80C0-FD44A203288B}" name="Column501"/>
    <tableColumn id="505" xr3:uid="{2E273AF3-01E2-49EF-BD1C-5DDD775549B3}" name="Column502"/>
    <tableColumn id="506" xr3:uid="{702DD43F-DEAE-4D6D-9600-967287480EFE}" name="Column503"/>
    <tableColumn id="507" xr3:uid="{D9DBED92-EB34-41BE-92A5-9E06F1462F9D}" name="Column504"/>
    <tableColumn id="508" xr3:uid="{6991F8A0-77CD-4352-99F4-CF5031C02BD0}" name="Column505"/>
    <tableColumn id="509" xr3:uid="{FF364623-28AC-40EB-9026-82109DE17859}" name="Column506"/>
    <tableColumn id="510" xr3:uid="{29085434-A156-4061-97DF-D25034B108D0}" name="Column507"/>
    <tableColumn id="511" xr3:uid="{95647728-C779-4BB6-818D-36ECEB8C3A56}" name="Column508"/>
    <tableColumn id="512" xr3:uid="{2FAB1D6B-B83E-41D5-890C-F94B3E68A62A}" name="Column509"/>
    <tableColumn id="513" xr3:uid="{46D5DD44-3108-4923-BB6E-991F6975D328}" name="Column510"/>
    <tableColumn id="514" xr3:uid="{B87798D4-D116-40E6-9AB5-610161D03F90}" name="Column511"/>
    <tableColumn id="515" xr3:uid="{FAE2C781-9B44-4CA6-9E22-2AC5FCE914B3}" name="Column512"/>
    <tableColumn id="516" xr3:uid="{E08FC065-4CE1-472C-8373-B22C403344F7}" name="Column513"/>
    <tableColumn id="517" xr3:uid="{BF0EDD38-B502-40A4-9E59-A624BEA45D34}" name="Column514"/>
    <tableColumn id="518" xr3:uid="{286C9F15-39A3-4763-A48C-D939845A7709}" name="Column515"/>
    <tableColumn id="519" xr3:uid="{BB42AD23-AEA7-4C84-A283-1AD28A29D4C2}" name="Column516"/>
    <tableColumn id="520" xr3:uid="{65B04898-03F2-4689-A279-82E8FF4B85E6}" name="Column517"/>
    <tableColumn id="521" xr3:uid="{31906C4C-989C-475F-818B-B5EE288AA65B}" name="Column518"/>
    <tableColumn id="522" xr3:uid="{36B06681-EA1A-442E-8091-9AE5B1B90DBF}" name="Column519"/>
    <tableColumn id="523" xr3:uid="{924A7F76-8D90-484D-ABB0-CCC85B6B01FF}" name="Column520"/>
    <tableColumn id="524" xr3:uid="{6B556781-9CDB-47DA-9C42-A1BF31A49F7E}" name="Column521"/>
    <tableColumn id="525" xr3:uid="{74371922-F764-4D78-86B0-F70BC3BD4BDB}" name="Column522"/>
    <tableColumn id="526" xr3:uid="{52A893C9-9CC1-45C7-814B-09E8AAE4DE16}" name="Column523"/>
    <tableColumn id="527" xr3:uid="{BC9C4EB4-C58F-4B51-B536-C257F04C2980}" name="Column524"/>
    <tableColumn id="528" xr3:uid="{FA89D879-A31C-492E-9DBF-493E7D26F455}" name="Column525"/>
    <tableColumn id="529" xr3:uid="{FAD66AF7-1F26-40DE-BCAA-7F0A5A3021DE}" name="Column526"/>
    <tableColumn id="530" xr3:uid="{811EFBB6-2BE8-46ED-8D74-CDEC0F0632FE}" name="Column527"/>
    <tableColumn id="531" xr3:uid="{5F8885BC-2762-44D4-8662-E438C8D46623}" name="Column528"/>
    <tableColumn id="532" xr3:uid="{27A9E8B0-90EB-49D4-B0F3-597DFC3F5589}" name="Column529"/>
    <tableColumn id="533" xr3:uid="{5F909F22-BE9B-4821-9989-C14B933E21CE}" name="Column530"/>
    <tableColumn id="534" xr3:uid="{6793B505-8234-477A-BE6F-156F54D0C751}" name="Column531"/>
    <tableColumn id="535" xr3:uid="{8B19AF13-CF36-4EC0-89E8-05D090754BAD}" name="Column532"/>
    <tableColumn id="536" xr3:uid="{852D216E-0EB3-4CBC-B9F8-4BD599F18F6C}" name="Column533"/>
    <tableColumn id="537" xr3:uid="{A69FF952-4663-47B0-B6EC-B63B8EF2FE6A}" name="Column534"/>
    <tableColumn id="538" xr3:uid="{4557829B-7E3C-48F8-925B-A37D446E1E40}" name="Column535"/>
    <tableColumn id="539" xr3:uid="{D76502D0-F042-4DEB-8A5D-EA7944F0F113}" name="Column536"/>
    <tableColumn id="540" xr3:uid="{8D139C1A-C55C-40A6-963F-DE44EC90B523}" name="Column537"/>
    <tableColumn id="541" xr3:uid="{9895EBB5-B5A9-45F2-8A37-EE7F68DADC35}" name="Column538"/>
    <tableColumn id="542" xr3:uid="{5F4E22F8-B479-4C8B-8C2F-8AE58E126EC8}" name="Column539"/>
    <tableColumn id="543" xr3:uid="{A38285E0-8041-46D2-983F-8BF46250C7A3}" name="Column540"/>
    <tableColumn id="544" xr3:uid="{4F67F809-9145-4B4D-BDE4-C3DA6CE6F116}" name="Column541"/>
    <tableColumn id="545" xr3:uid="{C674EDFC-6275-40C8-94E6-7D278441A8D0}" name="Column542"/>
    <tableColumn id="546" xr3:uid="{E39CBFD7-4A1D-4E9D-9058-7E3BB89204D0}" name="Column543"/>
    <tableColumn id="547" xr3:uid="{135E417A-53B5-452D-8839-9F93D60910B4}" name="Column544"/>
    <tableColumn id="548" xr3:uid="{C64D546B-5C50-4431-BBDC-805CE3F32647}" name="Column545"/>
    <tableColumn id="549" xr3:uid="{475F53AA-36FE-4F49-89B8-07C49000A6CA}" name="Column546"/>
    <tableColumn id="550" xr3:uid="{33BEA545-8C04-45D6-9548-BF103C51260A}" name="Column547"/>
    <tableColumn id="551" xr3:uid="{C07233C8-E85C-408D-8346-34EF92E79F91}" name="Column548"/>
    <tableColumn id="552" xr3:uid="{C99E8B89-FE03-44A8-97CA-63C127686C99}" name="Column549"/>
    <tableColumn id="553" xr3:uid="{E9CF7C9B-0CA2-4F91-8165-D2BB9D9A9A89}" name="Column550"/>
    <tableColumn id="554" xr3:uid="{8D3DBEF4-5D84-4BD4-90E9-089B2D75E169}" name="Column551"/>
    <tableColumn id="555" xr3:uid="{C362E417-5328-4AB9-B88F-3A154C9B9CE6}" name="Column552"/>
    <tableColumn id="556" xr3:uid="{1B9CB181-60ED-4BF6-9E69-4771F4F359B5}" name="Column553"/>
    <tableColumn id="557" xr3:uid="{59795406-DC9D-4D25-8400-7F58625D17BE}" name="Column554"/>
    <tableColumn id="558" xr3:uid="{E28A8AC4-149D-4EA8-908E-F3A82CFDDCF9}" name="Column555"/>
    <tableColumn id="559" xr3:uid="{E9F599B8-0BDC-439D-A0C5-8E7C78743CF5}" name="Column556"/>
    <tableColumn id="560" xr3:uid="{354E7DBD-D40F-41E1-847C-62D05F3D64FF}" name="Column557"/>
    <tableColumn id="561" xr3:uid="{1F5600D9-CA9A-456C-AC21-4861DC3A1052}" name="Column558"/>
    <tableColumn id="562" xr3:uid="{EFE80C0A-66DA-4E89-8676-56C39C02C6B0}" name="Column559"/>
    <tableColumn id="563" xr3:uid="{BF065EEA-80E7-4E34-BBBD-CB1FA179696A}" name="Column560"/>
    <tableColumn id="564" xr3:uid="{A3D0714C-ECE3-496A-9933-338FA28776B9}" name="Column561"/>
    <tableColumn id="565" xr3:uid="{CCD69695-4ECD-4D31-B377-139A3AB94D3F}" name="Column562"/>
    <tableColumn id="566" xr3:uid="{D8615F8E-7E7A-4577-AFCE-7F36DAEC84D2}" name="Column563"/>
    <tableColumn id="567" xr3:uid="{16657955-8758-47F4-9F81-2BD64A63C6D6}" name="Column564"/>
    <tableColumn id="568" xr3:uid="{A673A2E0-C781-45EE-8081-7274FBF60DD6}" name="Column565"/>
    <tableColumn id="569" xr3:uid="{A9125C51-0BA6-4442-8DFE-4E24A62443F9}" name="Column566"/>
    <tableColumn id="570" xr3:uid="{851BA4AD-1357-4827-AC9B-B696C68971FE}" name="Column567"/>
    <tableColumn id="571" xr3:uid="{7840255A-2970-42D1-B23C-DB684073D6E4}" name="Column568"/>
    <tableColumn id="572" xr3:uid="{1D6CA631-B9E0-4D9D-8240-22627F12C2BE}" name="Column569"/>
    <tableColumn id="573" xr3:uid="{91907F7E-86D6-4759-9B93-FF05CCE3BDAC}" name="Column570"/>
    <tableColumn id="574" xr3:uid="{10AF67B6-E366-4FAA-8B1A-1F6161C067C7}" name="Column571"/>
    <tableColumn id="575" xr3:uid="{6B57EAE4-8236-4558-A159-B88739D1A3B9}" name="Column572"/>
    <tableColumn id="576" xr3:uid="{60B5FB2A-E770-4950-AFDA-D5F7168E94FC}" name="Column573"/>
    <tableColumn id="577" xr3:uid="{D39050B5-5C00-473E-990C-BF2106996CF4}" name="Column574"/>
    <tableColumn id="578" xr3:uid="{4D681F18-B442-4876-9B55-F12F82341693}" name="Column575"/>
    <tableColumn id="579" xr3:uid="{F5092FDF-3DE0-4FD1-9B2E-264FEF7BB434}" name="Column576"/>
    <tableColumn id="580" xr3:uid="{CEF783FC-AC4F-4211-9068-58026DF48FED}" name="Column577"/>
    <tableColumn id="581" xr3:uid="{1A74602F-3F66-48D3-8E72-BD57AE9104BD}" name="Column578"/>
    <tableColumn id="582" xr3:uid="{D89AA206-F91C-4148-96FD-6F7B5AAA8695}" name="Column579"/>
    <tableColumn id="583" xr3:uid="{A850CEB3-A9CB-4A17-B6E8-D27ADF773DAF}" name="Column580"/>
    <tableColumn id="584" xr3:uid="{0549D214-3C28-4AEA-801F-F0EC52CAEFD4}" name="Column581"/>
    <tableColumn id="585" xr3:uid="{4EF17DC4-1B76-4666-8FA4-52160E2CDEEA}" name="Column582"/>
    <tableColumn id="586" xr3:uid="{D3CA7237-AAB1-4902-94D9-3A06E83D3350}" name="Column583"/>
    <tableColumn id="587" xr3:uid="{E2556C10-C3EB-4197-A770-8E49639B115F}" name="Column584"/>
    <tableColumn id="588" xr3:uid="{90DA9952-843A-449C-B306-829754527E07}" name="Column585"/>
    <tableColumn id="589" xr3:uid="{995324AF-BFEF-47D4-ACA0-25DD0548CC6D}" name="Column586"/>
    <tableColumn id="590" xr3:uid="{73DE8977-9CB6-4EB2-BA27-CA5D7264442D}" name="Column587"/>
    <tableColumn id="591" xr3:uid="{65240773-6E7D-480E-8F5F-F43C25036667}" name="Column588"/>
    <tableColumn id="592" xr3:uid="{9AF6D302-16B4-4063-AB00-3AECA7E0FDF5}" name="Column589"/>
    <tableColumn id="593" xr3:uid="{25EACB0B-0318-4E02-B7DA-1BDB0DDF5DE4}" name="Column590"/>
    <tableColumn id="594" xr3:uid="{2D3A75A5-39F6-49FB-8412-B0A02AC8B253}" name="Column591"/>
    <tableColumn id="595" xr3:uid="{F5B36D0F-3D90-4BA1-98FF-EB2A570A7794}" name="Column592"/>
    <tableColumn id="596" xr3:uid="{D2D01BE9-E6BB-4810-8E38-118DB6BEA7CE}" name="Column593"/>
    <tableColumn id="597" xr3:uid="{2013FA39-6207-442F-974F-707E61770758}" name="Column594"/>
    <tableColumn id="598" xr3:uid="{2385C37B-2FA5-49E6-BC44-6D82940D5EF8}" name="Column595"/>
    <tableColumn id="599" xr3:uid="{8A661D43-4A6B-45DE-8B1D-51A1F45A86A6}" name="Column596"/>
    <tableColumn id="600" xr3:uid="{DAD7804D-36B6-42FC-AAD5-17E75AC20CBC}" name="Column597"/>
    <tableColumn id="601" xr3:uid="{C01EA6E3-4DF9-47BB-84EF-BBDEC7720002}" name="Column598"/>
    <tableColumn id="602" xr3:uid="{412B9122-699D-497E-B0FE-5C4B97671B4C}" name="Column599"/>
    <tableColumn id="603" xr3:uid="{5FD1DFCD-A5EC-4916-94BB-384FF7F47DA9}" name="Column600"/>
    <tableColumn id="604" xr3:uid="{C4B40C96-0504-4EDC-8529-7BDB81FE2F2F}" name="Column601"/>
    <tableColumn id="605" xr3:uid="{BA0ED4B8-31DE-494F-9591-EBFE425C872B}" name="Column602"/>
    <tableColumn id="606" xr3:uid="{17DF5172-F8F2-48F4-9189-F5CA80716AA5}" name="Column603"/>
    <tableColumn id="607" xr3:uid="{2EFE1B44-48D5-4C33-94E6-6FCEB23A2C47}" name="Column604"/>
    <tableColumn id="608" xr3:uid="{D3DDDAFA-B05D-4859-B671-DE16772A2671}" name="Column605"/>
    <tableColumn id="609" xr3:uid="{71FAAFA2-E018-48FF-B00B-F69F43364438}" name="Column606"/>
    <tableColumn id="610" xr3:uid="{7BB8449B-C2D2-4530-B691-7E361E28DEBF}" name="Column607"/>
    <tableColumn id="611" xr3:uid="{428FA62F-CB32-4441-AB86-5F40821DE6A0}" name="Column608"/>
    <tableColumn id="612" xr3:uid="{40BF299B-0407-4E48-92B4-166F71424BC6}" name="Column609"/>
    <tableColumn id="613" xr3:uid="{C6200900-6007-4481-853D-ABF3CAC63557}" name="Column610"/>
    <tableColumn id="614" xr3:uid="{BC5398CC-8DF7-4268-A890-741A9F553DCE}" name="Column611"/>
    <tableColumn id="615" xr3:uid="{D40C27FD-3DF1-4852-9688-460CF64DAAFA}" name="Column612"/>
    <tableColumn id="616" xr3:uid="{55BBA6DF-05F6-4FF8-B4C5-4E092F9BB4C9}" name="Column613"/>
    <tableColumn id="617" xr3:uid="{2E42C426-D955-4649-BE85-CB40C5AE9D90}" name="Column614"/>
    <tableColumn id="618" xr3:uid="{9D83D27C-D5C6-4A6A-BB07-7B549C7E6FF8}" name="Column615"/>
    <tableColumn id="619" xr3:uid="{F5F54B3A-00AC-41C9-BB67-3E2F9E3F2271}" name="Column616"/>
    <tableColumn id="620" xr3:uid="{03019C9D-E09C-44E7-92C1-1D611D428C7E}" name="Column617"/>
    <tableColumn id="621" xr3:uid="{3E1CC455-98CB-47BD-BBF9-4E5F6075073A}" name="Column618"/>
    <tableColumn id="622" xr3:uid="{F6F4E4E0-B732-4352-A6E6-539615F553EF}" name="Column619"/>
    <tableColumn id="623" xr3:uid="{FF321B26-A7D7-4C22-A2E0-8EE57248BCA6}" name="Column620"/>
    <tableColumn id="624" xr3:uid="{8A8A1A71-B352-406B-901F-BE1DFBD8024C}" name="Column621"/>
    <tableColumn id="625" xr3:uid="{8AE084E4-12E3-4E44-B283-8EC92A23BD20}" name="Column622"/>
    <tableColumn id="626" xr3:uid="{9AA45FA9-A7A6-4B97-9EAD-B5A4D5F853D1}" name="Column623"/>
    <tableColumn id="627" xr3:uid="{F8A123C0-2E7E-4EB8-A31B-571422287E9B}" name="Column624"/>
    <tableColumn id="628" xr3:uid="{B8F99206-4AFB-4C36-AFDE-1C7BB7575C1C}" name="Column625"/>
    <tableColumn id="629" xr3:uid="{C448EA50-607B-478E-8045-5C818A278884}" name="Column626"/>
    <tableColumn id="630" xr3:uid="{6DE41160-4496-439F-8603-CB3519EEB6ED}" name="Column627"/>
    <tableColumn id="631" xr3:uid="{0CB6B43E-15E8-4E63-8165-16F0AE8E6D76}" name="Column628"/>
    <tableColumn id="632" xr3:uid="{19E9D150-EF9A-47FD-B211-6BD868BBC8D3}" name="Column629"/>
    <tableColumn id="633" xr3:uid="{A7538F49-00E3-4730-8E36-F49C835BF653}" name="Column630"/>
    <tableColumn id="634" xr3:uid="{CD25E69D-A389-499A-8FCB-6075D00E2E76}" name="Column631"/>
    <tableColumn id="635" xr3:uid="{2BBE15AB-F180-44BF-93BB-5E53B8D77CC6}" name="Column632"/>
    <tableColumn id="636" xr3:uid="{8353B470-F461-4952-940D-8F594349B6B5}" name="Column633"/>
    <tableColumn id="637" xr3:uid="{45114FBC-39B7-45DA-AD8B-9384C3FFBE87}" name="Column634"/>
    <tableColumn id="638" xr3:uid="{50E7ED49-378E-49EE-B638-5C9F66927244}" name="Column635"/>
    <tableColumn id="639" xr3:uid="{36F63DDA-2E6A-4113-9FBE-BC4BC7148C68}" name="Column636"/>
    <tableColumn id="640" xr3:uid="{9A959EF0-0E86-4EAD-8A42-FFC1F6CE9241}" name="Column637"/>
    <tableColumn id="641" xr3:uid="{6A485FB3-B381-47A4-ADD2-71D5A78E53B0}" name="Column638"/>
    <tableColumn id="642" xr3:uid="{0532B339-F43D-438F-8F5D-B6E2394A03E2}" name="Column639"/>
    <tableColumn id="643" xr3:uid="{34BB3308-70C7-4A5F-B546-B7ED85774933}" name="Column640"/>
    <tableColumn id="644" xr3:uid="{86F75B2E-D05B-4766-9784-AFEA02610B5F}" name="Column641"/>
    <tableColumn id="645" xr3:uid="{640FB74C-4F9C-4275-8B4B-FB6A42AC55FB}" name="Column642"/>
    <tableColumn id="646" xr3:uid="{93EAC23F-BED9-4D81-A156-7CD9204E82A7}" name="Column643"/>
    <tableColumn id="647" xr3:uid="{CF0DA4FF-A31B-49CD-873F-A4AF8398052C}" name="Column644"/>
    <tableColumn id="648" xr3:uid="{A61061AA-98F8-4433-ADF8-749AAA165595}" name="Column645"/>
    <tableColumn id="649" xr3:uid="{B3E9D46E-DEB4-4B1C-BBB6-A56C7B2FA982}" name="Column646"/>
    <tableColumn id="650" xr3:uid="{1DAAB198-5A5F-4CFD-8648-463E178A8D69}" name="Column647"/>
    <tableColumn id="651" xr3:uid="{0CB63C17-273F-4FC2-9A09-B4FDBC160878}" name="Column648"/>
    <tableColumn id="652" xr3:uid="{1E0B675D-DEF5-4374-9C36-21E3FD5A0929}" name="Column649"/>
    <tableColumn id="653" xr3:uid="{8C00AF36-E503-44BE-8B3D-12F092031627}" name="Column650"/>
    <tableColumn id="654" xr3:uid="{DA14E495-56CE-427D-99F3-484D21EB8F53}" name="Column651"/>
    <tableColumn id="655" xr3:uid="{D149F0DE-A7CD-4042-B0F2-400C8FE753D4}" name="Column652"/>
    <tableColumn id="656" xr3:uid="{3085BD72-71AA-40EF-8602-93F076A7BF47}" name="Column653"/>
    <tableColumn id="657" xr3:uid="{93EF5EDF-DC85-49F5-8CD4-95BBF1D169C1}" name="Column654"/>
    <tableColumn id="658" xr3:uid="{4702EAC7-EEC8-4045-A6D3-34ACFD77363A}" name="Column655"/>
    <tableColumn id="659" xr3:uid="{20927522-97E3-4EE2-B613-6DD72627B482}" name="Column656"/>
    <tableColumn id="660" xr3:uid="{A20B81FE-12D0-4F4E-A463-04BDEAA2C274}" name="Column657"/>
    <tableColumn id="661" xr3:uid="{679A4610-B203-4974-B15E-DDBCE177120A}" name="Column658"/>
    <tableColumn id="662" xr3:uid="{7F689CA3-84F3-41C8-9394-E752614440C0}" name="Column659"/>
    <tableColumn id="663" xr3:uid="{424E650A-4829-411C-944A-A4B263FC976D}" name="Column660"/>
    <tableColumn id="664" xr3:uid="{BC61BE29-8317-4B14-BF83-9EE8B6527915}" name="Column661"/>
    <tableColumn id="665" xr3:uid="{98480B8E-2D40-4F2D-92E4-C1F6AEBD4B83}" name="Column662"/>
    <tableColumn id="666" xr3:uid="{5A1002B4-E91D-4326-A1FE-96949F5D129A}" name="Column663"/>
    <tableColumn id="667" xr3:uid="{C8707791-0223-4108-90EF-35265E28650B}" name="Column664"/>
    <tableColumn id="668" xr3:uid="{2AB072CD-ABC9-4D6E-9BC5-6D638857FFCC}" name="Column665"/>
    <tableColumn id="669" xr3:uid="{02C8A174-39CF-4BF0-A8B4-473F7238EA6B}" name="Column666"/>
    <tableColumn id="670" xr3:uid="{A8161565-5F2F-45A2-AFF8-26BA0CD3EE2A}" name="Column667"/>
    <tableColumn id="671" xr3:uid="{495A1783-9C43-4FEC-9F52-05F99216BDCC}" name="Column668"/>
    <tableColumn id="672" xr3:uid="{C7F9D12B-CDE7-4460-BB1D-0A1D4D92E119}" name="Column669"/>
    <tableColumn id="673" xr3:uid="{D70ED84F-4E3F-47BB-AB63-C35BAA81F588}" name="Column670"/>
    <tableColumn id="674" xr3:uid="{44BF63BD-2885-4090-B651-DDF39A15DBBC}" name="Column671"/>
    <tableColumn id="675" xr3:uid="{F947D17E-ABF5-4F27-8123-5B3C5C36CA26}" name="Column672"/>
    <tableColumn id="676" xr3:uid="{A774DEBD-D374-44D8-AC1B-CB7ED77255B3}" name="Column673"/>
    <tableColumn id="677" xr3:uid="{0F5AA551-5F56-4084-A8AB-1733148C50E2}" name="Column674"/>
    <tableColumn id="678" xr3:uid="{48EB065F-6259-40F2-B587-1561DC84AAEE}" name="Column675"/>
    <tableColumn id="679" xr3:uid="{5C1A50D7-8D98-48E0-BAA6-883575F97ADC}" name="Column676"/>
    <tableColumn id="680" xr3:uid="{F98A9E4B-ED6B-425D-89B4-BB45561C8BF3}" name="Column677"/>
    <tableColumn id="681" xr3:uid="{C482345E-EB8E-4D49-B5DA-9208ACFB0FA3}" name="Column678"/>
    <tableColumn id="682" xr3:uid="{EF8352EC-4F79-4EF5-9C1F-55677431442F}" name="Column679"/>
    <tableColumn id="683" xr3:uid="{C9458685-DEDF-4A57-86E5-8221F385BF48}" name="Column680"/>
    <tableColumn id="684" xr3:uid="{EEC8BE78-6751-464B-BA50-C31CEE593D67}" name="Column681"/>
    <tableColumn id="685" xr3:uid="{E7EDC3C8-D45F-47A1-8EF7-FE20954BAA81}" name="Column682"/>
    <tableColumn id="686" xr3:uid="{833E6978-290A-4FA3-9A92-A1F787264101}" name="Column683"/>
    <tableColumn id="687" xr3:uid="{537A8B7A-37B3-4314-8212-88C8A729D37A}" name="Column684"/>
    <tableColumn id="688" xr3:uid="{8450B46C-25C2-482B-BC2C-3138168D12A7}" name="Column685"/>
    <tableColumn id="689" xr3:uid="{D16DE30E-166E-4AEA-A61A-838B4D0DBA90}" name="Column686"/>
    <tableColumn id="690" xr3:uid="{7FE5B448-92B0-49FE-8E83-E1DDE51561FB}" name="Column687"/>
    <tableColumn id="691" xr3:uid="{DEBF4565-FA57-40CD-BDC0-A16A0565F929}" name="Column688"/>
    <tableColumn id="692" xr3:uid="{E3291391-8846-431A-8E20-74C357AE8154}" name="Column689"/>
    <tableColumn id="693" xr3:uid="{EF881922-E165-48CC-928C-9CBA98866027}" name="Column690"/>
    <tableColumn id="694" xr3:uid="{47773E47-EA4F-42BA-A94F-5F36A9948557}" name="Column691"/>
    <tableColumn id="695" xr3:uid="{8EFBB9D1-0191-4430-9694-4BFCC50619A6}" name="Column692"/>
    <tableColumn id="696" xr3:uid="{CCC9730D-070F-452F-8FCE-82B43CF08CC6}" name="Column693"/>
    <tableColumn id="697" xr3:uid="{335E0107-8546-4BDA-96A2-EE50F2582D2B}" name="Column694"/>
    <tableColumn id="698" xr3:uid="{FE706392-6C1C-4455-8C94-F6AB38CEAF5B}" name="Column695"/>
    <tableColumn id="699" xr3:uid="{2215CD03-AB85-45C0-AB5D-1AD351B9551A}" name="Column696"/>
    <tableColumn id="700" xr3:uid="{38826338-478C-42B5-B842-EFB06D33AC75}" name="Column697"/>
    <tableColumn id="701" xr3:uid="{2C936BCC-AE0F-4234-9789-7753F9E75E73}" name="Column698"/>
    <tableColumn id="702" xr3:uid="{F89A2087-5014-4D14-BCEA-CF8987DD50B5}" name="Column699"/>
    <tableColumn id="703" xr3:uid="{DEB1D39E-B627-4470-8B86-BF7B30C1EE25}" name="Column700"/>
    <tableColumn id="704" xr3:uid="{09122297-1C25-4C72-AC2D-2F72024CF6FB}" name="Column701"/>
    <tableColumn id="705" xr3:uid="{B4E522CA-7B1E-4F0F-8B99-B67CB7F950D6}" name="Column702"/>
    <tableColumn id="706" xr3:uid="{39A84B4B-B2CE-4D60-A5CA-5CB890D8B0C0}" name="Column703"/>
    <tableColumn id="707" xr3:uid="{F57E1308-811B-4A50-8817-78337680FEE5}" name="Column704"/>
    <tableColumn id="708" xr3:uid="{198C7E3E-8588-4050-B3A2-6D97612B2D9D}" name="Column705"/>
    <tableColumn id="709" xr3:uid="{471C7CA1-BAE9-460B-9F1F-9557AC085B9C}" name="Column706"/>
    <tableColumn id="710" xr3:uid="{9C7B8E56-9B51-41EA-802D-5C431142F7C0}" name="Column707"/>
    <tableColumn id="711" xr3:uid="{C2CA959F-E4B4-4EB8-B8F6-F63B3E3943C1}" name="Column708"/>
    <tableColumn id="712" xr3:uid="{4B408917-1C9B-47E9-A724-CFD6A6B1A6E2}" name="Column709"/>
    <tableColumn id="713" xr3:uid="{D9029059-CAAE-4A02-A1A6-8F7E1FDE0754}" name="Column710"/>
    <tableColumn id="714" xr3:uid="{E8D480DC-9A33-4CDF-8154-85581C577D23}" name="Column711"/>
    <tableColumn id="715" xr3:uid="{5429B721-812C-487C-A516-14A27D832A66}" name="Column712"/>
    <tableColumn id="716" xr3:uid="{6F3587CD-58C6-4633-A75A-6A9AFF9B481F}" name="Column713"/>
    <tableColumn id="717" xr3:uid="{B130871E-D115-40E0-8456-9B2E0C0DEFB2}" name="Column714"/>
    <tableColumn id="718" xr3:uid="{8A564A07-DE2D-47B2-9955-34631BBE1365}" name="Column715"/>
    <tableColumn id="719" xr3:uid="{0E39CB18-3A1C-4726-A742-20237998BDB5}" name="Column716"/>
    <tableColumn id="720" xr3:uid="{CC5B2D54-90C9-48A9-A29F-2455720705FA}" name="Column717"/>
    <tableColumn id="721" xr3:uid="{63C5B8BD-5D98-47CC-9458-2ED5ADFA391B}" name="Column718"/>
    <tableColumn id="722" xr3:uid="{4030F5A0-DC7C-4940-B1C1-EBCD38953A31}" name="Column719"/>
    <tableColumn id="723" xr3:uid="{4DB6347C-8CBF-433F-9685-3E050FF3CED8}" name="Column720"/>
    <tableColumn id="724" xr3:uid="{9EF550FC-B91B-47D3-B09A-75BCAE8FEC40}" name="Column721"/>
    <tableColumn id="725" xr3:uid="{9536800E-A96B-4A39-A698-9F307081197B}" name="Column722"/>
    <tableColumn id="726" xr3:uid="{E422AC84-88F7-40EA-B4A5-B137CC2BB589}" name="Column723"/>
    <tableColumn id="727" xr3:uid="{9BE0D38E-F406-47E8-9227-CBCFF201C2FC}" name="Column724"/>
    <tableColumn id="728" xr3:uid="{C928833B-EC05-40B0-80E7-9EAD284F22B3}" name="Column725"/>
    <tableColumn id="729" xr3:uid="{B4CED0D7-C01E-4A6B-8AA2-CAE90D2E7AE8}" name="Column726"/>
    <tableColumn id="730" xr3:uid="{5F317712-83A4-4A8C-B029-17577A7E73F4}" name="Column727"/>
    <tableColumn id="731" xr3:uid="{0B2CBD09-F241-4E48-9F0E-3E46854EB22B}" name="Column728"/>
    <tableColumn id="732" xr3:uid="{CD1F5A19-7138-4512-AD97-6EB8A65B34CE}" name="Column729"/>
    <tableColumn id="733" xr3:uid="{0354B1CE-0417-4FAC-A4CB-B416B4C3E8DB}" name="Column730"/>
    <tableColumn id="734" xr3:uid="{F3BCBEEE-EA8F-42E2-A123-B4459CF0E271}" name="Column731"/>
    <tableColumn id="735" xr3:uid="{DDB31134-A167-42FE-9CA2-FBCE44D272E3}" name="Column732"/>
    <tableColumn id="736" xr3:uid="{CEA98E39-BC9D-4297-B7D8-55AB6430CE43}" name="Column733"/>
    <tableColumn id="737" xr3:uid="{6EDB4C4D-27C7-4D4E-9D1E-22638462B44E}" name="Column734"/>
    <tableColumn id="738" xr3:uid="{153FF014-64A3-4194-AF61-70F298B8A804}" name="Column735"/>
    <tableColumn id="739" xr3:uid="{1A035CC8-1782-41FE-B0D4-3BDB2E7FE864}" name="Column736"/>
    <tableColumn id="740" xr3:uid="{D05A0853-EDE2-4DA1-AB05-8FD051F09BF1}" name="Column737"/>
    <tableColumn id="741" xr3:uid="{2E2E28F8-B01B-4E8A-A0B0-92B5A78B8ADE}" name="Column738"/>
    <tableColumn id="742" xr3:uid="{1753B1E8-1B07-49B3-BBF9-0862694B7339}" name="Column739"/>
    <tableColumn id="743" xr3:uid="{A702A22D-A1AB-40A0-9C8A-DEAC233B7275}" name="Column740"/>
    <tableColumn id="744" xr3:uid="{CFE6341A-4A0C-4DB0-8A0A-ACDC1ECE60A1}" name="Column741"/>
    <tableColumn id="745" xr3:uid="{FC5095A1-31D6-45D9-BC97-655A045B43C1}" name="Column742"/>
    <tableColumn id="746" xr3:uid="{634E7FC0-0451-4909-A577-8D4DF6CA422B}" name="Column743"/>
    <tableColumn id="747" xr3:uid="{D5B985AF-47B7-4010-82D7-44530CA8CA8F}" name="Column744"/>
    <tableColumn id="748" xr3:uid="{FB797867-7363-46E9-9E8F-515CF91BBB1D}" name="Column745"/>
    <tableColumn id="749" xr3:uid="{945B1CC7-934C-4726-B3E0-77D43E7D6DFA}" name="Column746"/>
    <tableColumn id="750" xr3:uid="{90BC76B1-87C2-495F-A324-ADD64B578ABD}" name="Column747"/>
    <tableColumn id="751" xr3:uid="{D3FF0466-7B96-4730-BB9C-3756CCA072E0}" name="Column748"/>
    <tableColumn id="752" xr3:uid="{1894898D-AA1B-462D-A880-25668BEA62AF}" name="Column749"/>
    <tableColumn id="753" xr3:uid="{FF7CB7A8-C854-48A9-9DD4-8BC85BF3397F}" name="Column750"/>
    <tableColumn id="754" xr3:uid="{798F5B35-596B-4C55-918F-9F5B9E56E220}" name="Column751"/>
    <tableColumn id="755" xr3:uid="{720542C0-8C9E-460B-A8C4-5C5C731D4602}" name="Column752"/>
    <tableColumn id="756" xr3:uid="{1E41E3AC-B0DE-48A0-9A9B-9AAD910BAE4B}" name="Column753"/>
    <tableColumn id="757" xr3:uid="{8CA9EF44-A13B-4C60-BF5A-D05FD5E8E49C}" name="Column754"/>
    <tableColumn id="758" xr3:uid="{CBB8A9BE-C534-4F87-8981-ABCF391ABD14}" name="Column755"/>
    <tableColumn id="759" xr3:uid="{67ECA481-8D37-4CAB-A732-80BA07FD44B2}" name="Column756"/>
    <tableColumn id="760" xr3:uid="{9DEEA590-486B-42D1-AC8A-A2D949ABCC00}" name="Column757"/>
    <tableColumn id="761" xr3:uid="{184E9DAE-A338-46A7-8E99-F5268AAFA4BC}" name="Column758"/>
    <tableColumn id="762" xr3:uid="{B25ABAB8-4132-4572-93C9-3BBC170D2E06}" name="Column759"/>
    <tableColumn id="763" xr3:uid="{8E1FA4C9-67B7-454A-B180-90AADDB5FEA9}" name="Column760"/>
    <tableColumn id="764" xr3:uid="{E5B60FDC-5FA8-4854-9A28-A6987B5C959D}" name="Column761"/>
    <tableColumn id="765" xr3:uid="{6A078448-BA9B-4E85-97C5-1E2EDDC120DE}" name="Column762"/>
    <tableColumn id="766" xr3:uid="{872E53C4-3CDA-4605-A443-F2629D8270C6}" name="Column763"/>
    <tableColumn id="767" xr3:uid="{6546E1A1-C508-40CB-8DB6-7E7F92AA6492}" name="Column764"/>
    <tableColumn id="768" xr3:uid="{6157D294-EC63-4358-8CA5-614B43C8C270}" name="Column765"/>
    <tableColumn id="769" xr3:uid="{A5AC364D-FC47-4CB4-8F27-06C35BF68003}" name="Column766"/>
    <tableColumn id="770" xr3:uid="{4E707A0D-4EE2-448F-8AEC-0557DE6DE0C2}" name="Column767"/>
    <tableColumn id="771" xr3:uid="{AC7BE99F-68E8-4DF5-886A-D50DE0090933}" name="Column768"/>
    <tableColumn id="772" xr3:uid="{75C2767A-F4DA-49EF-8494-750610DEAC99}" name="Column769"/>
    <tableColumn id="773" xr3:uid="{76638BA0-6C52-4685-94E6-409F6FA1EFDE}" name="Column770"/>
    <tableColumn id="774" xr3:uid="{6F1A0041-4A9F-404B-9819-9209F72E432F}" name="Column771"/>
    <tableColumn id="775" xr3:uid="{229E69B6-D7A1-4C09-A3EB-178637EF23F7}" name="Column772"/>
    <tableColumn id="776" xr3:uid="{CF8EB731-9A96-4471-B37F-BE175CBE8C4B}" name="Column773"/>
    <tableColumn id="777" xr3:uid="{B4DB321C-1046-4458-9361-04733DBF3CFB}" name="Column774"/>
    <tableColumn id="778" xr3:uid="{2983302F-B60D-4813-B8F7-AB8B1AD03855}" name="Column775"/>
    <tableColumn id="779" xr3:uid="{ACBBC289-3ADE-4762-8BA5-56273EF00086}" name="Column776"/>
    <tableColumn id="780" xr3:uid="{92006B4D-F268-46F3-9CCF-0606863DE6B6}" name="Column777"/>
    <tableColumn id="781" xr3:uid="{EAFA9EC9-F828-4B7F-B1DE-608B00A9539E}" name="Column778"/>
    <tableColumn id="782" xr3:uid="{373EE700-F154-4662-A3A0-25CA923AF183}" name="Column779"/>
    <tableColumn id="783" xr3:uid="{E205FA7E-E765-4543-880B-8E44D0A506B2}" name="Column780"/>
    <tableColumn id="784" xr3:uid="{7949C622-2302-4B2A-8DA8-CEB9EBD1CFBD}" name="Column781"/>
    <tableColumn id="785" xr3:uid="{8FA50CC7-FFD0-4A3A-A815-278D67EB3E02}" name="Column782"/>
    <tableColumn id="786" xr3:uid="{8FEB1780-60C0-41DA-AA65-A6CD0AB0E98A}" name="Column783"/>
    <tableColumn id="787" xr3:uid="{B3E37752-89DB-4D3D-84B9-090768AC55C4}" name="Column784"/>
    <tableColumn id="788" xr3:uid="{8C277859-7D9E-4939-8A1C-BF98B0CDD6CC}" name="Column785"/>
    <tableColumn id="789" xr3:uid="{9F78880B-7D2C-4AD9-A908-E30E7A64FC78}" name="Column786"/>
    <tableColumn id="790" xr3:uid="{E1688F44-5D7D-4DCA-9D60-3DBC0C315C4A}" name="Column787"/>
    <tableColumn id="791" xr3:uid="{D610B55B-CC89-42DB-85C9-8FB1DEBAF9B3}" name="Column788"/>
    <tableColumn id="792" xr3:uid="{307F9DC5-10B7-4790-8FB2-9082E07FB988}" name="Column789"/>
    <tableColumn id="793" xr3:uid="{41708401-1C45-46F2-A0CA-B831107A9343}" name="Column790"/>
    <tableColumn id="794" xr3:uid="{EB164679-121E-45D8-9CD7-AFABED6496E5}" name="Column791"/>
    <tableColumn id="795" xr3:uid="{6E908613-D4C2-4308-B37A-3D04C3FBF9E3}" name="Column792"/>
    <tableColumn id="796" xr3:uid="{794BCCA2-595E-47BC-B705-2AA8076990BB}" name="Column793"/>
    <tableColumn id="797" xr3:uid="{D9FEB2D6-61D8-49B9-90A0-71A7CA0221DF}" name="Column794"/>
    <tableColumn id="798" xr3:uid="{BDF4F035-C51C-4948-BCF6-E57D068999A4}" name="Column795"/>
    <tableColumn id="799" xr3:uid="{0482ED01-FCD2-4AAE-834D-155B52045338}" name="Column796"/>
    <tableColumn id="800" xr3:uid="{11C16839-69B5-4189-9EA3-C3C6E9CA130F}" name="Column797"/>
    <tableColumn id="801" xr3:uid="{50036C8B-1D47-487D-81C8-8AAD3ADA1B37}" name="Column798"/>
    <tableColumn id="802" xr3:uid="{BB3C5E68-2ECA-4F7D-9695-FAF55688D609}" name="Column799"/>
    <tableColumn id="803" xr3:uid="{FC227C1C-8107-4B9B-A91F-21B217C00ED4}" name="Column800"/>
    <tableColumn id="804" xr3:uid="{F0E1BECA-AC6A-4077-B370-B60FE51D3E73}" name="Column801"/>
    <tableColumn id="805" xr3:uid="{F39558DF-5B3A-4FD5-9926-0D730A211F60}" name="Column802"/>
    <tableColumn id="806" xr3:uid="{25ED9DB1-18E2-4917-B67F-2AABEFA36ACF}" name="Column803"/>
    <tableColumn id="807" xr3:uid="{DDBD3325-2D4A-4990-B28C-6E64D55D718A}" name="Column804"/>
    <tableColumn id="808" xr3:uid="{F3910DD2-7142-4E1A-AD7F-556EE2E294CF}" name="Column805"/>
    <tableColumn id="809" xr3:uid="{1A6C6992-C4E3-4171-96D3-637461FE02A2}" name="Column806"/>
    <tableColumn id="810" xr3:uid="{1BCD4DC8-0C38-4F4F-97B9-D102C474FD3E}" name="Column807"/>
    <tableColumn id="811" xr3:uid="{FD4E9FC8-0DCA-443D-BF7C-27A711F45CB0}" name="Column808"/>
    <tableColumn id="812" xr3:uid="{CE5DAF83-1110-4852-B11A-DDC5CF6CC2B5}" name="Column809"/>
    <tableColumn id="813" xr3:uid="{E731239E-D811-47E7-BE27-7A02A8D0207B}" name="Column810"/>
    <tableColumn id="814" xr3:uid="{7609BFB5-5FED-4084-9ACE-00B561915C03}" name="Column811"/>
    <tableColumn id="815" xr3:uid="{CF9FC6B2-7039-4CE4-A0FD-83D2358AAEC0}" name="Column812"/>
    <tableColumn id="816" xr3:uid="{124AB1C5-DBEA-41A0-9ACD-77C067A2EA13}" name="Column813"/>
    <tableColumn id="817" xr3:uid="{50707BFD-E489-49B7-BF31-FCEE66C2D7FD}" name="Column814"/>
    <tableColumn id="818" xr3:uid="{F5D128D9-F7D9-4A58-90F8-8843B0B01766}" name="Column815"/>
    <tableColumn id="819" xr3:uid="{6FC8FD99-919C-40E8-A080-E589D2E38741}" name="Column816"/>
    <tableColumn id="820" xr3:uid="{98276BCD-A880-4985-B848-FC05D58DB75A}" name="Column817"/>
    <tableColumn id="821" xr3:uid="{CF5A9102-67F8-450F-AE72-C060FF7177C1}" name="Column818"/>
    <tableColumn id="822" xr3:uid="{29A4CF8D-C455-41EC-B20A-3428FE972AC1}" name="Column819"/>
    <tableColumn id="823" xr3:uid="{66728FCC-EA9D-42B1-B020-E4C68E0C212F}" name="Column820"/>
    <tableColumn id="824" xr3:uid="{D90C1F55-4EF9-4CE2-A9E3-BFF14C441C34}" name="Column821"/>
    <tableColumn id="825" xr3:uid="{FCF636AF-EF12-4902-B224-7AD6A8979058}" name="Column822"/>
    <tableColumn id="826" xr3:uid="{D93BC5CD-46D8-4FB6-B538-A66E4B870CAB}" name="Column823"/>
    <tableColumn id="827" xr3:uid="{9B6E65F2-F4DC-486E-91DD-8A488C4D92DE}" name="Column824"/>
    <tableColumn id="828" xr3:uid="{CE1A2F12-BA88-45CE-836D-AAB31BB4F081}" name="Column825"/>
    <tableColumn id="829" xr3:uid="{718A400F-B2BA-4CEF-99D3-6D8498E0D966}" name="Column826"/>
    <tableColumn id="830" xr3:uid="{BA4BE4BE-6521-48B5-97F3-C2A42CA2B1F2}" name="Column827"/>
    <tableColumn id="831" xr3:uid="{10C26D81-F7D3-4C36-989A-45D68F330C5F}" name="Column828"/>
    <tableColumn id="832" xr3:uid="{D84D59F3-6500-4345-86E2-4B436FED656D}" name="Column829"/>
    <tableColumn id="833" xr3:uid="{D705DAB6-7A4E-4C24-A55C-1445A81B27A1}" name="Column830"/>
    <tableColumn id="834" xr3:uid="{5E753F16-7ABF-4165-9750-EABDF2220F27}" name="Column831"/>
    <tableColumn id="835" xr3:uid="{1E1F5017-59EE-477F-8A93-31CEDD3C3470}" name="Column832"/>
    <tableColumn id="836" xr3:uid="{E9129EE2-99F4-4050-A066-7F43D8F6C89A}" name="Column833"/>
    <tableColumn id="837" xr3:uid="{D7F74FC6-CE6A-46E1-A28E-C907507CEC68}" name="Column834"/>
    <tableColumn id="838" xr3:uid="{EA2C4B00-0FFF-4329-8FEE-ED761850770C}" name="Column835"/>
    <tableColumn id="839" xr3:uid="{CAA2D601-8313-4168-87D3-7C502FB16FF1}" name="Column836"/>
    <tableColumn id="840" xr3:uid="{13CA883B-C32F-4201-BD74-B336A8DCC29B}" name="Column837"/>
    <tableColumn id="841" xr3:uid="{653D0ADA-35EE-4B86-9490-B4B6464F6A87}" name="Column838"/>
    <tableColumn id="842" xr3:uid="{04292788-87F2-4D14-AA77-63EC2315D528}" name="Column839"/>
    <tableColumn id="843" xr3:uid="{AF154034-F4FB-48DF-99FC-0C90DBA74BE7}" name="Column840"/>
    <tableColumn id="844" xr3:uid="{46BC9A42-E229-4A95-9F20-BF6207D3A396}" name="Column841"/>
    <tableColumn id="845" xr3:uid="{F08FC8DA-A5B3-47D2-B962-A56F9A3E6763}" name="Column842"/>
    <tableColumn id="846" xr3:uid="{492807E6-47E1-4811-A684-314F837C9855}" name="Column843"/>
    <tableColumn id="847" xr3:uid="{B77ABB28-6F4B-414A-B9D0-491B552F363C}" name="Column844"/>
    <tableColumn id="848" xr3:uid="{A1293209-BB67-4DEA-BBB0-6947DD44E101}" name="Column845"/>
    <tableColumn id="849" xr3:uid="{45F6A35A-E19C-4E47-8A68-965426BF059F}" name="Column846"/>
    <tableColumn id="850" xr3:uid="{68E44BEA-F037-4EA6-8935-8C67EED733FC}" name="Column847"/>
    <tableColumn id="851" xr3:uid="{E10D93F7-D1BC-4097-911F-E96624262E53}" name="Column848"/>
    <tableColumn id="852" xr3:uid="{2DD59A08-C312-4833-9975-F98FB12EC73E}" name="Column849"/>
    <tableColumn id="853" xr3:uid="{665933AE-0BA1-4CB3-8F17-7FEC7F2CBCD7}" name="Column850"/>
    <tableColumn id="854" xr3:uid="{94921915-10E7-4659-918D-204C5B425E62}" name="Column851"/>
    <tableColumn id="855" xr3:uid="{193EF6FD-48BD-43BB-AFDC-B5B15232C4A5}" name="Column852"/>
    <tableColumn id="856" xr3:uid="{2438F890-966D-4E11-9478-B85818C3C70A}" name="Column853"/>
    <tableColumn id="857" xr3:uid="{0F52142A-53C9-486F-B640-D89BEE91127C}" name="Column854"/>
    <tableColumn id="858" xr3:uid="{8F27A259-5B82-41B4-B478-9F0D29CB7F43}" name="Column855"/>
    <tableColumn id="859" xr3:uid="{71D58CE4-5CFF-4C6A-99B8-C10A2A6D62FF}" name="Column856"/>
    <tableColumn id="860" xr3:uid="{03644881-E725-44CC-888E-D549717C15EC}" name="Column857"/>
    <tableColumn id="861" xr3:uid="{5E722E58-751F-4033-BDA6-27DA7D49EBC8}" name="Column858"/>
    <tableColumn id="862" xr3:uid="{62DF3FE6-FD62-4D72-A5E9-A6A221AF9F66}" name="Column859"/>
    <tableColumn id="863" xr3:uid="{F4A52D7A-D444-4F61-A7FF-8F52F7246CDE}" name="Column860"/>
    <tableColumn id="864" xr3:uid="{CF38BE16-1AB5-4F72-B082-8A2E17D35771}" name="Column861"/>
    <tableColumn id="865" xr3:uid="{C02A4850-D1EA-479E-BC86-26FC1B6867C3}" name="Column862"/>
    <tableColumn id="866" xr3:uid="{A5AB4132-C762-4CC7-B9D3-B3A54B80235F}" name="Column863"/>
    <tableColumn id="867" xr3:uid="{9562B955-4012-4EBE-8FD0-2F0B726A760A}" name="Column864"/>
    <tableColumn id="868" xr3:uid="{794585A3-BDCF-4D71-BD94-9E6E4BF4FB7E}" name="Column865"/>
    <tableColumn id="869" xr3:uid="{7BBE2945-29E5-4FAD-98A1-0AB8E58CAADB}" name="Column866"/>
    <tableColumn id="870" xr3:uid="{07E3CBF7-1362-48DA-88C9-178323E440E8}" name="Column867"/>
    <tableColumn id="871" xr3:uid="{4AB422D6-C21E-4161-A9FA-864B6331D4C5}" name="Column868"/>
    <tableColumn id="872" xr3:uid="{2FD4DDB9-DF45-4901-BE19-A0C25C66D9AC}" name="Column869"/>
    <tableColumn id="873" xr3:uid="{BBB18504-EE73-4391-ABB1-24220BEF01B3}" name="Column870"/>
    <tableColumn id="874" xr3:uid="{FBFAFCFD-74E0-4D38-BCBC-4D56011444AA}" name="Column871"/>
    <tableColumn id="875" xr3:uid="{C754863B-8365-4703-BFF7-9340CD988748}" name="Column872"/>
    <tableColumn id="876" xr3:uid="{11E92D4C-43BD-4DCA-9DE6-2C5EFC72BC18}" name="Column873"/>
    <tableColumn id="877" xr3:uid="{AC6CCB90-617B-43F5-B8D7-5726DEC26CC2}" name="Column874"/>
    <tableColumn id="878" xr3:uid="{67137BEE-EA03-4A91-8BB6-CF0A97FF68DD}" name="Column875"/>
    <tableColumn id="879" xr3:uid="{CA3C70A4-FBA1-480D-BE9A-183FC93020A9}" name="Column876"/>
    <tableColumn id="880" xr3:uid="{ACF960D6-2530-48AF-BEAB-8F97B28696B1}" name="Column877"/>
    <tableColumn id="881" xr3:uid="{14792CF1-5FEA-4AAF-B140-614D76A95955}" name="Column878"/>
    <tableColumn id="882" xr3:uid="{B30B7575-6EF4-48D8-86CF-28CCDC6D2C00}" name="Column879"/>
    <tableColumn id="883" xr3:uid="{396AB127-FDC0-4A83-8D71-48C27D2EBC2C}" name="Column880"/>
    <tableColumn id="884" xr3:uid="{2B99CB0B-0F5C-4FF6-89EE-5D42A42CBA48}" name="Column881"/>
    <tableColumn id="885" xr3:uid="{8DF0C3D2-F283-49B5-BA25-BC69A259D152}" name="Column882"/>
    <tableColumn id="886" xr3:uid="{6D8ADBA5-ABBC-4145-87F4-F35122989C49}" name="Column883"/>
    <tableColumn id="887" xr3:uid="{C4FD388E-D3D2-4976-9905-3780BFCDC8DE}" name="Column884"/>
    <tableColumn id="888" xr3:uid="{209877D4-39DF-4C91-A201-405C16F6AC28}" name="Column885"/>
    <tableColumn id="889" xr3:uid="{3C7C589F-CEC2-4CA8-B1B6-9758D346B0D4}" name="Column886"/>
    <tableColumn id="890" xr3:uid="{C35AFDF1-20E8-46D4-900B-AB7262C8BF57}" name="Column887"/>
    <tableColumn id="891" xr3:uid="{B0C3D420-ED49-4DAE-82DB-746ABA18A28D}" name="Column888"/>
    <tableColumn id="892" xr3:uid="{C49D2FAD-3D7D-4F63-85DC-C36007F6FB47}" name="Column889"/>
    <tableColumn id="893" xr3:uid="{10733311-6AAF-4980-B45A-E14BE7CE56E9}" name="Column890"/>
    <tableColumn id="894" xr3:uid="{F1072143-537B-410F-9762-8F6466FBFD6D}" name="Column891"/>
    <tableColumn id="895" xr3:uid="{CD0919EC-37EB-4D95-B8A6-3A230D9B0057}" name="Column892"/>
    <tableColumn id="896" xr3:uid="{07C974F9-1D00-4C53-B60D-823C6008B0FB}" name="Column893"/>
    <tableColumn id="897" xr3:uid="{E94C3362-F7ED-4962-AFEF-342B3CC6FF84}" name="Column894"/>
    <tableColumn id="898" xr3:uid="{279633EE-130C-47F4-A00B-AF6EBD4A8680}" name="Column895"/>
    <tableColumn id="899" xr3:uid="{F59EDEA9-8C41-4DAD-AA4C-BDFFA21C1427}" name="Column896"/>
    <tableColumn id="900" xr3:uid="{0FFF09D0-1405-48F7-ABC6-C230081D6C99}" name="Column897"/>
    <tableColumn id="901" xr3:uid="{5D59A749-601E-4839-89BA-2B61EE721D3E}" name="Column898"/>
    <tableColumn id="902" xr3:uid="{8FDE2327-7BBC-4C82-A567-637EFE7EC3BF}" name="Column899"/>
    <tableColumn id="903" xr3:uid="{BC9AE3FA-CA74-4FA2-8385-8873F9EC6E31}" name="Column900"/>
    <tableColumn id="904" xr3:uid="{D14B14AB-D1DF-4E0A-9CAD-CB60886C9247}" name="Column901"/>
    <tableColumn id="905" xr3:uid="{BFEFDA57-455B-4871-9605-D7F7491C4600}" name="Column902"/>
    <tableColumn id="906" xr3:uid="{CA2B1C0F-8805-499F-8849-C1704BC5EC6A}" name="Column903"/>
    <tableColumn id="907" xr3:uid="{3BE9BF6A-F4CE-4618-9992-C8F890F8B5CA}" name="Column904"/>
    <tableColumn id="908" xr3:uid="{D67D3CD1-DDFD-4563-AACA-3B1A448E78B1}" name="Column905"/>
    <tableColumn id="909" xr3:uid="{08F2C7C8-2C58-4CFF-A520-6BEF5985230E}" name="Column906"/>
    <tableColumn id="910" xr3:uid="{2A390ACF-18B2-412C-BF99-8DF6A703689F}" name="Column907"/>
    <tableColumn id="911" xr3:uid="{E11659C8-8BB4-4E68-AF8D-9F4C94AF7F3C}" name="Column908"/>
    <tableColumn id="912" xr3:uid="{90F785CA-880B-4397-B9FD-5B3E50D07F06}" name="Column909"/>
    <tableColumn id="913" xr3:uid="{DBBFB115-569E-4F0A-926C-700EC9F321C8}" name="Column910"/>
    <tableColumn id="914" xr3:uid="{7E93FC2E-DC76-4A03-A946-E9C607665246}" name="Column911"/>
    <tableColumn id="915" xr3:uid="{BFBEFED9-7227-4F0E-B479-A0561BDABEC1}" name="Column912"/>
    <tableColumn id="916" xr3:uid="{E8444DCA-DD14-4A5C-B5DC-87DF3FDF1A1A}" name="Column913"/>
    <tableColumn id="917" xr3:uid="{D86D3A8F-3D93-4804-84B1-231FF17140E3}" name="Column914"/>
    <tableColumn id="918" xr3:uid="{75BDCC05-A127-4D27-9D2B-9AB8BB924ACB}" name="Column915"/>
    <tableColumn id="919" xr3:uid="{BDFE41E4-50D1-44B6-8345-7D8460FFB2AB}" name="Column916"/>
    <tableColumn id="920" xr3:uid="{DA352046-079B-4AE3-964C-8D8189F7C768}" name="Column917"/>
    <tableColumn id="921" xr3:uid="{E32E7265-4B43-4A87-A377-9587BF6F6823}" name="Column918"/>
    <tableColumn id="922" xr3:uid="{A591B058-C04D-4941-A4EB-4AEAE5E9F22E}" name="Column919"/>
    <tableColumn id="923" xr3:uid="{3E651BE8-2B82-49AE-9A75-5BB1E9DB0B75}" name="Column920"/>
    <tableColumn id="924" xr3:uid="{8F0C0441-0368-4430-BAC5-E375F21BCE79}" name="Column921"/>
    <tableColumn id="925" xr3:uid="{0A240412-2CBE-4CC9-834F-FEF07313AA0B}" name="Column922"/>
    <tableColumn id="926" xr3:uid="{3FBC8119-583A-43AC-BE04-BCD2B4D24796}" name="Column923"/>
    <tableColumn id="927" xr3:uid="{1790E886-3E69-4242-A37B-F70329EA196C}" name="Column924"/>
    <tableColumn id="928" xr3:uid="{D064B051-7E57-498A-B6BA-6F9F8C86D669}" name="Column925"/>
    <tableColumn id="929" xr3:uid="{8E37953D-1BFE-4573-BCFE-1DA2ACE5A417}" name="Column926"/>
    <tableColumn id="930" xr3:uid="{66D5CE92-2933-4C5B-A210-D9A169B3E4D9}" name="Column927"/>
    <tableColumn id="931" xr3:uid="{13A754E5-B8D5-45AD-86DF-FCAE5630EAD6}" name="Column928"/>
    <tableColumn id="932" xr3:uid="{672AE1F8-DF66-48CA-B6AF-0FED199493E8}" name="Column929"/>
    <tableColumn id="933" xr3:uid="{244A93F7-09AE-4713-B0CD-CBD31115F228}" name="Column930"/>
    <tableColumn id="934" xr3:uid="{F98CBB94-625C-41AC-AA89-C3A74375F3D6}" name="Column931"/>
    <tableColumn id="935" xr3:uid="{E90080AB-20E0-4EEA-AE85-473BF042D056}" name="Column932"/>
    <tableColumn id="936" xr3:uid="{449C4214-6E57-4B81-B174-BA9947D5DC8C}" name="Column933"/>
    <tableColumn id="937" xr3:uid="{7A0652C5-85DE-434A-BE87-54F2B57515E4}" name="Column934"/>
    <tableColumn id="938" xr3:uid="{B8BD7F9E-8F93-482E-94E6-EEBA5C04C2E6}" name="Column935"/>
    <tableColumn id="939" xr3:uid="{F54986A5-42B1-4AD4-8095-E059F0BC5BF2}" name="Column936"/>
    <tableColumn id="940" xr3:uid="{0D391EBB-3B96-4354-98D0-C18F1D87947D}" name="Column937"/>
    <tableColumn id="941" xr3:uid="{6AF32567-3432-4B01-A33E-49C11261A805}" name="Column938"/>
    <tableColumn id="942" xr3:uid="{E1C7079B-5E60-4CDC-8FFE-6683D33C02F3}" name="Column939"/>
    <tableColumn id="943" xr3:uid="{F36AA04F-2A8C-49E6-A5C5-6740E823E404}" name="Column940"/>
    <tableColumn id="944" xr3:uid="{37720C86-92A6-497E-9ADD-C32357B3FEC5}" name="Column941"/>
    <tableColumn id="945" xr3:uid="{BF92B703-21E4-42A1-B7CC-A7766BFD0447}" name="Column942"/>
    <tableColumn id="946" xr3:uid="{6485F139-FB0C-483F-84FC-1A8155081648}" name="Column943"/>
    <tableColumn id="947" xr3:uid="{C4586885-87B8-43D6-98CD-57D0BD7A4E6D}" name="Column944"/>
    <tableColumn id="948" xr3:uid="{47D84BE8-16E1-4FA9-A100-06A5B748AC08}" name="Column945"/>
    <tableColumn id="949" xr3:uid="{E0A89A44-ED48-41AE-8E7A-09F958053EDB}" name="Column946"/>
    <tableColumn id="950" xr3:uid="{5E58BC56-26E4-4606-9362-9EB3B0A379B2}" name="Column947"/>
    <tableColumn id="951" xr3:uid="{0838FE82-25F5-4479-9435-0B5DDFA303E0}" name="Column948"/>
    <tableColumn id="952" xr3:uid="{FFB5EBAD-7953-4C75-86B1-3AC743080264}" name="Column949"/>
    <tableColumn id="953" xr3:uid="{5A50761F-0DE8-49B5-930D-F91B00359BD6}" name="Column950"/>
    <tableColumn id="954" xr3:uid="{EB53C202-C112-4B46-B8DF-F89416B05B49}" name="Column951"/>
    <tableColumn id="955" xr3:uid="{7C7DBEFE-7DFD-4686-985E-0E9855D0C40C}" name="Column952"/>
    <tableColumn id="956" xr3:uid="{F9F81FD5-6421-4B17-877A-8018279EA7F8}" name="Column953"/>
    <tableColumn id="957" xr3:uid="{43407B73-23D0-466F-BBDE-BDC046D19ECE}" name="Column954"/>
    <tableColumn id="958" xr3:uid="{A7C73773-9747-464C-B026-0AC2FEF72BD4}" name="Column955"/>
    <tableColumn id="959" xr3:uid="{4B148A01-5C76-4566-996F-46469C11515F}" name="Column956"/>
    <tableColumn id="960" xr3:uid="{06D398C0-49CD-41A0-A54C-11EB95D36890}" name="Column957"/>
    <tableColumn id="961" xr3:uid="{716B276C-93C2-45D8-8723-A3E32E6EEA64}" name="Column958"/>
    <tableColumn id="962" xr3:uid="{F2774049-22A1-4A33-AEBF-28D1AD544987}" name="Column959"/>
    <tableColumn id="963" xr3:uid="{97CA971B-8BD0-4586-A71A-9948D847D080}" name="Column960"/>
    <tableColumn id="964" xr3:uid="{0041B9C2-2197-4DC0-BFE4-8C027BA8FA0C}" name="Column961"/>
    <tableColumn id="965" xr3:uid="{32B38868-3405-45E7-8393-67C02B9FB3DF}" name="Column962"/>
    <tableColumn id="966" xr3:uid="{BB983E37-CE2F-494B-B4C7-514DA8EBF19E}" name="Column963"/>
    <tableColumn id="967" xr3:uid="{781575BF-928C-47F7-9A6F-C42EAF9BC0DC}" name="Column964"/>
    <tableColumn id="968" xr3:uid="{EABB839D-99C1-4CA4-9086-3D6E13EE7BAF}" name="Column965"/>
    <tableColumn id="969" xr3:uid="{22E245D6-F42B-4C6B-81C2-C3A4374A97EF}" name="Column966"/>
    <tableColumn id="970" xr3:uid="{67F436E0-46F4-4347-A097-68C572210133}" name="Column967"/>
    <tableColumn id="971" xr3:uid="{7DD85040-78E7-4DF8-9D7C-D71B477B41E7}" name="Column968"/>
    <tableColumn id="972" xr3:uid="{AAC194C7-BE81-4C3A-8B49-906003B931B2}" name="Column969"/>
    <tableColumn id="973" xr3:uid="{9FF58CDA-5C09-402B-824F-F4F5078A2513}" name="Column970"/>
    <tableColumn id="974" xr3:uid="{364FA428-CE07-499E-8B48-6FD7EDBB8C0F}" name="Column971"/>
    <tableColumn id="975" xr3:uid="{7BC3DA39-4643-4DB5-8891-EA267B80BAFA}" name="Column972"/>
    <tableColumn id="976" xr3:uid="{80B351B8-563D-4C99-824D-0455CBFCC8CA}" name="Column973"/>
    <tableColumn id="977" xr3:uid="{B1BA7603-A080-4945-BC23-676B9E97E255}" name="Column974"/>
    <tableColumn id="978" xr3:uid="{389C4151-64D0-4D3D-9853-46215CBD45AF}" name="Column975"/>
    <tableColumn id="979" xr3:uid="{8EF53902-AAB5-4CCC-B3A1-74BBB897C8A1}" name="Column976"/>
    <tableColumn id="980" xr3:uid="{7E842702-624F-4D9C-959A-5E1A48AEBB97}" name="Column977"/>
    <tableColumn id="981" xr3:uid="{94B38C66-0F42-4229-8727-91F80153C74D}" name="Column978"/>
    <tableColumn id="982" xr3:uid="{13955022-DB7A-4D55-8C02-23AC6904F85E}" name="Column979"/>
    <tableColumn id="983" xr3:uid="{85C00AD6-8C28-4AD7-A2FC-DBC685D94822}" name="Column980"/>
    <tableColumn id="984" xr3:uid="{0A2A6931-11A9-4639-8922-5FC355A5278F}" name="Column981"/>
    <tableColumn id="985" xr3:uid="{944F9E13-4E4A-4C06-A437-387112BB78E9}" name="Column982"/>
    <tableColumn id="986" xr3:uid="{6FD63A36-B945-4EAC-B4CD-EE96F7F85B71}" name="Column983"/>
    <tableColumn id="987" xr3:uid="{74CDE5FF-68C5-4D5B-A46F-392BDD0CF5A9}" name="Column984"/>
    <tableColumn id="988" xr3:uid="{CC272B08-D2D0-4D70-A10E-BDA9349CD39A}" name="Column985"/>
    <tableColumn id="989" xr3:uid="{F284CA07-ABBC-446C-8451-EFA876CF20FC}" name="Column986"/>
    <tableColumn id="990" xr3:uid="{3489D4B9-90D0-4C36-A899-C5E7F79EB035}" name="Column987"/>
    <tableColumn id="991" xr3:uid="{A37B74FB-5046-4957-AAE1-595908CC8599}" name="Column988"/>
    <tableColumn id="992" xr3:uid="{6D9819B1-5531-4B34-94F6-E6F2F130F249}" name="Column989"/>
    <tableColumn id="993" xr3:uid="{EF55D8A5-A717-40EA-8036-E3E8E2BD5364}" name="Column990"/>
    <tableColumn id="994" xr3:uid="{FEB71828-4650-44A2-9D30-854404139C4E}" name="Column991"/>
    <tableColumn id="995" xr3:uid="{060E43D6-4C2B-4FBF-905B-A7CBF220FFC4}" name="Column992"/>
    <tableColumn id="996" xr3:uid="{E49121AE-42F5-4370-98FD-AEC28B511595}" name="Column993"/>
    <tableColumn id="997" xr3:uid="{0642F717-D38B-4C4D-B3C4-58C769960733}" name="Column994"/>
    <tableColumn id="998" xr3:uid="{1543C92E-913A-4E50-93E4-FB908E7032D0}" name="Column995"/>
    <tableColumn id="999" xr3:uid="{29A6A9D1-2FBF-42E4-98EE-FD9E98A6B1E8}" name="Column996"/>
    <tableColumn id="1000" xr3:uid="{9370A309-6400-422F-A349-41FA38DD7647}" name="Column997"/>
    <tableColumn id="1001" xr3:uid="{DC381A46-E6D1-414D-9615-7C45493A58C5}" name="Column998"/>
    <tableColumn id="1002" xr3:uid="{0F736F5A-2C9F-4506-BFBF-22D3229A2201}" name="Column999"/>
    <tableColumn id="1003" xr3:uid="{8CD0362D-95D2-4AEC-977E-0F03B2EE9CFF}" name="Column1000"/>
    <tableColumn id="1004" xr3:uid="{714FB135-70CE-4BA3-8600-18A34FB15170}" name="Column1001"/>
    <tableColumn id="1005" xr3:uid="{2D03D8F4-BB82-4754-82F8-7A75868172C3}" name="Column1002"/>
    <tableColumn id="1006" xr3:uid="{B691EC43-D3BB-4135-984C-041FDD07BE11}" name="Column1003"/>
    <tableColumn id="1007" xr3:uid="{5F5144DC-56EF-46EA-AAD3-ED4FB132BFCA}" name="Column1004"/>
    <tableColumn id="1008" xr3:uid="{A527ED53-9CD8-42F9-B8E4-9F84985E9AB5}" name="Column1005"/>
    <tableColumn id="1009" xr3:uid="{0CEC662B-0576-4597-A7EB-DB52E076737F}" name="Column1006"/>
    <tableColumn id="1010" xr3:uid="{B71EE868-FED8-4FBF-8B05-884A74B72EE3}" name="Column1007"/>
    <tableColumn id="1011" xr3:uid="{25316F26-965A-4960-81EB-C4992516C181}" name="Column1008"/>
    <tableColumn id="1012" xr3:uid="{DF5F971B-1CB8-4AC7-A37C-588DC0980B9E}" name="Column1009"/>
    <tableColumn id="1013" xr3:uid="{809F576E-080C-473E-A884-CD2DF432DE91}" name="Column1010"/>
    <tableColumn id="1014" xr3:uid="{2043F08C-FAC6-4462-8BB9-5628B0D964A1}" name="Column1011"/>
    <tableColumn id="1015" xr3:uid="{4AF95FCF-0F96-4923-8545-A479258AF93C}" name="Column1012"/>
    <tableColumn id="1016" xr3:uid="{BD9663EB-7469-4348-98EF-80B5F24C4E9D}" name="Column1013"/>
    <tableColumn id="1017" xr3:uid="{120FEED8-8BE6-4021-A403-A2AA35764159}" name="Column1014"/>
    <tableColumn id="1018" xr3:uid="{435349E9-ACE9-4410-9A09-CFDD0B82D1EA}" name="Column1015"/>
    <tableColumn id="1019" xr3:uid="{E874A115-E759-4426-9756-E29A2D0C9596}" name="Column1016"/>
    <tableColumn id="1020" xr3:uid="{F2C2587A-61A3-4FB8-8D31-E0A29B637BD7}" name="Column1017"/>
    <tableColumn id="1021" xr3:uid="{2C01B3D9-A87D-453B-B4AC-B45125D04E34}" name="Column1018"/>
    <tableColumn id="1022" xr3:uid="{E04F1360-FABA-4BEB-895F-CDCE3F4917B6}" name="Column1019"/>
    <tableColumn id="1023" xr3:uid="{C90074B5-A6B0-4F62-823C-38705149A585}" name="Column1020"/>
    <tableColumn id="1024" xr3:uid="{6B8746BF-BD23-41C1-BAE3-E072EBFDF42A}" name="Column1021"/>
    <tableColumn id="1025" xr3:uid="{EB854BAA-AED4-4A81-8C27-5E60F2D86E86}" name="Column1022"/>
    <tableColumn id="1026" xr3:uid="{1F5D9CD2-D548-4113-83FC-CAADC3213F64}" name="Column1023"/>
    <tableColumn id="1027" xr3:uid="{EFC35791-683C-4040-A161-F453F4D99437}" name="Column1024"/>
    <tableColumn id="1028" xr3:uid="{7B8A8954-F491-4D3E-8F7C-DE5236B63CF2}" name="Column1025"/>
    <tableColumn id="1029" xr3:uid="{0705D837-7A60-42FB-9878-5776065FB31B}" name="Column1026"/>
    <tableColumn id="1030" xr3:uid="{3349940B-8ABE-447F-A7E8-4DCEBB891A88}" name="Column1027"/>
    <tableColumn id="1031" xr3:uid="{57C09410-5D08-49F2-99A6-2ADABB4A5B18}" name="Column1028"/>
    <tableColumn id="1032" xr3:uid="{02B6EBCB-6A83-4DCD-AD66-A1E9E666BD1D}" name="Column1029"/>
    <tableColumn id="1033" xr3:uid="{D162700D-30EB-4284-9EFF-2DB54CC519BF}" name="Column1030"/>
    <tableColumn id="1034" xr3:uid="{57843E46-CE5F-491B-AB71-E891EB34823F}" name="Column1031"/>
    <tableColumn id="1035" xr3:uid="{CE7E325C-B76B-41FB-B871-B40C1D2233B8}" name="Column1032"/>
    <tableColumn id="1036" xr3:uid="{332EF8EF-1D4A-4EC2-A6C2-A47C872F6109}" name="Column1033"/>
    <tableColumn id="1037" xr3:uid="{85A47782-0DB4-4C8A-855D-4E31C21730AD}" name="Column1034"/>
    <tableColumn id="1038" xr3:uid="{E84584C4-6E25-491A-916C-F816F938D11A}" name="Column1035"/>
    <tableColumn id="1039" xr3:uid="{6142FECF-C2EF-4CDB-B5A6-975CC0E628A3}" name="Column1036"/>
    <tableColumn id="1040" xr3:uid="{11D61D00-4E74-4709-BA15-17AD1F385848}" name="Column1037"/>
    <tableColumn id="1041" xr3:uid="{8F075722-EF31-484B-9355-E8381F08650F}" name="Column1038"/>
    <tableColumn id="1042" xr3:uid="{0AB2F217-F051-4434-A330-0AA70609345A}" name="Column1039"/>
    <tableColumn id="1043" xr3:uid="{6FCEAE64-3484-47BA-B86C-B8943475E399}" name="Column1040"/>
    <tableColumn id="1044" xr3:uid="{2B55D9F6-1C8B-473F-9EC2-DFE47D7B719D}" name="Column1041"/>
    <tableColumn id="1045" xr3:uid="{2AD54FE3-9FA3-43A8-9C2A-EF1096523143}" name="Column1042"/>
    <tableColumn id="1046" xr3:uid="{49DFD8CF-0C79-45F4-8F64-C5222B658398}" name="Column1043"/>
    <tableColumn id="1047" xr3:uid="{F2B8548A-4E75-4FC0-BACF-3E6894074300}" name="Column1044"/>
    <tableColumn id="1048" xr3:uid="{695C1869-8DD4-4E96-9C00-B0534B346C34}" name="Column1045"/>
    <tableColumn id="1049" xr3:uid="{27A897EC-A7F6-4D43-96AB-69D5A698E5F9}" name="Column1046"/>
    <tableColumn id="1050" xr3:uid="{ADA19F61-CDCB-4E0E-B484-D38A032FD5EE}" name="Column1047"/>
    <tableColumn id="1051" xr3:uid="{7A37117C-00B0-40C4-B7F5-3570A5639D60}" name="Column1048"/>
    <tableColumn id="1052" xr3:uid="{A600D7BC-2445-480C-8245-82A53DD8034C}" name="Column1049"/>
    <tableColumn id="1053" xr3:uid="{4801B905-677B-411B-8A9A-EF8AB12AD264}" name="Column1050"/>
    <tableColumn id="1054" xr3:uid="{736968D3-35EE-424E-AF48-A5A5A4190BB1}" name="Column1051"/>
    <tableColumn id="1055" xr3:uid="{0C90123E-B49E-4513-A0DD-60BF6CDA5EBE}" name="Column1052"/>
    <tableColumn id="1056" xr3:uid="{D478E53B-C44D-4ED3-A0D9-5584A5152CDD}" name="Column1053"/>
    <tableColumn id="1057" xr3:uid="{BF794DA3-A53B-43F6-B544-C3D0CC622C22}" name="Column1054"/>
    <tableColumn id="1058" xr3:uid="{535811AB-BFAC-48BF-8580-9BD3A67E901A}" name="Column1055"/>
    <tableColumn id="1059" xr3:uid="{2DC81EE4-62CB-4490-8CB6-8AC399F9975E}" name="Column1056"/>
    <tableColumn id="1060" xr3:uid="{04796FB5-F8EE-4F5E-B284-5EB2782B1D85}" name="Column1057"/>
    <tableColumn id="1061" xr3:uid="{D27CE44B-6DCF-4C26-9A62-6BCC627B16F8}" name="Column1058"/>
    <tableColumn id="1062" xr3:uid="{19A08BA2-CD0C-4462-9A10-DFB0DC519DB5}" name="Column1059"/>
    <tableColumn id="1063" xr3:uid="{F1659A9A-1744-43DC-8A8D-F3D786B9724B}" name="Column1060"/>
    <tableColumn id="1064" xr3:uid="{D0134ADC-EC59-4EA9-ABA2-7B3497651870}" name="Column1061"/>
    <tableColumn id="1065" xr3:uid="{839B6314-8568-428A-9E46-ADF4B94FDEA0}" name="Column1062"/>
    <tableColumn id="1066" xr3:uid="{35A07649-AFCD-4129-B387-04D8932BFC90}" name="Column1063"/>
    <tableColumn id="1067" xr3:uid="{F8EFACA2-2E1B-4DCD-9F53-51272513D717}" name="Column1064"/>
    <tableColumn id="1068" xr3:uid="{7D12F413-4D3A-4C83-BD80-0C11DCE43517}" name="Column1065"/>
    <tableColumn id="1069" xr3:uid="{059AA1EC-9439-4F1C-9BAD-FB617ADD29A9}" name="Column1066"/>
    <tableColumn id="1070" xr3:uid="{A5495FAA-9EE9-4206-9168-582B6D69E38A}" name="Column1067"/>
    <tableColumn id="1071" xr3:uid="{0E1FB25E-EA13-4749-B57A-2E55FA444663}" name="Column1068"/>
    <tableColumn id="1072" xr3:uid="{3C8B17DB-5D8D-43E0-9CE4-6A2A02D12108}" name="Column1069"/>
    <tableColumn id="1073" xr3:uid="{5492FE38-1AD5-4D69-9A82-283C0A193298}" name="Column1070"/>
    <tableColumn id="1074" xr3:uid="{1C1B7825-A628-4443-ABD2-1BA79F083D98}" name="Column1071"/>
    <tableColumn id="1075" xr3:uid="{9FBEA2DE-BD38-4C4D-BC45-F24611CC289D}" name="Column1072"/>
    <tableColumn id="1076" xr3:uid="{81C2FDA0-82B0-4A09-A6C4-6BA14922ABFA}" name="Column1073"/>
    <tableColumn id="1077" xr3:uid="{B95D29B6-9D12-4197-93D3-8814529018AD}" name="Column1074"/>
    <tableColumn id="1078" xr3:uid="{B48BE519-122A-4D9B-B7A9-723A00989745}" name="Column1075"/>
    <tableColumn id="1079" xr3:uid="{B3E68955-C0F3-4CAA-B120-16093A5BA9FE}" name="Column1076"/>
    <tableColumn id="1080" xr3:uid="{4D1EA403-9B1D-4778-B95D-C7D57BBFB78B}" name="Column1077"/>
    <tableColumn id="1081" xr3:uid="{F17D578B-2173-4EAB-B829-9E00F35064AB}" name="Column1078"/>
    <tableColumn id="1082" xr3:uid="{4C160C09-4E0C-4CEE-9FA5-8C8276EC0295}" name="Column1079"/>
    <tableColumn id="1083" xr3:uid="{A8006300-1ED9-4979-B50E-2C156742927C}" name="Column1080"/>
    <tableColumn id="1084" xr3:uid="{DED73899-4E7E-43BB-B92A-F2A82C0CFDC2}" name="Column1081"/>
    <tableColumn id="1085" xr3:uid="{2C915860-CA9E-4F2E-B162-99E4CBD4B67A}" name="Column1082"/>
    <tableColumn id="1086" xr3:uid="{888DA6BC-4CB7-4D17-82B6-2B85EF27B5B4}" name="Column1083"/>
    <tableColumn id="1087" xr3:uid="{2BCFDC10-7A0E-4240-9414-08E762AD5A29}" name="Column1084"/>
    <tableColumn id="1088" xr3:uid="{825E7957-000C-4EFD-9124-6A0AF761A2F8}" name="Column1085"/>
    <tableColumn id="1089" xr3:uid="{9E4BB8D6-BA6B-4680-B943-A324368514B4}" name="Column1086"/>
    <tableColumn id="1090" xr3:uid="{4E149A8B-0BBD-4E13-ACA8-ABCF9BCF07EC}" name="Column1087"/>
    <tableColumn id="1091" xr3:uid="{10D81B6D-24EC-43D9-9718-56CA30A6A573}" name="Column1088"/>
    <tableColumn id="1092" xr3:uid="{C3433F9F-699A-4C77-A6E3-71402D262A30}" name="Column1089"/>
    <tableColumn id="1093" xr3:uid="{04847C60-7E3D-4F85-B080-199E6BED7A86}" name="Column1090"/>
    <tableColumn id="1094" xr3:uid="{CFCE6E75-61A0-4B50-ABF6-3E55CD0E845B}" name="Column1091"/>
    <tableColumn id="1095" xr3:uid="{A1360D58-5D46-4D52-864E-132CCCAF8600}" name="Column1092"/>
    <tableColumn id="1096" xr3:uid="{F8004662-2F8C-43E7-BE64-1CF18DE78120}" name="Column1093"/>
    <tableColumn id="1097" xr3:uid="{6C013025-DA85-4A5D-B46E-EFED79DEF94E}" name="Column1094"/>
    <tableColumn id="1098" xr3:uid="{FF512EA1-7880-48B8-AFA2-15400C7B3507}" name="Column1095"/>
    <tableColumn id="1099" xr3:uid="{F599B67A-9388-4DB1-AC5B-C1168C4DEDF4}" name="Column1096"/>
    <tableColumn id="1100" xr3:uid="{1BBD86E0-3127-4F6B-9079-2B59B93E5C6F}" name="Column1097"/>
    <tableColumn id="1101" xr3:uid="{F0FED5C6-34EE-42F4-B89E-6462B51D841A}" name="Column1098"/>
    <tableColumn id="1102" xr3:uid="{FFC5EA55-FF89-444A-A2FC-08B768737F8D}" name="Column1099"/>
    <tableColumn id="1103" xr3:uid="{4FB63F60-7105-4C90-A61C-FF85E7DA381E}" name="Column1100"/>
    <tableColumn id="1104" xr3:uid="{94E68E38-3252-468C-BB06-10CF408B0A12}" name="Column1101"/>
    <tableColumn id="1105" xr3:uid="{19B08CA0-DB37-4B90-839C-3643AB6069FB}" name="Column1102"/>
    <tableColumn id="1106" xr3:uid="{0DE16726-8B0B-4780-9FB0-B7EE8DFCDB3A}" name="Column1103"/>
    <tableColumn id="1107" xr3:uid="{AB6E795E-A3B0-4C2F-AD8E-96B487840507}" name="Column1104"/>
    <tableColumn id="1108" xr3:uid="{8FDAA4D1-1CA3-4DE3-BDB6-862C4262612E}" name="Column1105"/>
    <tableColumn id="1109" xr3:uid="{6622541E-D08C-4065-A03F-91BE2C87F7F5}" name="Column1106"/>
    <tableColumn id="1110" xr3:uid="{8960B97B-EA0A-4EFF-952C-D93D43CF797D}" name="Column1107"/>
    <tableColumn id="1111" xr3:uid="{783BD291-2183-46F4-8E60-FF3B01BCB1D8}" name="Column1108"/>
    <tableColumn id="1112" xr3:uid="{E17EBDCC-B462-4640-AA30-7ECFE33D34C8}" name="Column1109"/>
    <tableColumn id="1113" xr3:uid="{0E9C600D-1A27-401C-B13E-7157BDC5EDC2}" name="Column1110"/>
    <tableColumn id="1114" xr3:uid="{C4CDA104-ED6B-49AE-A4D1-9EA242A5A422}" name="Column1111"/>
    <tableColumn id="1115" xr3:uid="{B3E7ED4B-13F4-4974-AD7A-6BDD035A67E2}" name="Column1112"/>
    <tableColumn id="1116" xr3:uid="{D3C20727-53E6-4550-9B03-65CCA3E599D0}" name="Column1113"/>
    <tableColumn id="1117" xr3:uid="{61C1F324-54C6-4C39-AADC-68D2B0B504CE}" name="Column1114"/>
    <tableColumn id="1118" xr3:uid="{B2E0BC81-DBB5-4DEC-8917-E6354D181C5E}" name="Column1115"/>
    <tableColumn id="1119" xr3:uid="{4FC700B9-79AC-4F46-B553-115AF07D0620}" name="Column1116"/>
    <tableColumn id="1120" xr3:uid="{A6AFDF17-D617-453E-93BD-0EAAC2BF5F17}" name="Column1117"/>
    <tableColumn id="1121" xr3:uid="{4978BAE2-15E9-4F5D-B878-11474D6650E6}" name="Column1118"/>
    <tableColumn id="1122" xr3:uid="{EF4C7A3D-FA03-486F-A022-0E284AA0EF96}" name="Column1119"/>
    <tableColumn id="1123" xr3:uid="{6E1608B9-7956-40D5-ACF7-43F05B17160D}" name="Column1120"/>
    <tableColumn id="1124" xr3:uid="{2F666165-626E-406A-8ECB-E318D72B2805}" name="Column1121"/>
    <tableColumn id="1125" xr3:uid="{C095EA08-86DC-43DA-9CB8-A0ADCB23F127}" name="Column1122"/>
    <tableColumn id="1126" xr3:uid="{D586D7A6-CA45-42DC-B6A6-96CBE7478326}" name="Column1123"/>
    <tableColumn id="1127" xr3:uid="{A182DC4F-0FB0-440C-B631-4C6B6A292805}" name="Column1124"/>
    <tableColumn id="1128" xr3:uid="{9FBE5460-6007-45BB-8FF0-A596576C0F20}" name="Column1125"/>
    <tableColumn id="1129" xr3:uid="{54BB466C-A72A-44FC-8664-13AAFC43F682}" name="Column1126"/>
    <tableColumn id="1130" xr3:uid="{CF30302D-780A-4CDC-8C0E-D090F8D9B46E}" name="Column1127"/>
    <tableColumn id="1131" xr3:uid="{079A41F7-607B-400F-80FD-B4123C3EC1E6}" name="Column1128"/>
    <tableColumn id="1132" xr3:uid="{CB59C771-4E6C-484F-B802-4174633EA11C}" name="Column1129"/>
    <tableColumn id="1133" xr3:uid="{1F56F768-1855-435E-82AC-A3AD10AD4075}" name="Column1130"/>
    <tableColumn id="1134" xr3:uid="{B887B7BD-ADC1-4CCC-AD2B-BF9F43452065}" name="Column1131"/>
    <tableColumn id="1135" xr3:uid="{D3122B33-16D5-4E3D-9738-5C3A2F8DCE3E}" name="Column1132"/>
    <tableColumn id="1136" xr3:uid="{FF5AFF28-ABB7-4675-8794-0F123BFAAEEC}" name="Column1133"/>
    <tableColumn id="1137" xr3:uid="{BFB533CF-08C4-4399-A2B8-4AE65C5CDD2F}" name="Column1134"/>
    <tableColumn id="1138" xr3:uid="{1A159870-5183-4639-85AE-DD31D28D9E73}" name="Column1135"/>
    <tableColumn id="1139" xr3:uid="{B37D7E89-DAEE-4106-848D-72C7E60E9124}" name="Column1136"/>
    <tableColumn id="1140" xr3:uid="{2DDE7F99-2397-4573-BE49-3288BF9F8553}" name="Column1137"/>
    <tableColumn id="1141" xr3:uid="{F59B5725-1C83-48C7-BB79-AD9EA8946B9A}" name="Column1138"/>
    <tableColumn id="1142" xr3:uid="{FC2DCC73-AC45-4A40-B8F8-6CA62DBBA4AD}" name="Column1139"/>
    <tableColumn id="1143" xr3:uid="{00C01604-3336-481A-87BC-373FC66EF141}" name="Column1140"/>
    <tableColumn id="1144" xr3:uid="{54FC7326-270B-40B3-83D4-5FD9BD0415C8}" name="Column1141"/>
    <tableColumn id="1145" xr3:uid="{CA749726-3078-4703-806F-AFDA52206E3E}" name="Column1142"/>
    <tableColumn id="1146" xr3:uid="{71E47ED0-9051-4EBA-A5D2-93119E309224}" name="Column1143"/>
    <tableColumn id="1147" xr3:uid="{0730AD95-B603-4443-A146-8CB495BB909A}" name="Column1144"/>
    <tableColumn id="1148" xr3:uid="{8100FF2A-AB82-49A1-A4B2-10258F23FD9F}" name="Column1145"/>
    <tableColumn id="1149" xr3:uid="{2B053B0B-9F1E-4C46-859B-179938C486E9}" name="Column1146"/>
    <tableColumn id="1150" xr3:uid="{91B4EBE4-5BDF-41B5-A31B-082DADC7A4CC}" name="Column1147"/>
    <tableColumn id="1151" xr3:uid="{26137F17-22A1-470A-BEED-F629CEBD4130}" name="Column1148"/>
    <tableColumn id="1152" xr3:uid="{F480639A-75DA-402A-B60A-57E89D926795}" name="Column1149"/>
    <tableColumn id="1153" xr3:uid="{7977882B-2E96-4312-936D-C77D58B9A2AC}" name="Column1150"/>
    <tableColumn id="1154" xr3:uid="{9CA98DF2-A10A-4AF8-88F9-71C7FAA21A77}" name="Column1151"/>
    <tableColumn id="1155" xr3:uid="{A9BA29A1-31AD-4680-945C-56F520941960}" name="Column1152"/>
    <tableColumn id="1156" xr3:uid="{F0BEC808-F17D-454B-8C7A-7099B8369496}" name="Column1153"/>
    <tableColumn id="1157" xr3:uid="{B0FD5AD9-4BB5-47E2-8C9D-AAB3D197A186}" name="Column1154"/>
    <tableColumn id="1158" xr3:uid="{E909CDF2-2B08-4CE9-8281-7EF1177520C8}" name="Column1155"/>
    <tableColumn id="1159" xr3:uid="{6134E679-B52A-4BA5-A9C3-2A22169F75CE}" name="Column1156"/>
    <tableColumn id="1160" xr3:uid="{7C2434B7-9BE5-48DD-8D5C-9F4536245E8A}" name="Column1157"/>
    <tableColumn id="1161" xr3:uid="{832BCFA1-8247-4932-B279-1828075FE9B5}" name="Column1158"/>
    <tableColumn id="1162" xr3:uid="{2C8557F9-2BB0-4778-AC2D-80624F0E3A83}" name="Column1159"/>
    <tableColumn id="1163" xr3:uid="{BAF2534B-BB58-4139-B222-49F3BAA1CBF3}" name="Column1160"/>
    <tableColumn id="1164" xr3:uid="{92C59827-B659-4FF4-8DA8-7DAA4523F14E}" name="Column1161"/>
    <tableColumn id="1165" xr3:uid="{74BB69B9-3957-4AB2-AAFA-858A4A1121E0}" name="Column1162"/>
    <tableColumn id="1166" xr3:uid="{5169D91D-EB61-4EEB-8195-7C009846AFA5}" name="Column1163"/>
    <tableColumn id="1167" xr3:uid="{270D4406-5A37-4D99-8024-1F527ED9FA43}" name="Column1164"/>
    <tableColumn id="1168" xr3:uid="{F3710A78-568F-4563-B796-1E512061CE3A}" name="Column1165"/>
    <tableColumn id="1169" xr3:uid="{67A8C2E0-B7F4-4243-985A-96292BC4ED79}" name="Column1166"/>
    <tableColumn id="1170" xr3:uid="{395F1A95-3DB5-4CB5-A71D-579DD63EF578}" name="Column1167"/>
    <tableColumn id="1171" xr3:uid="{C1A1A2BF-42FA-4969-A4BA-724CA793D384}" name="Column1168"/>
    <tableColumn id="1172" xr3:uid="{17D0D7C5-FA36-4231-A1C2-D3C40BB47993}" name="Column1169"/>
    <tableColumn id="1173" xr3:uid="{9D12B61C-4A72-49B9-9B2F-1DFC9EF230E5}" name="Column1170"/>
    <tableColumn id="1174" xr3:uid="{D5838E1F-ADA7-46CF-AFFE-A223ECC06CF1}" name="Column1171"/>
    <tableColumn id="1175" xr3:uid="{4ED5C879-43B8-482D-AB87-FA3F94074E34}" name="Column1172"/>
    <tableColumn id="1176" xr3:uid="{E18878C9-9DAB-45A9-A11C-336344040BE3}" name="Column1173"/>
    <tableColumn id="1177" xr3:uid="{C66A6D13-AED3-46B6-9048-8DA6E0E8822C}" name="Column1174"/>
    <tableColumn id="1178" xr3:uid="{9812A1C8-811A-4326-986D-24DDB720613E}" name="Column1175"/>
    <tableColumn id="1179" xr3:uid="{7E1EEA67-A999-40EB-9120-31F72AE25626}" name="Column1176"/>
    <tableColumn id="1180" xr3:uid="{F4268E32-DF06-4662-A9BE-C79BAFD80407}" name="Column1177"/>
    <tableColumn id="1181" xr3:uid="{15561581-862E-4C3B-957E-A6DA3D85A86B}" name="Column1178"/>
    <tableColumn id="1182" xr3:uid="{5E12CD13-1A4B-4FFE-8A69-2E0206A4A295}" name="Column1179"/>
    <tableColumn id="1183" xr3:uid="{C6289B46-83D9-4122-9DF2-EB12515EAC12}" name="Column1180"/>
    <tableColumn id="1184" xr3:uid="{34360720-7234-4751-BBA8-12E7DCFF4192}" name="Column1181"/>
    <tableColumn id="1185" xr3:uid="{4413EDE3-3F3F-4FE0-ACA3-EF56ED063B53}" name="Column1182"/>
    <tableColumn id="1186" xr3:uid="{3950C580-3926-49AD-B38D-393AAB8C4901}" name="Column1183"/>
    <tableColumn id="1187" xr3:uid="{C049F591-57F9-4988-9545-10676A1608CE}" name="Column1184"/>
    <tableColumn id="1188" xr3:uid="{E0065003-EF0F-4291-8BFA-260CB2F1E269}" name="Column1185"/>
    <tableColumn id="1189" xr3:uid="{2E20C8EA-AEFC-4AB0-B0EC-EE7C65EC0CF4}" name="Column1186"/>
    <tableColumn id="1190" xr3:uid="{8206D7E5-0E3A-4F0B-B942-4901E9641350}" name="Column1187"/>
    <tableColumn id="1191" xr3:uid="{9481F42F-EE8E-4673-A844-ED20A0C1E6DA}" name="Column1188"/>
    <tableColumn id="1192" xr3:uid="{8B61BCB4-1952-4757-935D-18414D9890ED}" name="Column1189"/>
    <tableColumn id="1193" xr3:uid="{5192F6B3-598A-4D69-AA79-3F9989AEA5D3}" name="Column1190"/>
    <tableColumn id="1194" xr3:uid="{5BCB112A-5E5E-472A-97EE-634BFADA1995}" name="Column1191"/>
    <tableColumn id="1195" xr3:uid="{70B21C81-BF79-4FAF-9BA8-603D2A7D5C0E}" name="Column1192"/>
    <tableColumn id="1196" xr3:uid="{A60A7C5C-7D76-4625-9E5C-B0A5545AEFF4}" name="Column1193"/>
    <tableColumn id="1197" xr3:uid="{F848C748-B507-414E-9EF9-5A654DC107FF}" name="Column1194"/>
    <tableColumn id="1198" xr3:uid="{19283793-1EE5-49E1-9D15-B0D1E8471F43}" name="Column1195"/>
    <tableColumn id="1199" xr3:uid="{28219C5F-FFE3-4026-BE38-F197C7790282}" name="Column1196"/>
    <tableColumn id="1200" xr3:uid="{B2015401-51E0-4C6A-8F3D-EEC53C260970}" name="Column1197"/>
    <tableColumn id="1201" xr3:uid="{42FCA082-05CA-412B-BD9B-53D61FB7EAF1}" name="Column1198"/>
    <tableColumn id="1202" xr3:uid="{F23207B3-8C81-41B5-A62A-76C5E4569A38}" name="Column1199"/>
    <tableColumn id="1203" xr3:uid="{CF35A760-8609-48BE-A8A5-66043031EFC2}" name="Column1200"/>
    <tableColumn id="1204" xr3:uid="{8A8DB278-FEC6-44F3-A9DB-896A03FBCD43}" name="Column1201"/>
    <tableColumn id="1205" xr3:uid="{45316417-B96B-43BD-925C-DDE0AA2FF583}" name="Column1202"/>
    <tableColumn id="1206" xr3:uid="{09EC80AD-9699-4B71-A7A2-5642F2115702}" name="Column1203"/>
    <tableColumn id="1207" xr3:uid="{CFC0DFF3-1D5E-406C-96E9-A0F0895598BA}" name="Column1204"/>
    <tableColumn id="1208" xr3:uid="{6DC2F339-941F-47F4-ADBE-E7A6337A3AAB}" name="Column1205"/>
    <tableColumn id="1209" xr3:uid="{8D58AF2F-3EC3-4D59-9204-037A17EA1D1A}" name="Column1206"/>
    <tableColumn id="1210" xr3:uid="{2539E20A-52F7-48F8-B712-A16C1879499E}" name="Column1207"/>
    <tableColumn id="1211" xr3:uid="{F7F75444-57F8-4CD0-8DF5-4F82D7E1262E}" name="Column1208"/>
    <tableColumn id="1212" xr3:uid="{828D6891-0717-4F9D-BE8F-C540BFC9D458}" name="Column1209"/>
    <tableColumn id="1213" xr3:uid="{D2227C0E-CB7D-4FFD-AD51-2E79EED9D55E}" name="Column1210"/>
    <tableColumn id="1214" xr3:uid="{EAF8A594-5A31-4590-B423-4ED4EA757CD0}" name="Column1211"/>
    <tableColumn id="1215" xr3:uid="{F4E26CA6-9212-4D0B-9466-6CEEA9F58E67}" name="Column1212"/>
    <tableColumn id="1216" xr3:uid="{D5423283-8818-44AB-9ADD-5DD218ABF3B1}" name="Column1213"/>
    <tableColumn id="1217" xr3:uid="{27C16CF7-A007-48D9-B01D-930AC6EDEE62}" name="Column1214"/>
    <tableColumn id="1218" xr3:uid="{606C7A7B-D18F-4F21-8800-987FB81F6FF2}" name="Column1215"/>
    <tableColumn id="1219" xr3:uid="{04737911-3905-416D-913E-03621E7B3028}" name="Column1216"/>
    <tableColumn id="1220" xr3:uid="{CBFAC34A-E72B-4845-A990-AE452DEF3536}" name="Column1217"/>
    <tableColumn id="1221" xr3:uid="{260D854B-9EDA-467E-A6E2-F1C04BC56733}" name="Column1218"/>
    <tableColumn id="1222" xr3:uid="{FCE43178-1283-467C-B278-4923F2DC9879}" name="Column1219"/>
    <tableColumn id="1223" xr3:uid="{BA3C0D7A-F6BC-43D7-BAFE-88B62DB2653B}" name="Column1220"/>
    <tableColumn id="1224" xr3:uid="{AE5CFE1C-3AAC-4005-B9A1-2C3BFCFB7549}" name="Column1221"/>
    <tableColumn id="1225" xr3:uid="{51E6AB94-577A-4973-A931-FCDC76FB4D19}" name="Column1222"/>
    <tableColumn id="1226" xr3:uid="{F5990DCB-B168-421E-84F6-5B5A3AFBA8ED}" name="Column1223"/>
    <tableColumn id="1227" xr3:uid="{B5EEC83D-A5FD-4C28-A095-2B2504F9EE57}" name="Column1224"/>
    <tableColumn id="1228" xr3:uid="{27D1A050-C619-4A79-A5D1-2836F58D53F2}" name="Column1225"/>
    <tableColumn id="1229" xr3:uid="{724E50CB-A3DC-4B88-A7EC-F0A857E1A9A2}" name="Column1226"/>
    <tableColumn id="1230" xr3:uid="{7380C6FD-FF8A-42C7-9EEE-AD7C70E9D645}" name="Column1227"/>
    <tableColumn id="1231" xr3:uid="{D788BA16-7B23-4FDA-A08D-CB60155D4DD9}" name="Column1228"/>
    <tableColumn id="1232" xr3:uid="{6C5765FE-52A1-4619-BCE0-570EACE7434B}" name="Column1229"/>
    <tableColumn id="1233" xr3:uid="{2AB69EEC-81AB-4AE8-A783-650AF040C9A5}" name="Column1230"/>
    <tableColumn id="1234" xr3:uid="{28FE622B-09ED-484B-A191-36E1C7B0879F}" name="Column1231"/>
    <tableColumn id="1235" xr3:uid="{FBA8AFE0-6B9A-4116-BABD-4EB59C727FAA}" name="Column1232"/>
    <tableColumn id="1236" xr3:uid="{13B2AE66-11DE-482A-B687-3BBCF9964CE9}" name="Column1233"/>
    <tableColumn id="1237" xr3:uid="{2F7BB568-3124-4524-BDB9-7F833B137A4C}" name="Column1234"/>
    <tableColumn id="1238" xr3:uid="{8FAC92CB-7D0B-4DEA-BEC0-BB172A63875A}" name="Column1235"/>
    <tableColumn id="1239" xr3:uid="{6F4B15E5-A48F-4764-A401-4A8E6FDFE0FB}" name="Column1236"/>
    <tableColumn id="1240" xr3:uid="{AAEEDFB8-98FE-453D-8B7A-BE91A6F16B09}" name="Column1237"/>
    <tableColumn id="1241" xr3:uid="{06763B94-ADBE-4086-9FDA-EDD683A3BF07}" name="Column1238"/>
    <tableColumn id="1242" xr3:uid="{57A91372-0D29-4A32-BC45-92877E239571}" name="Column1239"/>
    <tableColumn id="1243" xr3:uid="{A3C61B8C-2720-4966-8162-F6342A295CF2}" name="Column1240"/>
    <tableColumn id="1244" xr3:uid="{5D0627F8-DC97-479C-8023-C28C8F4A8585}" name="Column1241"/>
    <tableColumn id="1245" xr3:uid="{F4CB7984-ECC4-4D34-906C-B92745724360}" name="Column1242"/>
    <tableColumn id="1246" xr3:uid="{663446BF-EF7C-4E8A-B0FE-88F2C7EA7487}" name="Column1243"/>
    <tableColumn id="1247" xr3:uid="{67F69A50-D702-4C19-8DAE-8D764A384A6D}" name="Column1244"/>
    <tableColumn id="1248" xr3:uid="{2B75BC3A-3AAD-40D0-98CD-F083D49FA22D}" name="Column1245"/>
    <tableColumn id="1249" xr3:uid="{09841FD4-E3D1-451A-AE65-40606F2B1A39}" name="Column1246"/>
    <tableColumn id="1250" xr3:uid="{448F1523-2D0D-4F7D-A140-259A5F128044}" name="Column1247"/>
    <tableColumn id="1251" xr3:uid="{7B63D541-08E3-4816-9CC7-DAF857080068}" name="Column1248"/>
    <tableColumn id="1252" xr3:uid="{865607D5-1836-4BBF-A86E-D97EFC979138}" name="Column1249"/>
    <tableColumn id="1253" xr3:uid="{FF078708-88A1-4360-AEBC-D4186F6F9B47}" name="Column1250"/>
    <tableColumn id="1254" xr3:uid="{74CAAEA8-5AAA-4AF2-845B-6E10D7B6C127}" name="Column1251"/>
    <tableColumn id="1255" xr3:uid="{7BE42F7F-809E-4D63-BA27-A1917A1B9460}" name="Column1252"/>
    <tableColumn id="1256" xr3:uid="{AC815463-FA99-482F-8550-8A1C40ADC156}" name="Column1253"/>
    <tableColumn id="1257" xr3:uid="{F0BDBA65-C317-4022-8D29-239CD201DB3C}" name="Column1254"/>
    <tableColumn id="1258" xr3:uid="{19BFEAB0-EB69-4D83-B1EC-16D57A1DFBDF}" name="Column1255"/>
    <tableColumn id="1259" xr3:uid="{93E6D4C6-3E7D-44B7-88FC-0E7507EE6659}" name="Column1256"/>
    <tableColumn id="1260" xr3:uid="{A50ED3AA-CD0F-4E5F-919F-B33C63CA34F1}" name="Column1257"/>
    <tableColumn id="1261" xr3:uid="{1299576C-BF4B-457A-BC1D-7A9C7A661BFC}" name="Column1258"/>
    <tableColumn id="1262" xr3:uid="{08C0BEB8-7C86-4C18-9D5A-338E8DBAA9FD}" name="Column1259"/>
    <tableColumn id="1263" xr3:uid="{ACECC867-9D01-4088-8C40-E011DA70D8C1}" name="Column1260"/>
    <tableColumn id="1264" xr3:uid="{E36347F8-6BCD-42A2-A294-7A33286F5012}" name="Column1261"/>
    <tableColumn id="1265" xr3:uid="{F8CF7015-FCFF-4A45-A372-9859E7D3BAE2}" name="Column1262"/>
    <tableColumn id="1266" xr3:uid="{DB0AE59B-1623-4730-89C3-76AFBB94CB14}" name="Column1263"/>
    <tableColumn id="1267" xr3:uid="{90665473-120E-4C9D-8079-0F7B2AB4435F}" name="Column1264"/>
    <tableColumn id="1268" xr3:uid="{DCEDA53E-16DC-4891-A47A-3AA50419ACF1}" name="Column1265"/>
    <tableColumn id="1269" xr3:uid="{13264CD7-C8BA-47ED-8268-C9FFDF7C7D37}" name="Column1266"/>
    <tableColumn id="1270" xr3:uid="{7F4A2556-6379-4B80-904F-39D43D870996}" name="Column1267"/>
    <tableColumn id="1271" xr3:uid="{257FFD7B-D3F5-444A-B0AC-BFC314D5974B}" name="Column1268"/>
    <tableColumn id="1272" xr3:uid="{C6040FDB-134E-4410-B9E4-4FC2AF067C88}" name="Column1269"/>
    <tableColumn id="1273" xr3:uid="{97CE0C1A-A883-405C-AFE9-80DBC2DDECEF}" name="Column1270"/>
    <tableColumn id="1274" xr3:uid="{09836096-95C8-43DE-84F4-3193E9222C32}" name="Column1271"/>
    <tableColumn id="1275" xr3:uid="{342B4BC9-6632-4660-8AFD-05029DBFAFBA}" name="Column1272"/>
    <tableColumn id="1276" xr3:uid="{FAC7D963-61DF-4208-B423-CB16FC1234A9}" name="Column1273"/>
    <tableColumn id="1277" xr3:uid="{3C33C1A0-A79F-444A-9B1E-1D4588D2D400}" name="Column1274"/>
    <tableColumn id="1278" xr3:uid="{30723237-377B-4171-BD9F-DC1F27BA60B7}" name="Column1275"/>
    <tableColumn id="1279" xr3:uid="{693C6912-6666-4841-BB7F-A02A65E31F52}" name="Column1276"/>
    <tableColumn id="1280" xr3:uid="{36422505-B457-4213-A45C-1F963B4D49FD}" name="Column1277"/>
    <tableColumn id="1281" xr3:uid="{B385C6E0-43AA-4A3D-AE95-B5D1421A428C}" name="Column1278"/>
    <tableColumn id="1282" xr3:uid="{CE51CDB9-8C49-4BBA-8355-3CC8B204A472}" name="Column1279"/>
    <tableColumn id="1283" xr3:uid="{7436CF34-1911-4CB5-8AB2-617D811141E0}" name="Column1280"/>
    <tableColumn id="1284" xr3:uid="{C300D8F5-FD3B-4B3D-A38A-FCE7FEF70AAF}" name="Column1281"/>
    <tableColumn id="1285" xr3:uid="{8733857D-4261-481C-B671-BF40CFC661A3}" name="Column1282"/>
    <tableColumn id="1286" xr3:uid="{12291E4C-2A45-413C-8444-36BAB8DC5EA0}" name="Column1283"/>
    <tableColumn id="1287" xr3:uid="{E4B9066B-C542-4608-8D2E-D9D12644034C}" name="Column1284"/>
    <tableColumn id="1288" xr3:uid="{B3DEFB1B-FB2B-4534-9907-DBF088A75139}" name="Column1285"/>
    <tableColumn id="1289" xr3:uid="{5CBDF249-5C68-4928-9E9D-C4B247B5AF6B}" name="Column1286"/>
    <tableColumn id="1290" xr3:uid="{E800E2AD-8A96-48D8-9C46-A755AE769E24}" name="Column1287"/>
    <tableColumn id="1291" xr3:uid="{325F8998-088E-48A5-B49B-F3B494265B22}" name="Column1288"/>
    <tableColumn id="1292" xr3:uid="{F493620D-E3A6-4A91-8E49-4872FF6094D2}" name="Column1289"/>
    <tableColumn id="1293" xr3:uid="{FB03FABE-ECB1-4256-B184-9A03021F0285}" name="Column1290"/>
    <tableColumn id="1294" xr3:uid="{7FBF28EA-B774-497C-8E8B-8BED8EF2ADE6}" name="Column1291"/>
    <tableColumn id="1295" xr3:uid="{5A0D8429-CBE5-4FF0-9900-8C3CFFEBC7EE}" name="Column1292"/>
    <tableColumn id="1296" xr3:uid="{F5D65053-238A-4677-B9EF-8EDBB1E598F0}" name="Column1293"/>
    <tableColumn id="1297" xr3:uid="{AB6711FF-E9AE-4D0B-B41A-B3489CBA6D03}" name="Column1294"/>
    <tableColumn id="1298" xr3:uid="{06379188-139E-4699-A262-CDFBC61354F6}" name="Column1295"/>
    <tableColumn id="1299" xr3:uid="{4EB2A606-090F-4E18-AF99-8476C7F1E50A}" name="Column1296"/>
    <tableColumn id="1300" xr3:uid="{08EC482F-7070-4E51-A9AB-95E73D1A7B3D}" name="Column1297"/>
    <tableColumn id="1301" xr3:uid="{AAF39C8F-FA40-4FD7-8A70-7F224170FE87}" name="Column1298"/>
    <tableColumn id="1302" xr3:uid="{8C862777-2C73-4A8E-BD66-7904137D93EC}" name="Column1299"/>
    <tableColumn id="1303" xr3:uid="{2E46E271-1779-419E-A16A-462750B88DE4}" name="Column1300"/>
    <tableColumn id="1304" xr3:uid="{E366E5C4-1504-42AF-B391-C7E55BFA4F71}" name="Column1301"/>
    <tableColumn id="1305" xr3:uid="{32A71CF0-F902-470C-BBDE-D692BF4C61D2}" name="Column1302"/>
    <tableColumn id="1306" xr3:uid="{F96585B8-6E26-471B-8D4E-F27BB67BFE30}" name="Column1303"/>
    <tableColumn id="1307" xr3:uid="{65F25A9D-DD91-46E7-A5A2-BB31C78FE8F8}" name="Column1304"/>
    <tableColumn id="1308" xr3:uid="{19D45B27-1BC8-4F56-BDAA-D3BD9B5D27E5}" name="Column1305"/>
    <tableColumn id="1309" xr3:uid="{0391BA21-A78F-419D-BE26-2916F8102FA1}" name="Column1306"/>
    <tableColumn id="1310" xr3:uid="{46E8F9EC-9FA3-4298-A2B2-3A9B4FEED563}" name="Column1307"/>
    <tableColumn id="1311" xr3:uid="{F0D382A7-9BE5-46AF-9074-754BE13B04E1}" name="Column1308"/>
    <tableColumn id="1312" xr3:uid="{E2A7ACCC-22EB-439A-B4F4-E9CA923016E4}" name="Column1309"/>
    <tableColumn id="1313" xr3:uid="{E7B71E20-04BB-4F5F-B0D0-38AD445C3062}" name="Column1310"/>
    <tableColumn id="1314" xr3:uid="{E6310FB4-51FF-44FD-A20F-C3C0ACD12DDC}" name="Column1311"/>
    <tableColumn id="1315" xr3:uid="{D3AA3523-C5DA-4BE8-A390-E6963D152472}" name="Column1312"/>
    <tableColumn id="1316" xr3:uid="{EEEA915E-75C3-44B2-B4C6-FBFA65AF5F54}" name="Column1313"/>
    <tableColumn id="1317" xr3:uid="{E16F7BBA-6CEB-435D-8E31-3853F33A2C22}" name="Column1314"/>
    <tableColumn id="1318" xr3:uid="{C12D33D7-68A0-4BDB-A5B9-F31C59616644}" name="Column1315"/>
    <tableColumn id="1319" xr3:uid="{20A335D7-837A-47D5-A8B3-FFC418E976D6}" name="Column1316"/>
    <tableColumn id="1320" xr3:uid="{5474B0EB-C371-4BA9-905E-BD0FA3D948E1}" name="Column1317"/>
    <tableColumn id="1321" xr3:uid="{28A898DD-7219-4A03-A87C-FBFD4C5C6173}" name="Column1318"/>
    <tableColumn id="1322" xr3:uid="{8E55BDFA-7EC2-4A94-82A3-2354B46E3885}" name="Column1319"/>
    <tableColumn id="1323" xr3:uid="{D64AE059-8637-4C4E-9E36-BA5079256F29}" name="Column1320"/>
    <tableColumn id="1324" xr3:uid="{F4738A13-1883-4C22-975A-8AFF55187950}" name="Column1321"/>
    <tableColumn id="1325" xr3:uid="{0CE50655-C2D6-4D5B-9620-E604C6369F4C}" name="Column1322"/>
    <tableColumn id="1326" xr3:uid="{2F9DA63F-5AF3-4CFD-B0CE-9D5A53B3026D}" name="Column1323"/>
    <tableColumn id="1327" xr3:uid="{7F3CE651-6BBD-4931-B5A1-73A3B6C92806}" name="Column1324"/>
    <tableColumn id="1328" xr3:uid="{DAC55E04-9249-4A9C-A21B-58857BE284ED}" name="Column1325"/>
    <tableColumn id="1329" xr3:uid="{76150905-D7D8-43A6-BB4A-B8E1DF98AF92}" name="Column1326"/>
    <tableColumn id="1330" xr3:uid="{E951ED9E-BD0A-40E2-A1A6-683EE37D9B90}" name="Column1327"/>
    <tableColumn id="1331" xr3:uid="{C5F855FE-5C2A-4E6B-9648-91882BE701C3}" name="Column1328"/>
    <tableColumn id="1332" xr3:uid="{8652F88E-4057-41F2-97C4-4C9D6A9C6638}" name="Column1329"/>
    <tableColumn id="1333" xr3:uid="{6EE85324-9216-4E92-BF2E-3EC87CBC3695}" name="Column1330"/>
    <tableColumn id="1334" xr3:uid="{93351CE5-361F-4896-8047-A5CDC7694C7B}" name="Column1331"/>
    <tableColumn id="1335" xr3:uid="{D2EED04A-BF18-49F3-96C8-2BEA1B5E10BB}" name="Column1332"/>
    <tableColumn id="1336" xr3:uid="{87CC2B8A-DE87-450E-AEEA-9ECD50EEAF8A}" name="Column1333"/>
    <tableColumn id="1337" xr3:uid="{2924AEF3-EC28-4224-BBF2-DDF43210738B}" name="Column1334"/>
    <tableColumn id="1338" xr3:uid="{2AFF8839-FDA3-4EF5-9902-084C31F3E3AD}" name="Column1335"/>
    <tableColumn id="1339" xr3:uid="{185CEE8B-097A-481A-B90F-BBFEBFAD662F}" name="Column1336"/>
    <tableColumn id="1340" xr3:uid="{E14677FD-E471-43DA-AAFB-40238627C444}" name="Column1337"/>
    <tableColumn id="1341" xr3:uid="{B82A10AE-4435-4539-A374-FDFAC92B6791}" name="Column1338"/>
    <tableColumn id="1342" xr3:uid="{0EDD9839-0BA6-4E50-AE43-C21888FB37DE}" name="Column1339"/>
    <tableColumn id="1343" xr3:uid="{3F4315AB-BDC4-4882-8C79-769D0CDF6DE4}" name="Column1340"/>
    <tableColumn id="1344" xr3:uid="{C7980CA2-5A3A-45EE-A01B-61D592CA2C7D}" name="Column1341"/>
    <tableColumn id="1345" xr3:uid="{7B6C6F7D-2611-42EB-BDFD-A94FB38B728D}" name="Column1342"/>
    <tableColumn id="1346" xr3:uid="{C9DFBB7F-AA58-4F27-BA03-D17F11486CDB}" name="Column1343"/>
    <tableColumn id="1347" xr3:uid="{4B4E5D70-AA2F-4368-8FAD-74992657A657}" name="Column1344"/>
    <tableColumn id="1348" xr3:uid="{C591EFD6-BEFC-4128-86E4-C4055913F956}" name="Column1345"/>
    <tableColumn id="1349" xr3:uid="{4BA901F5-53EB-4BD6-8F12-B474963C2259}" name="Column1346"/>
    <tableColumn id="1350" xr3:uid="{DE4D439A-244D-48BA-AF59-96136C4FC742}" name="Column1347"/>
    <tableColumn id="1351" xr3:uid="{C3C8C70B-4681-4084-85B9-B5521CF3AF4A}" name="Column1348"/>
    <tableColumn id="1352" xr3:uid="{76BE50ED-1E5A-4B96-95CF-8CB671DF5BAF}" name="Column1349"/>
    <tableColumn id="1353" xr3:uid="{4EAD240A-F60F-478D-8DB9-E63EB5B9B3C9}" name="Column1350"/>
    <tableColumn id="1354" xr3:uid="{3824465D-F8AE-4A16-8D78-55A35A58396A}" name="Column1351"/>
    <tableColumn id="1355" xr3:uid="{854D1FAA-C93A-45D3-813B-5CD6DE25DFF4}" name="Column1352"/>
    <tableColumn id="1356" xr3:uid="{6EB1ECB7-91A2-4EDD-91BA-9F1C284EF02E}" name="Column1353"/>
    <tableColumn id="1357" xr3:uid="{CB88969B-8452-4318-9D57-D35252C9A869}" name="Column1354"/>
    <tableColumn id="1358" xr3:uid="{533449D9-5FF3-4674-BD78-623894DED43D}" name="Column1355"/>
    <tableColumn id="1359" xr3:uid="{01C711F7-BA5B-4852-B1ED-2B358C19429D}" name="Column1356"/>
    <tableColumn id="1360" xr3:uid="{02872F99-01C9-483E-BDFF-842AA7879184}" name="Column1357"/>
    <tableColumn id="1361" xr3:uid="{6751FD8A-01BC-4A1E-8B66-825ED432A89E}" name="Column1358"/>
    <tableColumn id="1362" xr3:uid="{45D0766A-E3E0-4D92-BE9F-69ECF55DE1E1}" name="Column1359"/>
    <tableColumn id="1363" xr3:uid="{AA382CC8-2B99-4CC6-99B4-6D3CE0682B7E}" name="Column1360"/>
    <tableColumn id="1364" xr3:uid="{BDF33EC6-D399-4328-B316-AD1D4F3034F0}" name="Column1361"/>
    <tableColumn id="1365" xr3:uid="{2F5795F2-6C6B-4ACA-A664-78924B36E206}" name="Column1362"/>
    <tableColumn id="1366" xr3:uid="{75E577A9-BE39-4BCE-BC77-C9B45C48B69D}" name="Column1363"/>
    <tableColumn id="1367" xr3:uid="{1CB3D356-F6F4-4649-BB14-E4568D799B3F}" name="Column1364"/>
    <tableColumn id="1368" xr3:uid="{91846D07-C90B-491D-A171-74F3B0B978B7}" name="Column1365"/>
    <tableColumn id="1369" xr3:uid="{77228A63-6298-4F14-9730-CB955B01112A}" name="Column1366"/>
    <tableColumn id="1370" xr3:uid="{9979338F-1963-484C-A3CB-2010F5AFE516}" name="Column1367"/>
    <tableColumn id="1371" xr3:uid="{09E98DD3-3F2F-4002-A700-17937D4675EF}" name="Column1368"/>
    <tableColumn id="1372" xr3:uid="{BF60BF1E-2E22-4189-8E96-C3B6963754FF}" name="Column1369"/>
    <tableColumn id="1373" xr3:uid="{74FA0950-A70C-4609-8788-952370D47072}" name="Column1370"/>
    <tableColumn id="1374" xr3:uid="{127F1E05-7487-47B6-8D69-8BFBEA5CF05E}" name="Column1371"/>
    <tableColumn id="1375" xr3:uid="{D10F4F05-8ED3-4434-B3A3-91C1E5342FE2}" name="Column1372"/>
    <tableColumn id="1376" xr3:uid="{DE675EDF-863B-4403-AFF0-2AFDFE068D95}" name="Column1373"/>
    <tableColumn id="1377" xr3:uid="{9E30A310-E73A-48DB-8E35-99D5B66812E9}" name="Column1374"/>
    <tableColumn id="1378" xr3:uid="{AAA50E32-0ACD-4323-8E78-7DB4026772DC}" name="Column1375"/>
    <tableColumn id="1379" xr3:uid="{5244A70C-B50F-4EC1-82CD-96679A7705B7}" name="Column1376"/>
    <tableColumn id="1380" xr3:uid="{39DC48C6-BD96-42BF-BAE1-6643074CBC0E}" name="Column1377"/>
    <tableColumn id="1381" xr3:uid="{A3626026-71E2-4C84-BC38-703A07BF4D31}" name="Column1378"/>
    <tableColumn id="1382" xr3:uid="{27E960D1-BDFC-4C77-9B67-4B20CD90736A}" name="Column1379"/>
    <tableColumn id="1383" xr3:uid="{E16FEB8E-A010-4048-A396-0CD0843E4221}" name="Column1380"/>
    <tableColumn id="1384" xr3:uid="{FFFD663D-41DB-49C2-B8D6-B062B20F179F}" name="Column1381"/>
    <tableColumn id="1385" xr3:uid="{72259D66-D969-470A-B3AA-5ED55E7A7959}" name="Column1382"/>
    <tableColumn id="1386" xr3:uid="{E3AD28D1-0BB2-4366-949B-DF957B7D02FE}" name="Column1383"/>
    <tableColumn id="1387" xr3:uid="{0DDFB03D-4950-4065-A35A-1EB324DC245D}" name="Column1384"/>
    <tableColumn id="1388" xr3:uid="{18CED575-3F4F-44E9-95F4-45F6ABD8D75F}" name="Column1385"/>
    <tableColumn id="1389" xr3:uid="{F4508F76-A1F3-4CD5-BF4B-22705CE79E79}" name="Column1386"/>
    <tableColumn id="1390" xr3:uid="{72AF18D4-F7DF-4F02-B3B8-992E7095CC14}" name="Column1387"/>
    <tableColumn id="1391" xr3:uid="{73DB2D11-207E-49C6-A9F7-D7AB64DF4093}" name="Column1388"/>
    <tableColumn id="1392" xr3:uid="{24706430-7A7B-45B6-85E8-C587378EC23D}" name="Column1389"/>
    <tableColumn id="1393" xr3:uid="{8ECDB0C1-169A-4389-8F2D-1BF93B606C14}" name="Column1390"/>
    <tableColumn id="1394" xr3:uid="{8F68182D-62DC-4DD0-92F0-6B724D773AF1}" name="Column1391"/>
    <tableColumn id="1395" xr3:uid="{D6A1D9DC-DCC4-417D-9A60-DC541717CEDE}" name="Column1392"/>
    <tableColumn id="1396" xr3:uid="{34496708-20D0-44CF-BA37-E2665B8836FB}" name="Column1393"/>
    <tableColumn id="1397" xr3:uid="{E09EAD1B-5C8D-454D-8BC0-C9F18CC213EE}" name="Column1394"/>
    <tableColumn id="1398" xr3:uid="{A8CC1B2E-0449-43A9-AD15-69484CC36055}" name="Column1395"/>
    <tableColumn id="1399" xr3:uid="{F5A305B4-D01A-4658-BA40-E3842CD7D353}" name="Column1396"/>
    <tableColumn id="1400" xr3:uid="{21A1DDC3-B755-487B-9C1D-7DADBB573984}" name="Column1397"/>
    <tableColumn id="1401" xr3:uid="{7F2E4E44-D3BF-43EF-9350-72F24F769635}" name="Column1398"/>
    <tableColumn id="1402" xr3:uid="{B8F91385-1097-44F9-BD12-3EE220AD4305}" name="Column1399"/>
    <tableColumn id="1403" xr3:uid="{4720F01C-F0A7-4C02-969C-05B420F88362}" name="Column1400"/>
    <tableColumn id="1404" xr3:uid="{9211E0C8-2BA9-43FD-8EF9-CE78BB6636BC}" name="Column1401"/>
    <tableColumn id="1405" xr3:uid="{1276EF3A-C0FA-4C53-9FE0-E34A9A466566}" name="Column1402"/>
    <tableColumn id="1406" xr3:uid="{9B59C9CF-B568-4D0D-8AB1-55E23828B320}" name="Column1403"/>
    <tableColumn id="1407" xr3:uid="{900D0387-27EA-4B05-8BED-EB9B7A7D1338}" name="Column1404"/>
    <tableColumn id="1408" xr3:uid="{D88EEFCF-B33A-428B-8F54-CD783F5704FF}" name="Column1405"/>
    <tableColumn id="1409" xr3:uid="{BAFF41A3-3258-4B10-85A7-139DB6A9E1AB}" name="Column1406"/>
    <tableColumn id="1410" xr3:uid="{72EBDACA-D2C1-40A0-9A5A-7212E70D7AD3}" name="Column1407"/>
    <tableColumn id="1411" xr3:uid="{F8E00034-8977-4A04-BADE-FCECB5A5F85C}" name="Column1408"/>
    <tableColumn id="1412" xr3:uid="{BD8C7787-09F7-486E-9F9C-3DA95FDBC95F}" name="Column1409"/>
    <tableColumn id="1413" xr3:uid="{318045A0-90A6-46E6-B364-757B25247598}" name="Column1410"/>
    <tableColumn id="1414" xr3:uid="{9A7CE758-2590-4BD6-AE6E-0255F78116FB}" name="Column1411"/>
    <tableColumn id="1415" xr3:uid="{9AF5A33B-0F44-46F2-AD21-2655729AEFE8}" name="Column1412"/>
    <tableColumn id="1416" xr3:uid="{B697C777-4DE0-4694-9CD6-AA751EDFD72B}" name="Column1413"/>
    <tableColumn id="1417" xr3:uid="{F4414F37-02D4-4099-83B7-719DBC5330F4}" name="Column1414"/>
    <tableColumn id="1418" xr3:uid="{DE12CADD-252A-4BCF-A028-562D5CDFF3E0}" name="Column1415"/>
    <tableColumn id="1419" xr3:uid="{B32CDD3F-5401-4AAA-B74E-1F0C1A2C878A}" name="Column1416"/>
    <tableColumn id="1420" xr3:uid="{4BF66D18-FE22-498C-8B60-F3B330F950B1}" name="Column1417"/>
    <tableColumn id="1421" xr3:uid="{F8992901-AEFF-43BF-8C45-948216413641}" name="Column1418"/>
    <tableColumn id="1422" xr3:uid="{1CB85147-4945-42FB-8FCB-07EAC2EBB604}" name="Column1419"/>
    <tableColumn id="1423" xr3:uid="{AFA5AFF9-7BAF-479F-A1FB-7C2D63BD1C33}" name="Column1420"/>
    <tableColumn id="1424" xr3:uid="{767E6B28-6921-4AB6-8389-FBD329A3DDAE}" name="Column1421"/>
    <tableColumn id="1425" xr3:uid="{776BDE7F-E0BE-4681-8C66-54D85EBAD583}" name="Column1422"/>
    <tableColumn id="1426" xr3:uid="{C1908364-4EFA-4003-9D65-48D9D149BB89}" name="Column1423"/>
    <tableColumn id="1427" xr3:uid="{EC8A0C85-DC4C-4773-B6C6-C25B38FFAD38}" name="Column1424"/>
    <tableColumn id="1428" xr3:uid="{D15B151D-62B0-4C0B-A60D-CE7682D38807}" name="Column1425"/>
    <tableColumn id="1429" xr3:uid="{80DCE744-F0F1-44CE-9952-CB2BF59C0367}" name="Column1426"/>
    <tableColumn id="1430" xr3:uid="{93DA8F89-9585-4811-AF4A-BD2358240CA4}" name="Column1427"/>
    <tableColumn id="1431" xr3:uid="{56E2F118-5D02-42DB-A233-01403802B6B5}" name="Column1428"/>
    <tableColumn id="1432" xr3:uid="{BC58CC5C-3E4C-42CB-A108-A56728EEE890}" name="Column1429"/>
    <tableColumn id="1433" xr3:uid="{11FBA611-0612-46F8-A7DE-6EACAAD3E787}" name="Column1430"/>
    <tableColumn id="1434" xr3:uid="{3AF3525B-E064-4FA5-9254-04583800EBE5}" name="Column1431"/>
    <tableColumn id="1435" xr3:uid="{5E7D51B5-B0B8-4AAB-A940-270DFE9B5DC4}" name="Column1432"/>
    <tableColumn id="1436" xr3:uid="{F396975C-B438-4B36-A066-F17E11F2DDB6}" name="Column1433"/>
    <tableColumn id="1437" xr3:uid="{9F25D705-6685-4412-AC53-E23EDCCAEDEE}" name="Column1434"/>
    <tableColumn id="1438" xr3:uid="{00D20972-C4ED-43A9-81CE-A3BE4D1D72AC}" name="Column1435"/>
    <tableColumn id="1439" xr3:uid="{B3A5AD9F-C07A-487C-B313-2487F7D2C7F0}" name="Column1436"/>
    <tableColumn id="1440" xr3:uid="{C12B40DC-0E6A-4334-AA3B-1900C20C46DD}" name="Column1437"/>
    <tableColumn id="1441" xr3:uid="{A53F727F-8871-4314-9463-A711C5B38E6F}" name="Column1438"/>
    <tableColumn id="1442" xr3:uid="{6E18994E-CC50-4B06-B9A1-A7B07AE91820}" name="Column1439"/>
    <tableColumn id="1443" xr3:uid="{19E4CC18-9D6C-4D63-9430-6202280CFB16}" name="Column1440"/>
    <tableColumn id="1444" xr3:uid="{CCA15DCC-CFCB-49F7-A462-BE5E530DF699}" name="Column1441"/>
    <tableColumn id="1445" xr3:uid="{318AABF2-BA88-41FB-B14E-2CE607D1FB69}" name="Column1442"/>
    <tableColumn id="1446" xr3:uid="{E837C4B0-7C2B-4D30-9709-C0E79E2C2045}" name="Column1443"/>
    <tableColumn id="1447" xr3:uid="{9136539F-456F-4EAA-8275-E2C9E87F4B7B}" name="Column1444"/>
    <tableColumn id="1448" xr3:uid="{6C71464D-AAB5-4C28-9762-29F131BA17BC}" name="Column1445"/>
    <tableColumn id="1449" xr3:uid="{3CA8BBE4-1E28-40BB-A792-9D5B919C5ABA}" name="Column1446"/>
    <tableColumn id="1450" xr3:uid="{132E0390-47C8-4B56-AC42-A929584F6919}" name="Column1447"/>
    <tableColumn id="1451" xr3:uid="{0AC8712A-E7BE-432D-953F-93F924971315}" name="Column1448"/>
    <tableColumn id="1452" xr3:uid="{62DD5B11-C401-40DE-A4DC-3E9E87D923DC}" name="Column1449"/>
    <tableColumn id="1453" xr3:uid="{92184E21-B3A2-462F-B21F-C6A41CFEAFBC}" name="Column1450"/>
    <tableColumn id="1454" xr3:uid="{48CE4F96-1625-43AF-87FD-0830DE998B10}" name="Column1451"/>
    <tableColumn id="1455" xr3:uid="{5D6BEE46-15EC-4CCA-8F32-80B070843D81}" name="Column1452"/>
    <tableColumn id="1456" xr3:uid="{75C9F808-AC06-474C-AD55-7523C2B3F45B}" name="Column1453"/>
    <tableColumn id="1457" xr3:uid="{BE4E8DB0-B5BB-41D0-A295-173C95C9D3BA}" name="Column1454"/>
    <tableColumn id="1458" xr3:uid="{9F101676-C1DA-4328-A474-071550B47867}" name="Column1455"/>
    <tableColumn id="1459" xr3:uid="{0EBE8BD9-0B50-4E38-AB8D-257F318B37D7}" name="Column1456"/>
    <tableColumn id="1460" xr3:uid="{9413143D-E529-4CF5-95BC-43F90A470E1B}" name="Column1457"/>
    <tableColumn id="1461" xr3:uid="{2F681071-E657-4617-9CAD-184BB2015C69}" name="Column1458"/>
    <tableColumn id="1462" xr3:uid="{B32E1314-A35C-4D05-ACEA-345CBA6862B5}" name="Column1459"/>
    <tableColumn id="1463" xr3:uid="{8E3B0EDE-A634-4999-AF93-1FE5817BE010}" name="Column1460"/>
    <tableColumn id="1464" xr3:uid="{17D0250E-81BB-496E-9254-A6637471D775}" name="Column1461"/>
    <tableColumn id="1465" xr3:uid="{7FE01DDE-19F1-4B37-A392-53379833A0D0}" name="Column1462"/>
    <tableColumn id="1466" xr3:uid="{B4A73B32-7987-4397-9523-76E3921686C6}" name="Column1463"/>
    <tableColumn id="1467" xr3:uid="{3B385C99-463B-413D-8BF4-223276CCF28B}" name="Column1464"/>
    <tableColumn id="1468" xr3:uid="{F93C3A75-8568-406A-9B2A-ABFCCA0E3AB0}" name="Column1465"/>
    <tableColumn id="1469" xr3:uid="{A16F6173-8403-42D7-807E-533597BE553B}" name="Column1466"/>
    <tableColumn id="1470" xr3:uid="{99DBEAAB-0B83-497E-B339-A4E47E28E560}" name="Column1467"/>
    <tableColumn id="1471" xr3:uid="{6316A11D-4752-4A58-BBE0-DA92BB657412}" name="Column1468"/>
    <tableColumn id="1472" xr3:uid="{833D2A54-FA47-4B18-AD97-53148369D1A5}" name="Column1469"/>
    <tableColumn id="1473" xr3:uid="{E39C0AB9-7085-49CA-B3FD-9EF10A8619A2}" name="Column1470"/>
    <tableColumn id="1474" xr3:uid="{A4B1EAA4-EC00-4977-8B5D-7F24E95B6F8C}" name="Column1471"/>
    <tableColumn id="1475" xr3:uid="{B50FC344-3F71-401D-ABB4-8F02805D790D}" name="Column1472"/>
    <tableColumn id="1476" xr3:uid="{F62CC3B0-ACB3-4AFF-9CF6-85E87EDC28D3}" name="Column1473"/>
    <tableColumn id="1477" xr3:uid="{2DA04A7D-23AD-4058-A8C7-79300EF56E7A}" name="Column1474"/>
    <tableColumn id="1478" xr3:uid="{83F4EF4C-8A60-4AD9-B0A2-4749215E50AA}" name="Column1475"/>
    <tableColumn id="1479" xr3:uid="{77D2EF94-4A36-4591-8846-8916E78423D7}" name="Column1476"/>
    <tableColumn id="1480" xr3:uid="{A89B2D88-F7DD-4F97-98CF-684476E0D744}" name="Column1477"/>
    <tableColumn id="1481" xr3:uid="{2658302A-58DE-4623-ADA1-EC40B1215515}" name="Column1478"/>
    <tableColumn id="1482" xr3:uid="{412A76D8-5688-4C42-AFFB-3448EA44E490}" name="Column1479"/>
    <tableColumn id="1483" xr3:uid="{6978AB6C-91BD-494D-A400-01037D20D8FE}" name="Column1480"/>
    <tableColumn id="1484" xr3:uid="{CB6C6E33-6257-43BB-9365-DA9EFA18ABCF}" name="Column1481"/>
    <tableColumn id="1485" xr3:uid="{C5AE805F-B6FC-4490-BF2C-1FCA50B27A54}" name="Column1482"/>
    <tableColumn id="1486" xr3:uid="{87AB674A-6E77-4B38-A53B-72222C987106}" name="Column1483"/>
    <tableColumn id="1487" xr3:uid="{BBE57692-5044-4FFC-8402-0B0287F4459A}" name="Column1484"/>
    <tableColumn id="1488" xr3:uid="{0303F69B-9A10-4329-BED2-A14CED41921B}" name="Column1485"/>
    <tableColumn id="1489" xr3:uid="{5E05095B-8071-46DE-B4DC-1558C4AF596B}" name="Column1486"/>
    <tableColumn id="1490" xr3:uid="{81CE02C9-87E6-4DD8-8F99-3FE94B9B9D34}" name="Column1487"/>
    <tableColumn id="1491" xr3:uid="{0EFAF98D-8111-4AB6-BE82-F9233664DFF5}" name="Column1488"/>
    <tableColumn id="1492" xr3:uid="{C74A94C6-7787-434B-B1E2-63F0CA8BAD78}" name="Column1489"/>
    <tableColumn id="1493" xr3:uid="{A69E34BD-030B-4B3F-84D1-752110A385E7}" name="Column1490"/>
    <tableColumn id="1494" xr3:uid="{7DD0732A-A5BE-4B88-A330-6913727561AF}" name="Column1491"/>
    <tableColumn id="1495" xr3:uid="{82E38702-EFB3-45C0-90E5-8B7813A440D4}" name="Column1492"/>
    <tableColumn id="1496" xr3:uid="{8B4C4620-142A-4240-915C-D001278D8A09}" name="Column1493"/>
    <tableColumn id="1497" xr3:uid="{9C59045E-22CC-4814-96AF-E20AAD98AEDF}" name="Column1494"/>
    <tableColumn id="1498" xr3:uid="{2982CD55-9B50-4B6C-9522-8311CEF3EA4E}" name="Column1495"/>
    <tableColumn id="1499" xr3:uid="{6DBAE2AD-E450-4B50-B9FE-03E2A6C4D04C}" name="Column1496"/>
    <tableColumn id="1500" xr3:uid="{060733F2-5D20-485B-B67C-83BEA54CF8FF}" name="Column1497"/>
    <tableColumn id="1501" xr3:uid="{379916D1-9E1E-4DBA-BBA5-B1C16498EF0B}" name="Column1498"/>
    <tableColumn id="1502" xr3:uid="{64DF702A-562D-4943-9262-737BA9EC2601}" name="Column1499"/>
    <tableColumn id="1503" xr3:uid="{1693D735-C353-416F-B44B-E8F3CAF6B176}" name="Column1500"/>
    <tableColumn id="1504" xr3:uid="{73FA5B70-81C3-410F-B705-85F948410EEB}" name="Column1501"/>
    <tableColumn id="1505" xr3:uid="{F31D65F5-C39D-4133-906B-491338CCFB98}" name="Column1502"/>
    <tableColumn id="1506" xr3:uid="{FDAF2CE0-DDD4-459B-B992-4A642F75060E}" name="Column1503"/>
    <tableColumn id="1507" xr3:uid="{5E612694-37AC-4DCD-A548-31D864367BE1}" name="Column1504"/>
    <tableColumn id="1508" xr3:uid="{4A99D336-DC80-4EE4-AD9F-1374CED7BE5D}" name="Column1505"/>
    <tableColumn id="1509" xr3:uid="{E9AF6732-57FD-4E50-BFF2-5F099AA5AC35}" name="Column1506"/>
    <tableColumn id="1510" xr3:uid="{D4C72581-726D-45D6-89C4-925479D6B0E1}" name="Column1507"/>
    <tableColumn id="1511" xr3:uid="{C5CFB841-ECE3-4F6C-A128-966BA5DE9B01}" name="Column1508"/>
    <tableColumn id="1512" xr3:uid="{DF68C867-871B-4B68-81CF-E600878E6449}" name="Column1509"/>
    <tableColumn id="1513" xr3:uid="{ABDC3627-8CE6-4DEB-A8B2-203BEC3E9B92}" name="Column1510"/>
    <tableColumn id="1514" xr3:uid="{ECB3BD8D-B941-406A-8603-711D3EBB01B7}" name="Column1511"/>
    <tableColumn id="1515" xr3:uid="{9A9AFE01-E852-49DB-A679-A71FD1AA9961}" name="Column1512"/>
    <tableColumn id="1516" xr3:uid="{3ED358EB-8E21-43E7-A9D7-AA3B0BD5A574}" name="Column1513"/>
    <tableColumn id="1517" xr3:uid="{B4B507D8-FB6C-4824-A236-EA566BEBA9F4}" name="Column1514"/>
    <tableColumn id="1518" xr3:uid="{68003859-584F-47FB-B25E-37957DD67FEB}" name="Column1515"/>
    <tableColumn id="1519" xr3:uid="{FFBEB416-27E6-4F82-BA7A-439E9C64AD16}" name="Column1516"/>
    <tableColumn id="1520" xr3:uid="{BAE746CF-4453-425D-93D8-6B6E7BE5D5F8}" name="Column1517"/>
    <tableColumn id="1521" xr3:uid="{2A840F7C-F697-4388-9AD2-557590EF0467}" name="Column1518"/>
    <tableColumn id="1522" xr3:uid="{5992A511-C785-4D46-B39B-76345AEB9338}" name="Column1519"/>
    <tableColumn id="1523" xr3:uid="{298EDF87-5347-4F7A-9913-01D0472CB1E6}" name="Column1520"/>
    <tableColumn id="1524" xr3:uid="{245F33CE-B3F8-4E55-B85E-DED2CE0B2831}" name="Column1521"/>
    <tableColumn id="1525" xr3:uid="{6AA8CCC5-C5DF-4EDA-A72A-E4D3BAB63616}" name="Column1522"/>
    <tableColumn id="1526" xr3:uid="{22193E54-BB83-431B-A8B2-90924B1F342E}" name="Column1523"/>
    <tableColumn id="1527" xr3:uid="{244486DE-E85F-4042-83C6-950DB6525C7E}" name="Column1524"/>
    <tableColumn id="1528" xr3:uid="{A9961985-4A54-4D2F-B95B-4004801967D6}" name="Column1525"/>
    <tableColumn id="1529" xr3:uid="{507BB037-3447-44DE-8750-B2854F14EE49}" name="Column1526"/>
    <tableColumn id="1530" xr3:uid="{E0589F47-EE26-4EA2-A7FA-43368AF7360A}" name="Column1527"/>
    <tableColumn id="1531" xr3:uid="{40C10705-36FF-43E4-8A65-769E61A2EA57}" name="Column1528"/>
    <tableColumn id="1532" xr3:uid="{8ECF1DA0-F4D3-4360-B218-C21F21577822}" name="Column1529"/>
    <tableColumn id="1533" xr3:uid="{EB86F37F-70E4-4C9B-9F88-412010287F2C}" name="Column1530"/>
    <tableColumn id="1534" xr3:uid="{8E6FBA72-B90C-4D40-BD7E-F1E6D2D8A179}" name="Column1531"/>
    <tableColumn id="1535" xr3:uid="{B96A0A32-BAFA-480A-88CD-2D0A961BF426}" name="Column1532"/>
    <tableColumn id="1536" xr3:uid="{E2F332F7-7556-4169-B17E-9F2AA0CBA38A}" name="Column1533"/>
    <tableColumn id="1537" xr3:uid="{A9CF4519-E82B-4FC9-85A6-A94B28A1DD6B}" name="Column1534"/>
    <tableColumn id="1538" xr3:uid="{E0C45AB9-1861-4C71-B321-E2CA9F798661}" name="Column1535"/>
    <tableColumn id="1539" xr3:uid="{C7B96819-92AB-428F-BD97-84D02573543D}" name="Column1536"/>
    <tableColumn id="1540" xr3:uid="{D193F8C5-DB00-4626-89FF-25E0A97C8E1D}" name="Column1537"/>
    <tableColumn id="1541" xr3:uid="{BE164B82-0823-41A7-8315-34992432B864}" name="Column1538"/>
    <tableColumn id="1542" xr3:uid="{4CFE2E69-11F2-4AAF-9F8E-58F7BC4C0E66}" name="Column1539"/>
    <tableColumn id="1543" xr3:uid="{9956291F-2D2C-44E9-A43E-098590540437}" name="Column1540"/>
    <tableColumn id="1544" xr3:uid="{6FA23093-5C76-4659-8884-311F625B22D6}" name="Column1541"/>
    <tableColumn id="1545" xr3:uid="{D3A8CCC0-804B-4E9D-AA58-A69C06C36358}" name="Column1542"/>
    <tableColumn id="1546" xr3:uid="{2817FB28-105E-41C3-A11D-6483BDBC42C9}" name="Column1543"/>
    <tableColumn id="1547" xr3:uid="{105C7A9C-C52E-4371-809C-5951D19DD5EA}" name="Column1544"/>
    <tableColumn id="1548" xr3:uid="{EE392E34-424C-47D4-871E-3F941360CAB5}" name="Column1545"/>
    <tableColumn id="1549" xr3:uid="{1FBF0FF3-F973-4A75-A6ED-7FFB3E297EC2}" name="Column1546"/>
    <tableColumn id="1550" xr3:uid="{9854E5D2-3A02-42CD-95BC-A09216E6CCBF}" name="Column1547"/>
    <tableColumn id="1551" xr3:uid="{9BA7C5F9-5A8D-4A10-B38A-57C14EED32AD}" name="Column1548"/>
    <tableColumn id="1552" xr3:uid="{AAC07ECB-E3A5-4F92-88F4-32969325F443}" name="Column1549"/>
    <tableColumn id="1553" xr3:uid="{FC2A06A0-BC3B-423C-8CE2-728CC034B435}" name="Column1550"/>
    <tableColumn id="1554" xr3:uid="{A2EFD639-877A-4B09-BB39-BE8F01346530}" name="Column1551"/>
    <tableColumn id="1555" xr3:uid="{B99E821E-5388-4716-9D68-A33E08CC4B7B}" name="Column1552"/>
    <tableColumn id="1556" xr3:uid="{1F9ABF55-CDC7-441F-A858-4C8ECA7F8BB5}" name="Column1553"/>
    <tableColumn id="1557" xr3:uid="{748FBA2E-BC55-42DE-824A-3E0FBC89C431}" name="Column1554"/>
    <tableColumn id="1558" xr3:uid="{2C3FF9FA-3633-448D-90AA-39F62A7E5034}" name="Column1555"/>
    <tableColumn id="1559" xr3:uid="{EACAD149-8A97-4DF7-9193-6F6A2610AA84}" name="Column1556"/>
    <tableColumn id="1560" xr3:uid="{C131E4E3-21B7-4154-8094-CC33A2AE1733}" name="Column1557"/>
    <tableColumn id="1561" xr3:uid="{180BEF0B-6C27-4949-83CF-5F2F702CEB8A}" name="Column1558"/>
    <tableColumn id="1562" xr3:uid="{7E26F3D1-5EFF-406A-BD41-C0ADD14C1FFE}" name="Column1559"/>
    <tableColumn id="1563" xr3:uid="{D3E6CC35-58EC-4805-90EF-0545FFDD4837}" name="Column1560"/>
    <tableColumn id="1564" xr3:uid="{BEA43AF4-B22B-423D-92BF-2F1A11693CDC}" name="Column1561"/>
    <tableColumn id="1565" xr3:uid="{23B687FE-7678-4618-B221-5740ACA9A3E8}" name="Column1562"/>
    <tableColumn id="1566" xr3:uid="{25B993A9-F460-4962-A07E-1CC255E7B36F}" name="Column1563"/>
    <tableColumn id="1567" xr3:uid="{08F362A9-92AE-4AFB-9796-37806F439E08}" name="Column1564"/>
    <tableColumn id="1568" xr3:uid="{BF045897-6557-4613-8D6F-AF16FCDF6580}" name="Column1565"/>
    <tableColumn id="1569" xr3:uid="{CB5C92B0-AB85-4EC5-8266-130F5327A937}" name="Column1566"/>
    <tableColumn id="1570" xr3:uid="{F5826B80-9B48-44B7-9740-3F2D02F122A0}" name="Column1567"/>
    <tableColumn id="1571" xr3:uid="{3B3F76E4-E9B5-41DC-B040-CBC7AC33C59F}" name="Column1568"/>
    <tableColumn id="1572" xr3:uid="{373A879E-DD0F-4C55-8FEB-F07FC6BEED46}" name="Column1569"/>
    <tableColumn id="1573" xr3:uid="{5A2BC8B0-17E1-455D-BCE0-EB92338D30AB}" name="Column1570"/>
    <tableColumn id="1574" xr3:uid="{1337DD54-9827-4F7E-B645-15DD69B9536B}" name="Column1571"/>
    <tableColumn id="1575" xr3:uid="{6B163369-2C6B-4C9B-BCC2-C273BDCF22CE}" name="Column1572"/>
    <tableColumn id="1576" xr3:uid="{81CF51BA-E025-44C8-8254-6850736332CA}" name="Column1573"/>
    <tableColumn id="1577" xr3:uid="{6C8C1153-FE77-4057-B3A7-7836CAAAC0F7}" name="Column1574"/>
    <tableColumn id="1578" xr3:uid="{CB9D08DC-065C-47EF-B471-13768A7E6FFE}" name="Column1575"/>
    <tableColumn id="1579" xr3:uid="{1C2FC7D9-413C-4380-BBB1-82EDA2A2E5B1}" name="Column1576"/>
    <tableColumn id="1580" xr3:uid="{2D8E3D8B-8B69-4A2E-B30E-FEB28B3F9AC3}" name="Column1577"/>
    <tableColumn id="1581" xr3:uid="{5E927219-83AD-4173-BB54-13CA91D3A5BC}" name="Column1578"/>
    <tableColumn id="1582" xr3:uid="{7513EF58-0917-4307-94F0-1959EA7A65F4}" name="Column1579"/>
    <tableColumn id="1583" xr3:uid="{569F6C39-9E55-451A-803C-5D8BEBF08CE9}" name="Column1580"/>
    <tableColumn id="1584" xr3:uid="{4746E3EE-F3F3-4632-A15A-FDCFA72A5879}" name="Column1581"/>
    <tableColumn id="1585" xr3:uid="{A9D5B169-DB81-4009-8057-02C23B1BEF30}" name="Column1582"/>
    <tableColumn id="1586" xr3:uid="{82A3E354-D85E-49BD-B11C-F14E7E24E40F}" name="Column1583"/>
    <tableColumn id="1587" xr3:uid="{42FDF3F4-0455-4CF5-975C-5E4EF4A3440F}" name="Column1584"/>
    <tableColumn id="1588" xr3:uid="{F3CC1C83-91B1-48B2-A4C2-AE6D273EC1E0}" name="Column1585"/>
    <tableColumn id="1589" xr3:uid="{082870AF-C42C-4AC3-BFE2-BC01A1145111}" name="Column1586"/>
    <tableColumn id="1590" xr3:uid="{D3D6337A-5F5A-410D-AEC5-97D6B087BBA0}" name="Column1587"/>
    <tableColumn id="1591" xr3:uid="{075EC102-8251-4AB7-BE27-AE0235EDC2C9}" name="Column1588"/>
    <tableColumn id="1592" xr3:uid="{890DB5EA-685C-413D-B222-E3AE8AE22375}" name="Column1589"/>
    <tableColumn id="1593" xr3:uid="{208429E3-8AD0-43DA-A96A-6E66DE30914A}" name="Column1590"/>
    <tableColumn id="1594" xr3:uid="{DF9D6BB4-92D6-420F-A9A7-9FCFB059EFF5}" name="Column1591"/>
    <tableColumn id="1595" xr3:uid="{6FE4F8F8-C5E0-4525-9F53-9DA42DF3A645}" name="Column1592"/>
    <tableColumn id="1596" xr3:uid="{A20AD31B-27BE-4DA7-828D-452F677727A0}" name="Column1593"/>
    <tableColumn id="1597" xr3:uid="{C6A16CAD-271A-4212-B15A-46ECFA97FAD3}" name="Column1594"/>
    <tableColumn id="1598" xr3:uid="{CE5FD752-7551-4281-82E6-4EA8E5F1A2D9}" name="Column1595"/>
    <tableColumn id="1599" xr3:uid="{046497D9-DF1F-48FC-8B12-E2961E7BF112}" name="Column1596"/>
    <tableColumn id="1600" xr3:uid="{F0C23ECD-26D3-4094-8687-708564C2CF2C}" name="Column1597"/>
    <tableColumn id="1601" xr3:uid="{3BCB989C-7DFD-4D83-B3DB-009F1AC03AD3}" name="Column1598"/>
    <tableColumn id="1602" xr3:uid="{AE090EEC-CF5C-4FE0-838A-5FED3177D94B}" name="Column1599"/>
    <tableColumn id="1603" xr3:uid="{96358F4B-599C-4561-BEB7-43930A237D3E}" name="Column1600"/>
    <tableColumn id="1604" xr3:uid="{07ADCAB1-750C-4191-B752-B68AD11AC28A}" name="Column1601"/>
    <tableColumn id="1605" xr3:uid="{E4E7955E-B810-431F-BA7D-E82FC67A4EED}" name="Column1602"/>
    <tableColumn id="1606" xr3:uid="{CA3ADAEA-C58F-41EF-B1D9-6957951DC20B}" name="Column1603"/>
    <tableColumn id="1607" xr3:uid="{7E442659-062B-450A-AC2E-E14F96D579FD}" name="Column1604"/>
    <tableColumn id="1608" xr3:uid="{73BEE10B-2A59-411B-99E1-05C797097278}" name="Column1605"/>
    <tableColumn id="1609" xr3:uid="{E99410A6-32DD-4A43-86F6-2B6CC466B624}" name="Column1606"/>
    <tableColumn id="1610" xr3:uid="{9148BC93-A576-4F7B-8BC8-873A6E3962B2}" name="Column1607"/>
    <tableColumn id="1611" xr3:uid="{3FCF20F1-BAC9-4178-85E0-6ADFEC4D5758}" name="Column1608"/>
    <tableColumn id="1612" xr3:uid="{72398351-E21C-4B12-896A-BF82D40AE374}" name="Column1609"/>
    <tableColumn id="1613" xr3:uid="{EDA79C75-8670-4AB4-A2AC-3EA994EBA36D}" name="Column1610"/>
    <tableColumn id="1614" xr3:uid="{EBB77FDC-18EB-42E1-A676-BF1D6DA67B6C}" name="Column1611"/>
    <tableColumn id="1615" xr3:uid="{69E4997A-7FE0-4743-8DD7-24548AA3A0A1}" name="Column1612"/>
    <tableColumn id="1616" xr3:uid="{99D2FBDF-5AED-4CC5-BE32-CE3A472493A5}" name="Column1613"/>
    <tableColumn id="1617" xr3:uid="{8A73C9EB-4508-4EB8-AAC5-A8160CE7D18D}" name="Column1614"/>
    <tableColumn id="1618" xr3:uid="{F7F378A6-A026-4B0D-A517-54A7CA277796}" name="Column1615"/>
    <tableColumn id="1619" xr3:uid="{0B213BF9-C506-45A7-9C81-DB7AA2EBD2DC}" name="Column1616"/>
    <tableColumn id="1620" xr3:uid="{0270BE44-C7E3-47B4-A535-7BB68297609D}" name="Column1617"/>
    <tableColumn id="1621" xr3:uid="{A33EA5EC-B88F-4049-9B3F-38A51FB88298}" name="Column1618"/>
    <tableColumn id="1622" xr3:uid="{6012E04D-0919-4740-BCC8-A41CDF1C156B}" name="Column1619"/>
    <tableColumn id="1623" xr3:uid="{FE0D3115-7DA8-48CD-BB5B-040787739AF3}" name="Column1620"/>
    <tableColumn id="1624" xr3:uid="{B865E7ED-5EB6-47C1-A5A1-AA5346C6B22B}" name="Column1621"/>
    <tableColumn id="1625" xr3:uid="{B877B3F1-852C-4B02-BB5E-267F50A34F38}" name="Column1622"/>
    <tableColumn id="1626" xr3:uid="{89D03D4D-102B-425B-A3E2-2EC928CE698E}" name="Column1623"/>
    <tableColumn id="1627" xr3:uid="{24567E24-974A-4689-9099-902FAF8A8756}" name="Column1624"/>
    <tableColumn id="1628" xr3:uid="{1EA36A95-DD8F-4757-90C2-5AFC7F37C088}" name="Column1625"/>
    <tableColumn id="1629" xr3:uid="{9F019BE2-1EF4-4D4D-99E4-ADC2C48BD97A}" name="Column1626"/>
    <tableColumn id="1630" xr3:uid="{5A292358-2BB0-4F0F-BF25-A8B006C36F30}" name="Column1627"/>
    <tableColumn id="1631" xr3:uid="{258E0283-FAC4-4AE1-85B6-52BE618D6FDB}" name="Column1628"/>
    <tableColumn id="1632" xr3:uid="{69938854-ACA7-42CE-ACA3-3A64BFEC66C7}" name="Column1629"/>
    <tableColumn id="1633" xr3:uid="{F828E4BC-BA4C-4EE7-9EFA-1FDAC3146536}" name="Column1630"/>
    <tableColumn id="1634" xr3:uid="{D7A4FE9A-FBED-4740-A0C3-6FFB5D1F99C1}" name="Column1631"/>
    <tableColumn id="1635" xr3:uid="{BDE9AC1D-D470-4059-938B-A5CF4390E992}" name="Column1632"/>
    <tableColumn id="1636" xr3:uid="{10B84853-E276-4512-8642-E5156B70170A}" name="Column1633"/>
    <tableColumn id="1637" xr3:uid="{B9BAD6A2-3459-46F5-B625-34AADEB4CD28}" name="Column1634"/>
    <tableColumn id="1638" xr3:uid="{686BC976-B7D5-40F5-B594-241A9E34E719}" name="Column1635"/>
    <tableColumn id="1639" xr3:uid="{73B8C530-D599-4013-88EE-954E401013FF}" name="Column1636"/>
    <tableColumn id="1640" xr3:uid="{1194E9C5-007A-4A9B-B4F4-BDE96C6E7312}" name="Column1637"/>
    <tableColumn id="1641" xr3:uid="{20E953CF-84C9-4EAF-8A67-3AB84E8135D3}" name="Column1638"/>
    <tableColumn id="1642" xr3:uid="{CB3907F2-03F3-4F65-B225-B50E35C6A33F}" name="Column1639"/>
    <tableColumn id="1643" xr3:uid="{ED3C4918-D19A-4A9D-855A-BD3972A325DF}" name="Column1640"/>
    <tableColumn id="1644" xr3:uid="{9B9670E7-7473-467F-9FA0-609B0D967053}" name="Column1641"/>
    <tableColumn id="1645" xr3:uid="{C8DB7D43-FF5B-4ABA-B55C-16DD42E8E462}" name="Column1642"/>
    <tableColumn id="1646" xr3:uid="{DDD25994-0D44-42FF-8430-7470EAB59EEF}" name="Column1643"/>
    <tableColumn id="1647" xr3:uid="{54C6FC8F-2CE2-4C53-9559-770D2320CD1A}" name="Column1644"/>
    <tableColumn id="1648" xr3:uid="{E1F4BF76-8F3E-4291-BA5B-D4028093341B}" name="Column1645"/>
    <tableColumn id="1649" xr3:uid="{9E45ABC6-76FC-4442-AD92-EC888532B17E}" name="Column1646"/>
    <tableColumn id="1650" xr3:uid="{D0179879-3F77-4D95-A457-169261A298FF}" name="Column1647"/>
    <tableColumn id="1651" xr3:uid="{EFF3F77A-C4A9-4596-A463-407113BC0FDB}" name="Column1648"/>
    <tableColumn id="1652" xr3:uid="{F6423D5C-1B46-46D7-82E1-F06E18D628B0}" name="Column1649"/>
    <tableColumn id="1653" xr3:uid="{6FB218FD-4848-4F86-87D6-B11EEF6DE3CC}" name="Column1650"/>
    <tableColumn id="1654" xr3:uid="{82B6C76F-B2F5-423C-841A-D8173E5E32E9}" name="Column1651"/>
    <tableColumn id="1655" xr3:uid="{08D231A9-1BF1-4C6B-A968-D456376858B3}" name="Column1652"/>
    <tableColumn id="1656" xr3:uid="{16CA3DBF-D610-4602-B8A9-B76170C92768}" name="Column1653"/>
    <tableColumn id="1657" xr3:uid="{30098FC1-1D97-4C6A-968D-6CD1F1B20E37}" name="Column1654"/>
    <tableColumn id="1658" xr3:uid="{2B8DFA58-CAE2-47B3-872B-C3A122709966}" name="Column1655"/>
    <tableColumn id="1659" xr3:uid="{8FD064BD-FD29-44C1-B8F0-E430ED89CD79}" name="Column1656"/>
    <tableColumn id="1660" xr3:uid="{638D4649-1AF0-4E49-8654-1F0CEA3AFB04}" name="Column1657"/>
    <tableColumn id="1661" xr3:uid="{06F14197-71E4-4CF5-B6AA-FFC423C79729}" name="Column1658"/>
    <tableColumn id="1662" xr3:uid="{5D59C0DF-9759-457F-9DD6-C9883FEF19F3}" name="Column1659"/>
    <tableColumn id="1663" xr3:uid="{EAFAB66A-A2E4-4D63-8FDC-D59722D4ECFD}" name="Column1660"/>
    <tableColumn id="1664" xr3:uid="{BCE5FF1A-B7AF-40E2-A082-B266FAF21A5C}" name="Column1661"/>
    <tableColumn id="1665" xr3:uid="{8AE1867D-B8F5-4022-B553-03EDAB68A2DB}" name="Column1662"/>
    <tableColumn id="1666" xr3:uid="{B9341903-3502-4FBA-967F-B786102F5497}" name="Column1663"/>
    <tableColumn id="1667" xr3:uid="{FF0C6A9D-FD8E-4312-A427-651BBCF8C47E}" name="Column1664"/>
    <tableColumn id="1668" xr3:uid="{FF8FC1CA-3D61-43EF-BDB5-D96FBEED2531}" name="Column1665"/>
    <tableColumn id="1669" xr3:uid="{C07DAB7F-4572-4FCC-9378-EE8602D06A51}" name="Column1666"/>
    <tableColumn id="1670" xr3:uid="{B7A3D17C-2688-4DAF-9505-3B84D903BDF8}" name="Column1667"/>
    <tableColumn id="1671" xr3:uid="{D23D163A-8782-4DBC-8B0B-BA279EEB6F58}" name="Column1668"/>
    <tableColumn id="1672" xr3:uid="{86E9FB48-6571-40E1-A45E-900F697E1371}" name="Column1669"/>
    <tableColumn id="1673" xr3:uid="{BE106A4B-EAE3-492D-8A4F-7D8400893956}" name="Column1670"/>
    <tableColumn id="1674" xr3:uid="{5E6FFCD8-E8BB-4DBE-8936-B4DD983893B3}" name="Column1671"/>
    <tableColumn id="1675" xr3:uid="{C671B8E7-095E-46CC-ABFC-A96330CFABFC}" name="Column1672"/>
    <tableColumn id="1676" xr3:uid="{A233F32F-EED5-44D6-A200-64AA5B02E036}" name="Column1673"/>
    <tableColumn id="1677" xr3:uid="{2E48B694-6BF3-4161-A36F-BDA570128AC6}" name="Column1674"/>
    <tableColumn id="1678" xr3:uid="{7D991284-1141-48C2-BFD0-4F45920ADC60}" name="Column1675"/>
    <tableColumn id="1679" xr3:uid="{6E76C2F3-FD27-4300-BCC2-ED808CE181D9}" name="Column1676"/>
    <tableColumn id="1680" xr3:uid="{85C311F7-D236-4472-AAFB-62A267FF9C64}" name="Column1677"/>
    <tableColumn id="1681" xr3:uid="{E957BE16-7B30-416E-9477-850C84CF88E5}" name="Column1678"/>
    <tableColumn id="1682" xr3:uid="{4A5BFF56-696B-4DA1-B038-147D759C7C24}" name="Column1679"/>
    <tableColumn id="1683" xr3:uid="{4DA3239E-14F5-4484-936E-ACAC7FD5196C}" name="Column1680"/>
    <tableColumn id="1684" xr3:uid="{92747C58-AE91-438B-A854-FA76C195AED1}" name="Column1681"/>
    <tableColumn id="1685" xr3:uid="{E742BBD3-E70F-4A34-8F76-C765E0392353}" name="Column1682"/>
    <tableColumn id="1686" xr3:uid="{884A6F8D-0090-4C26-9F0E-F98549B0C7D4}" name="Column1683"/>
    <tableColumn id="1687" xr3:uid="{8C68FABB-58AC-4ECF-9B3D-E7D1B95E0378}" name="Column1684"/>
    <tableColumn id="1688" xr3:uid="{E345808B-C393-4459-BDA7-5B7757ED333E}" name="Column1685"/>
    <tableColumn id="1689" xr3:uid="{542A8327-E1B5-415B-B193-1B64E473487D}" name="Column1686"/>
    <tableColumn id="1690" xr3:uid="{85A301D4-0AB6-4F48-9219-F9792883A723}" name="Column1687"/>
    <tableColumn id="1691" xr3:uid="{2718C809-44C6-434E-9DEB-17F2F455B940}" name="Column1688"/>
    <tableColumn id="1692" xr3:uid="{53D1CAF4-854B-45CF-A9DD-526C7867AC12}" name="Column1689"/>
    <tableColumn id="1693" xr3:uid="{3CA1F31D-5768-4D83-91FC-B4307D5230AC}" name="Column1690"/>
    <tableColumn id="1694" xr3:uid="{7F20D3D6-38E5-4CD4-9808-0B99B3A44613}" name="Column1691"/>
    <tableColumn id="1695" xr3:uid="{071A4A16-F628-4AC1-9ADC-3B1E48AB65D5}" name="Column1692"/>
    <tableColumn id="1696" xr3:uid="{053B88A2-699E-4ABA-BF82-4DC201F77DE0}" name="Column1693"/>
    <tableColumn id="1697" xr3:uid="{671EFD3B-C46D-4373-840D-25758D23FEA7}" name="Column1694"/>
    <tableColumn id="1698" xr3:uid="{D5E3E61C-D0C1-42EE-B0CF-26D1D1C94102}" name="Column1695"/>
    <tableColumn id="1699" xr3:uid="{2BC07AD3-F527-48FF-9650-3A1A73B1C85B}" name="Column1696"/>
    <tableColumn id="1700" xr3:uid="{9175EFB8-E6AB-402A-B256-D8CE94FC2038}" name="Column1697"/>
    <tableColumn id="1701" xr3:uid="{BF2CAC83-45F9-4A2C-8AC3-A22C181258C9}" name="Column1698"/>
    <tableColumn id="1702" xr3:uid="{A17AE63F-41FA-4B6F-AB21-872E83637E3D}" name="Column1699"/>
    <tableColumn id="1703" xr3:uid="{09B80D1C-3EE4-4D4A-B076-06F711D5012F}" name="Column1700"/>
    <tableColumn id="1704" xr3:uid="{5F2713DB-CD2C-4040-A555-A6A6A9B024B0}" name="Column1701"/>
    <tableColumn id="1705" xr3:uid="{D2EF1D33-8525-4EE6-B96B-58ECB94FEA88}" name="Column1702"/>
    <tableColumn id="1706" xr3:uid="{787FAE92-7FFB-4D97-927B-CAF601F7A0DE}" name="Column1703"/>
    <tableColumn id="1707" xr3:uid="{0528C2CC-D1F0-454A-AE0C-A3A13009504D}" name="Column1704"/>
    <tableColumn id="1708" xr3:uid="{C94E7D39-7F3B-4CA0-B16E-3D512DCB521B}" name="Column1705"/>
    <tableColumn id="1709" xr3:uid="{396BFD18-79AC-490C-B70F-577F35F2ECF6}" name="Column1706"/>
    <tableColumn id="1710" xr3:uid="{89CD9BA8-C82F-47BE-ADDF-270ECA91A7F7}" name="Column1707"/>
    <tableColumn id="1711" xr3:uid="{531194C4-DA96-4B80-A0FD-C25D2B985513}" name="Column1708"/>
    <tableColumn id="1712" xr3:uid="{4576518E-482B-4419-B98B-5E67C616CD50}" name="Column1709"/>
    <tableColumn id="1713" xr3:uid="{E2A31B9B-27AB-4882-B044-A477CCC094B2}" name="Column1710"/>
    <tableColumn id="1714" xr3:uid="{069EACF6-C432-4778-95A3-92C6480C3C0C}" name="Column1711"/>
    <tableColumn id="1715" xr3:uid="{415A1505-5937-4800-8AB8-67F1A35FD176}" name="Column1712"/>
    <tableColumn id="1716" xr3:uid="{4ABD89A9-AE00-41FD-BD62-9ED8B76842A9}" name="Column1713"/>
    <tableColumn id="1717" xr3:uid="{6576AF79-4566-4AF1-B134-36CFFA79DC07}" name="Column1714"/>
    <tableColumn id="1718" xr3:uid="{EB6D352B-B3B2-401F-A2CB-3B415474412E}" name="Column1715"/>
    <tableColumn id="1719" xr3:uid="{5E531888-0819-4898-8D39-7434D10FFAB6}" name="Column1716"/>
    <tableColumn id="1720" xr3:uid="{CBAF65A5-594E-4AE7-9109-4ACCDDB30642}" name="Column1717"/>
    <tableColumn id="1721" xr3:uid="{8B699D9D-6C19-465C-945A-C71804FF29F7}" name="Column1718"/>
    <tableColumn id="1722" xr3:uid="{B28F0A64-7520-4F30-9248-65D3BC1F413E}" name="Column1719"/>
    <tableColumn id="1723" xr3:uid="{8274F025-A505-4616-98D5-69C30660E85A}" name="Column1720"/>
    <tableColumn id="1724" xr3:uid="{1CF2F649-AA5A-4270-BE3A-04F5B7570C4C}" name="Column1721"/>
    <tableColumn id="1725" xr3:uid="{6FBFE64E-CAE7-4198-B13D-4D42EC9DF94D}" name="Column1722"/>
    <tableColumn id="1726" xr3:uid="{CE90CD4C-2978-41BB-8720-621B86D2AB21}" name="Column1723"/>
    <tableColumn id="1727" xr3:uid="{089F8C49-0548-426F-BFC3-F1AE4262E5C2}" name="Column1724"/>
    <tableColumn id="1728" xr3:uid="{629E5D93-75F3-4712-9C4C-B2AFF19487F8}" name="Column1725"/>
    <tableColumn id="1729" xr3:uid="{A174DD3F-974A-4330-A1B6-66D382A295F6}" name="Column1726"/>
    <tableColumn id="1730" xr3:uid="{8D9B885B-191A-41B7-89A8-83E4965486D9}" name="Column1727"/>
    <tableColumn id="1731" xr3:uid="{69B4E5DB-22DD-4BAF-A9A2-FC90901B79F7}" name="Column1728"/>
    <tableColumn id="1732" xr3:uid="{5F56C60B-DF94-4287-9DB0-2E2F23356640}" name="Column1729"/>
    <tableColumn id="1733" xr3:uid="{E203D55E-CC94-42A6-99F6-43F4B67737EE}" name="Column1730"/>
    <tableColumn id="1734" xr3:uid="{527AB0CA-7E25-4F61-8D1E-ED1822AD9039}" name="Column1731"/>
    <tableColumn id="1735" xr3:uid="{9603204F-1BB5-459F-A0FB-342853F6B0AC}" name="Column1732"/>
    <tableColumn id="1736" xr3:uid="{E9D470A3-7B07-4338-A027-251DDDEAAB77}" name="Column1733"/>
    <tableColumn id="1737" xr3:uid="{494FDBB5-BF38-4B1C-A4A1-AB6E49089021}" name="Column1734"/>
    <tableColumn id="1738" xr3:uid="{487106A6-CF13-4CFC-A580-25F320152917}" name="Column1735"/>
    <tableColumn id="1739" xr3:uid="{642515FA-7621-453E-AD81-5D9AF2665A7B}" name="Column1736"/>
    <tableColumn id="1740" xr3:uid="{363294FC-BD43-4DC9-91F6-786DE51A66BA}" name="Column1737"/>
    <tableColumn id="1741" xr3:uid="{01A6FC70-494D-4DD5-AF3C-53C1819F3F0F}" name="Column1738"/>
    <tableColumn id="1742" xr3:uid="{B28A0D98-ED51-426D-B228-30A9F9463481}" name="Column1739"/>
    <tableColumn id="1743" xr3:uid="{1901498D-44E1-4FD3-8593-FD88A88C718B}" name="Column1740"/>
    <tableColumn id="1744" xr3:uid="{0865C76B-1FA5-4235-95AA-E9B868BB5C96}" name="Column1741"/>
    <tableColumn id="1745" xr3:uid="{D979834F-9AA0-4FEA-A0B2-86709934FEDE}" name="Column1742"/>
    <tableColumn id="1746" xr3:uid="{69FC7965-8DA3-4AA1-87FE-DD310249D66F}" name="Column1743"/>
    <tableColumn id="1747" xr3:uid="{40971288-A6DF-42CE-B907-0BDD585E8343}" name="Column1744"/>
    <tableColumn id="1748" xr3:uid="{9F53E822-E958-448B-AFEF-02686435FB54}" name="Column1745"/>
    <tableColumn id="1749" xr3:uid="{3EA5E236-A327-4CC4-81EC-EC248107A275}" name="Column1746"/>
    <tableColumn id="1750" xr3:uid="{CB2A359A-F6FA-4D86-84CE-5584624E54E5}" name="Column1747"/>
    <tableColumn id="1751" xr3:uid="{E8B42213-A3FB-40A5-BB4C-15CC7A80A966}" name="Column1748"/>
    <tableColumn id="1752" xr3:uid="{A807161D-20D9-4519-836E-FF9AD3662C29}" name="Column1749"/>
    <tableColumn id="1753" xr3:uid="{10839A94-4186-422E-A5D9-E2AD25B89247}" name="Column1750"/>
    <tableColumn id="1754" xr3:uid="{1EDB6432-2891-44A6-B0E6-1B18241B87D1}" name="Column1751"/>
    <tableColumn id="1755" xr3:uid="{8D90DC04-74DD-42F3-AF0D-102BA08E928D}" name="Column1752"/>
    <tableColumn id="1756" xr3:uid="{666B0C40-D5BD-4B02-A44E-D4A9F21F1A20}" name="Column1753"/>
    <tableColumn id="1757" xr3:uid="{DFCA16CD-EAD9-466B-B2DF-B910F259234B}" name="Column1754"/>
    <tableColumn id="1758" xr3:uid="{DF392A44-CB30-4997-A450-62E83238E5FA}" name="Column1755"/>
    <tableColumn id="1759" xr3:uid="{1841BF7C-3AA0-4A6A-964A-5C2841F2DE1E}" name="Column1756"/>
    <tableColumn id="1760" xr3:uid="{9A40ECF4-FB10-4EEA-9F89-E2EC58ED8A06}" name="Column1757"/>
    <tableColumn id="1761" xr3:uid="{C22BE81F-B302-48F4-B947-AFFC5F1D4586}" name="Column1758"/>
    <tableColumn id="1762" xr3:uid="{05A5CBA1-8EBA-467C-BD17-930C50349C67}" name="Column1759"/>
    <tableColumn id="1763" xr3:uid="{18D70B0F-167A-42E7-A2DD-8C74344BDEF8}" name="Column1760"/>
    <tableColumn id="1764" xr3:uid="{6E8F610C-FD47-4AB3-AD09-34534E870599}" name="Column1761"/>
    <tableColumn id="1765" xr3:uid="{C66C6476-C5BB-4226-A2E7-D3AFFA92CAC8}" name="Column1762"/>
    <tableColumn id="1766" xr3:uid="{792F2A82-BB43-4D28-B516-04B453746F3B}" name="Column1763"/>
    <tableColumn id="1767" xr3:uid="{F45DB061-F892-4C03-8806-509746D26CBC}" name="Column1764"/>
    <tableColumn id="1768" xr3:uid="{6EC9A16C-B5CF-4424-9B0E-BF36D6941B63}" name="Column1765"/>
    <tableColumn id="1769" xr3:uid="{89775579-26EC-4FC7-81E9-0A28B23FC92A}" name="Column1766"/>
    <tableColumn id="1770" xr3:uid="{DEE226DE-BBBF-4446-9612-9AF54FB5283B}" name="Column1767"/>
    <tableColumn id="1771" xr3:uid="{9585EDA8-8C76-4139-8675-1DE951F2589C}" name="Column1768"/>
    <tableColumn id="1772" xr3:uid="{A183AA89-7BAD-42A2-9DC1-AD223EB3B964}" name="Column1769"/>
    <tableColumn id="1773" xr3:uid="{C1ACDD70-E568-4D8B-9646-51F122582052}" name="Column1770"/>
    <tableColumn id="1774" xr3:uid="{10C600EF-C991-4D64-9B19-E7D9535B1E6D}" name="Column1771"/>
    <tableColumn id="1775" xr3:uid="{8D6F9F19-13FD-46F5-8811-3334124C026E}" name="Column1772"/>
    <tableColumn id="1776" xr3:uid="{706D5797-377C-46C6-A8B9-69D8F0F84985}" name="Column1773"/>
    <tableColumn id="1777" xr3:uid="{BC7F4896-BE80-48C1-8600-3A7B12140D7D}" name="Column1774"/>
    <tableColumn id="1778" xr3:uid="{47D5086A-14CA-4704-A69D-51025872310A}" name="Column1775"/>
    <tableColumn id="1779" xr3:uid="{DA1314F1-5CA6-427C-84E7-BC1DF3D6923C}" name="Column1776"/>
    <tableColumn id="1780" xr3:uid="{D2CB1BB7-E033-433F-93D0-C235FCA092E7}" name="Column1777"/>
    <tableColumn id="1781" xr3:uid="{32783381-C735-450C-B7AA-EFFACBCBDC2D}" name="Column1778"/>
    <tableColumn id="1782" xr3:uid="{C2D22065-370F-4A49-BECD-410CFE2C3B3D}" name="Column1779"/>
    <tableColumn id="1783" xr3:uid="{79E50FEB-9D52-4FFC-A5DB-8F3B5F8C6783}" name="Column1780"/>
    <tableColumn id="1784" xr3:uid="{4E8748B7-3F06-4FC5-A19E-DBED2D7DC592}" name="Column1781"/>
    <tableColumn id="1785" xr3:uid="{906C3619-A449-4A4A-ABDF-DFA9605947B0}" name="Column1782"/>
    <tableColumn id="1786" xr3:uid="{87BF7CCB-DAA5-49C6-B754-984B0EB34999}" name="Column1783"/>
    <tableColumn id="1787" xr3:uid="{47A87E8B-734E-44EA-9F4F-C771F2DCE5B3}" name="Column1784"/>
    <tableColumn id="1788" xr3:uid="{B78D194F-1738-4F04-8456-659A0642C193}" name="Column1785"/>
    <tableColumn id="1789" xr3:uid="{BBE9F323-0EAE-4797-B67B-7B40EAD4553B}" name="Column1786"/>
    <tableColumn id="1790" xr3:uid="{EDB58F41-1B8D-474B-B6B8-E8D162819B9D}" name="Column1787"/>
    <tableColumn id="1791" xr3:uid="{9C16AB77-BB0D-4101-9AAC-4690DD98E831}" name="Column1788"/>
    <tableColumn id="1792" xr3:uid="{027E6FF4-9B63-47FC-BDD1-403241F05560}" name="Column1789"/>
    <tableColumn id="1793" xr3:uid="{8F3C6730-363F-4FE6-8E03-D4F866AA7347}" name="Column1790"/>
    <tableColumn id="1794" xr3:uid="{717C19B9-C266-4175-BEEB-B97A2CA02C33}" name="Column1791"/>
    <tableColumn id="1795" xr3:uid="{1040F95A-DC33-4E43-A17A-D721F74E3EF0}" name="Column1792"/>
    <tableColumn id="1796" xr3:uid="{AD406054-36EA-481F-9BD3-737A93225721}" name="Column1793"/>
    <tableColumn id="1797" xr3:uid="{BFD39B77-3C2C-45CF-B324-9709640C997A}" name="Column1794"/>
    <tableColumn id="1798" xr3:uid="{B8E686DA-AE8E-49D4-83E9-D7F378454E7B}" name="Column1795"/>
    <tableColumn id="1799" xr3:uid="{E598317E-074A-44BC-A0B7-8D76D923BFBF}" name="Column1796"/>
    <tableColumn id="1800" xr3:uid="{AFA8C71B-97F8-4728-99A7-FAD0CFA54BA2}" name="Column1797"/>
    <tableColumn id="1801" xr3:uid="{7F73249B-5D8A-45B1-B2ED-5B566C6E276D}" name="Column1798"/>
    <tableColumn id="1802" xr3:uid="{F1819871-9520-438C-8A86-0B3BB26F577D}" name="Column1799"/>
    <tableColumn id="1803" xr3:uid="{715AE06B-6518-4384-A87C-5D4118D6A030}" name="Column1800"/>
    <tableColumn id="1804" xr3:uid="{59A2A2D3-99F7-4869-91E9-FBB9D868AD4B}" name="Column1801"/>
    <tableColumn id="1805" xr3:uid="{A85B4084-8160-4C3C-8157-8DFAA77664F9}" name="Column1802"/>
    <tableColumn id="1806" xr3:uid="{BB528F8F-1AA8-43C3-8E11-E19BBCCC99BD}" name="Column1803"/>
    <tableColumn id="1807" xr3:uid="{8B70DD4A-0633-45AB-9EAA-F673C2FD104E}" name="Column1804"/>
    <tableColumn id="1808" xr3:uid="{7BA0878B-58CF-48E5-8B09-BD0F23BC151B}" name="Column1805"/>
    <tableColumn id="1809" xr3:uid="{D3B8F49A-A10B-4067-B8E5-2823CD9DA710}" name="Column1806"/>
    <tableColumn id="1810" xr3:uid="{908CBF92-7EC5-4A48-A64B-8B7B7CF21B81}" name="Column1807"/>
    <tableColumn id="1811" xr3:uid="{04C4F284-A886-4F1D-9FA4-E12633B3583B}" name="Column1808"/>
    <tableColumn id="1812" xr3:uid="{EF798B66-37E0-4A5F-937F-5CA34C7FF445}" name="Column1809"/>
    <tableColumn id="1813" xr3:uid="{A5D659E5-55F2-417B-95F6-6C930ABE324A}" name="Column1810"/>
    <tableColumn id="1814" xr3:uid="{A2EC4D96-F4F6-4C37-9CF0-9E335D2C5185}" name="Column1811"/>
    <tableColumn id="1815" xr3:uid="{BA7E04D3-5B20-4613-B7F3-7C90FEA9A0E7}" name="Column1812"/>
    <tableColumn id="1816" xr3:uid="{74B73905-B89C-45C6-91F2-C752FC9198B1}" name="Column1813"/>
    <tableColumn id="1817" xr3:uid="{AB52CDA8-230D-45AE-BC1B-0BCB5816F182}" name="Column1814"/>
    <tableColumn id="1818" xr3:uid="{B37EE855-6618-4A39-A69A-0B5C1B19DECA}" name="Column1815"/>
    <tableColumn id="1819" xr3:uid="{B12EFAFE-FB70-47A5-9167-444D5AD763C2}" name="Column1816"/>
    <tableColumn id="1820" xr3:uid="{0D8D7C41-E7F2-4769-AD11-DCA6EA9B8EAC}" name="Column1817"/>
    <tableColumn id="1821" xr3:uid="{B782558A-629A-4648-805F-D79D51DCF905}" name="Column1818"/>
    <tableColumn id="1822" xr3:uid="{7255244B-8A1E-429C-AEA9-90F139EABA6B}" name="Column1819"/>
    <tableColumn id="1823" xr3:uid="{AB4BC038-659C-481C-9A83-CC5198B8FD46}" name="Column1820"/>
    <tableColumn id="1824" xr3:uid="{1CA96F4F-E6F0-452E-91A7-15136BBF655A}" name="Column1821"/>
    <tableColumn id="1825" xr3:uid="{61D95DEC-11FA-4711-90F1-32B87C4765F1}" name="Column1822"/>
    <tableColumn id="1826" xr3:uid="{F13B988A-2AD4-4796-95E1-CD4188EAEC34}" name="Column1823"/>
    <tableColumn id="1827" xr3:uid="{35E7E071-90B1-4744-85A3-F32D9128A170}" name="Column1824"/>
    <tableColumn id="1828" xr3:uid="{08AFA939-5876-4A37-A15C-976A068763D6}" name="Column1825"/>
    <tableColumn id="1829" xr3:uid="{8B10E985-8BFC-460E-B36D-5E6D429CC242}" name="Column1826"/>
    <tableColumn id="1830" xr3:uid="{80F51D80-EA69-4A06-B5CD-D5153F6170FD}" name="Column1827"/>
    <tableColumn id="1831" xr3:uid="{C7E60F3E-0B65-4F32-8758-28907E607093}" name="Column1828"/>
    <tableColumn id="1832" xr3:uid="{819B6019-AD09-466D-BF48-5F4F3FB9D586}" name="Column1829"/>
    <tableColumn id="1833" xr3:uid="{E038CC4B-19A7-4C9B-8C59-A7EC5F89F5F2}" name="Column1830"/>
    <tableColumn id="1834" xr3:uid="{B33EBDF0-0605-4151-8FD7-8A9D8F039150}" name="Column1831"/>
    <tableColumn id="1835" xr3:uid="{FE377D5B-D0E0-4958-BBAA-9BA2904CB103}" name="Column1832"/>
    <tableColumn id="1836" xr3:uid="{03764DCF-59EF-42CC-AD58-86F30FAAC137}" name="Column1833"/>
    <tableColumn id="1837" xr3:uid="{BDFA0A51-EE78-43DC-81BB-6B5A6F14DCDA}" name="Column1834"/>
    <tableColumn id="1838" xr3:uid="{0555B594-BCCF-4F7E-8ECB-770449EEE4BE}" name="Column1835"/>
    <tableColumn id="1839" xr3:uid="{12686D17-FAC1-4873-A582-920C89C485FC}" name="Column1836"/>
    <tableColumn id="1840" xr3:uid="{D4FDA7E3-8A96-456C-8CB8-AA9994EA77F1}" name="Column1837"/>
    <tableColumn id="1841" xr3:uid="{5209439F-AA8D-4678-97C8-42D9F2D632DC}" name="Column1838"/>
    <tableColumn id="1842" xr3:uid="{7A4EA975-132A-4167-B860-F4B885349ECF}" name="Column1839"/>
    <tableColumn id="1843" xr3:uid="{4E3D67E0-71A0-4CE1-8260-0A5864CE3A1A}" name="Column1840"/>
    <tableColumn id="1844" xr3:uid="{333ED24C-EC67-4867-B514-377E0F987A7D}" name="Column1841"/>
    <tableColumn id="1845" xr3:uid="{BCBF02E2-3112-4E16-A553-ABFD8AC7BA62}" name="Column1842"/>
    <tableColumn id="1846" xr3:uid="{A68E58E9-EECA-4AC5-8CE1-FF348EE7A7B6}" name="Column1843"/>
    <tableColumn id="1847" xr3:uid="{C05B1E7B-548E-4CE7-8BB7-03B7CFBE0F29}" name="Column1844"/>
    <tableColumn id="1848" xr3:uid="{86D1F95C-A662-4529-BC6C-17680E70F105}" name="Column1845"/>
    <tableColumn id="1849" xr3:uid="{6B75C5F0-A92A-4E00-BA86-2B836F99762C}" name="Column1846"/>
    <tableColumn id="1850" xr3:uid="{E81483B5-4F5C-4847-A424-9F2DD2866B04}" name="Column1847"/>
    <tableColumn id="1851" xr3:uid="{CAF05D98-9B1F-4D22-AEA7-9B5D61DCF391}" name="Column1848"/>
    <tableColumn id="1852" xr3:uid="{3F29D763-EA98-42FC-A5D8-54E649546D92}" name="Column1849"/>
    <tableColumn id="1853" xr3:uid="{BB3FB073-4225-4183-A36F-FBFD50779D38}" name="Column1850"/>
    <tableColumn id="1854" xr3:uid="{9E2B4D9B-E3A1-48FE-BDE1-610D8BCB8BF8}" name="Column1851"/>
    <tableColumn id="1855" xr3:uid="{C4242B2E-40F7-4E05-B577-344CFCF8A9DF}" name="Column1852"/>
    <tableColumn id="1856" xr3:uid="{0E6A628E-8AF2-4624-A530-616B2E1A642A}" name="Column1853"/>
    <tableColumn id="1857" xr3:uid="{46DE6BB7-66AF-4337-B056-49B4441BCE03}" name="Column1854"/>
    <tableColumn id="1858" xr3:uid="{54144C44-68EE-4FAD-99E7-0B95BBC29D7F}" name="Column1855"/>
    <tableColumn id="1859" xr3:uid="{C94EC3E4-796A-4F30-84FD-A8DB1D7F00CE}" name="Column1856"/>
    <tableColumn id="1860" xr3:uid="{D9092955-DE5C-42A4-9997-A7DB1743CCAD}" name="Column1857"/>
    <tableColumn id="1861" xr3:uid="{0BDD4E25-BA08-4BFB-82BA-FCB4CCF9F2B4}" name="Column1858"/>
    <tableColumn id="1862" xr3:uid="{275FF3D4-0AD9-49ED-B9B6-00EC19424052}" name="Column1859"/>
    <tableColumn id="1863" xr3:uid="{E9951880-36F9-4575-A503-771456D6C75F}" name="Column1860"/>
    <tableColumn id="1864" xr3:uid="{D2D88144-A358-407F-9ABE-4A34ED42AF94}" name="Column1861"/>
    <tableColumn id="1865" xr3:uid="{BC0ECB66-3C49-40C5-9083-C5BE3D12523A}" name="Column1862"/>
    <tableColumn id="1866" xr3:uid="{5C034430-10F9-4089-B837-5BAA60F82CBC}" name="Column1863"/>
    <tableColumn id="1867" xr3:uid="{62F491A9-F922-41EE-8BFE-6B2E16280EB3}" name="Column1864"/>
    <tableColumn id="1868" xr3:uid="{375884A4-9337-43B5-8F05-4C565D6F2BC9}" name="Column1865"/>
    <tableColumn id="1869" xr3:uid="{1376AD68-130F-4548-9A34-EAECE60C8255}" name="Column1866"/>
    <tableColumn id="1870" xr3:uid="{3E80F300-CDEA-46FB-9DE5-4730269EF831}" name="Column1867"/>
    <tableColumn id="1871" xr3:uid="{96025A5A-FE02-4F8F-B664-3804E3F5E63F}" name="Column1868"/>
    <tableColumn id="1872" xr3:uid="{EE8B364B-1D9A-4DC9-81AA-72F2A66B210C}" name="Column1869"/>
    <tableColumn id="1873" xr3:uid="{C7FBBC74-B023-4631-A51B-81E5F40750A6}" name="Column1870"/>
    <tableColumn id="1874" xr3:uid="{6D437418-3F99-4404-A6A0-1607088C0F4D}" name="Column1871"/>
    <tableColumn id="1875" xr3:uid="{94E9D0B0-2017-4B92-92F2-4E8FDE8C3FDB}" name="Column1872"/>
    <tableColumn id="1876" xr3:uid="{725566A4-92B2-42F0-A4C4-868B6C36F500}" name="Column1873"/>
    <tableColumn id="1877" xr3:uid="{4635BB1E-437F-46D4-8C69-7C994E9F719D}" name="Column1874"/>
    <tableColumn id="1878" xr3:uid="{108C0046-6464-4555-8396-87E2136F7441}" name="Column1875"/>
    <tableColumn id="1879" xr3:uid="{B07FCC92-BD99-4DB3-8F97-DB4EBEDB9324}" name="Column1876"/>
    <tableColumn id="1880" xr3:uid="{9D05E0D8-4C91-4D1D-BB55-8A2BF9769125}" name="Column1877"/>
    <tableColumn id="1881" xr3:uid="{DF45420B-6A60-4D14-8B1D-D4CF76D859E5}" name="Column1878"/>
    <tableColumn id="1882" xr3:uid="{4D85E2F2-B800-4526-B426-52882D7BC33E}" name="Column1879"/>
    <tableColumn id="1883" xr3:uid="{00EB2F4F-9575-4E64-9601-AA0CA2A562A6}" name="Column1880"/>
    <tableColumn id="1884" xr3:uid="{4074102C-85F7-4C2D-AA59-4131466088F2}" name="Column1881"/>
    <tableColumn id="1885" xr3:uid="{084A783F-5A6B-463D-B689-5BA99EB59A62}" name="Column1882"/>
    <tableColumn id="1886" xr3:uid="{CCD5FF13-8174-4CEA-8EEF-F40DFD526290}" name="Column1883"/>
    <tableColumn id="1887" xr3:uid="{20A8DD81-3DFA-44B5-A164-2F0BD17C9DE0}" name="Column1884"/>
    <tableColumn id="1888" xr3:uid="{89A21F06-3F3C-4C9D-A89B-FD8A47DE77F6}" name="Column1885"/>
    <tableColumn id="1889" xr3:uid="{84ABB16F-9477-434A-B0DB-447C473108DB}" name="Column1886"/>
    <tableColumn id="1890" xr3:uid="{957019C6-5EE2-4965-8449-D4C29EBDB269}" name="Column1887"/>
    <tableColumn id="1891" xr3:uid="{A3503F8D-8C99-4FF1-9EA3-8D5F1B87B11E}" name="Column1888"/>
    <tableColumn id="1892" xr3:uid="{58B1585A-EA24-4095-B986-923AA47D17DF}" name="Column1889"/>
    <tableColumn id="1893" xr3:uid="{09F2D05D-A0BE-4BD1-8D0A-C4FED48ABACA}" name="Column1890"/>
    <tableColumn id="1894" xr3:uid="{E8EA15A0-2DB6-4866-9F0A-00D82EA8C5EE}" name="Column1891"/>
    <tableColumn id="1895" xr3:uid="{B750F582-9D7B-42A8-A43F-22FF6A9E36BA}" name="Column1892"/>
    <tableColumn id="1896" xr3:uid="{450E3819-2A43-478C-B45C-956B93239D1A}" name="Column1893"/>
    <tableColumn id="1897" xr3:uid="{B6410FE1-E85B-4922-A90A-99E64FA34CBA}" name="Column1894"/>
    <tableColumn id="1898" xr3:uid="{199819BF-0F85-4D2C-8FC6-33440E9D28C2}" name="Column1895"/>
    <tableColumn id="1899" xr3:uid="{7F82FC4A-AD5B-486F-8E31-8E720FD40FC7}" name="Column1896"/>
    <tableColumn id="1900" xr3:uid="{0F26C59D-53A9-45BA-A7E5-6CAC3FA5EA64}" name="Column1897"/>
    <tableColumn id="1901" xr3:uid="{48794086-1337-4C62-98D1-88C8B4519ACF}" name="Column1898"/>
    <tableColumn id="1902" xr3:uid="{8224C8F4-5F04-4C6E-A022-230A92396F64}" name="Column1899"/>
    <tableColumn id="1903" xr3:uid="{0316416B-A747-40FB-A4BA-BE885618A8B7}" name="Column1900"/>
    <tableColumn id="1904" xr3:uid="{AC0DA778-53CA-4522-9BA8-6789FE1A5E60}" name="Column1901"/>
    <tableColumn id="1905" xr3:uid="{01CD03ED-60AC-4984-85DF-CD96AEDB22AA}" name="Column1902"/>
    <tableColumn id="1906" xr3:uid="{DD33E529-BFA9-44AE-8ED5-73C62D063A64}" name="Column1903"/>
    <tableColumn id="1907" xr3:uid="{91421234-A6C2-4922-98B5-544DA8057D25}" name="Column1904"/>
    <tableColumn id="1908" xr3:uid="{374194C1-D968-4CC0-BD96-BE5FAF7D372A}" name="Column1905"/>
    <tableColumn id="1909" xr3:uid="{A2E414F5-AE3F-4D52-B2C7-6C79BF9F80C1}" name="Column1906"/>
    <tableColumn id="1910" xr3:uid="{292E9381-DD56-4E2E-98D8-DA828090F96F}" name="Column1907"/>
    <tableColumn id="1911" xr3:uid="{66299687-4419-4BAC-8CE0-C71AFF1DD09A}" name="Column1908"/>
    <tableColumn id="1912" xr3:uid="{96D5B26E-F75E-4570-8BAE-E22533295177}" name="Column1909"/>
    <tableColumn id="1913" xr3:uid="{709F9BB5-717A-4EEB-A8E3-B76E2211C1C2}" name="Column1910"/>
    <tableColumn id="1914" xr3:uid="{C4EDB3A5-02F9-4B21-BF88-9B74EC28DE2F}" name="Column1911"/>
    <tableColumn id="1915" xr3:uid="{849F3200-33C5-452F-8DF6-F723DC77BF10}" name="Column1912"/>
    <tableColumn id="1916" xr3:uid="{5EA4F52E-55DE-4BD7-AFED-1238D143D8AC}" name="Column1913"/>
    <tableColumn id="1917" xr3:uid="{FD154D07-F706-461D-8D31-A5C896083282}" name="Column1914"/>
    <tableColumn id="1918" xr3:uid="{1A8E7ADA-BEF5-4F1E-8774-3B863AA3D07C}" name="Column1915"/>
    <tableColumn id="1919" xr3:uid="{F72AFA13-5024-4D26-8B41-FBE90B87DEA1}" name="Column1916"/>
    <tableColumn id="1920" xr3:uid="{240FD663-61D8-468B-9DD5-92DC28DECABA}" name="Column1917"/>
    <tableColumn id="1921" xr3:uid="{3B97825B-506E-4DD6-9A4E-A49543097D57}" name="Column1918"/>
    <tableColumn id="1922" xr3:uid="{E58C7240-9F97-40AF-BEAA-73D2385A62A6}" name="Column1919"/>
    <tableColumn id="1923" xr3:uid="{C7E10A25-733D-4AD3-959F-4B183CF64BD0}" name="Column1920"/>
    <tableColumn id="1924" xr3:uid="{5A082E2D-9671-4629-9AFA-2ED91F6C42F9}" name="Column1921"/>
    <tableColumn id="1925" xr3:uid="{032DDA26-BCB1-4C38-AB14-BF7B3DEF7A42}" name="Column1922"/>
    <tableColumn id="1926" xr3:uid="{F14CAA92-DA47-4A4B-8E6C-0BC462A5E6A5}" name="Column1923"/>
    <tableColumn id="1927" xr3:uid="{E7879B37-D1B7-4743-86ED-8EBB57F44C2B}" name="Column1924"/>
    <tableColumn id="1928" xr3:uid="{E082660D-F201-4EBA-A787-966DC1F1FF03}" name="Column1925"/>
    <tableColumn id="1929" xr3:uid="{E2C33503-CD16-4408-A15A-1296C5CF6D9A}" name="Column1926"/>
    <tableColumn id="1930" xr3:uid="{9096257A-5611-42BF-B045-8934E43E900A}" name="Column1927"/>
    <tableColumn id="1931" xr3:uid="{5319F297-C1B8-4AC6-8673-280237113178}" name="Column1928"/>
    <tableColumn id="1932" xr3:uid="{BDF272FC-3EC5-4A43-9825-9E51D359E9B0}" name="Column1929"/>
    <tableColumn id="1933" xr3:uid="{44418302-9DF1-4697-93B0-BFA5E31ECF69}" name="Column1930"/>
    <tableColumn id="1934" xr3:uid="{CBF4AE54-35F7-4402-8B2D-FF8D53868D7A}" name="Column1931"/>
    <tableColumn id="1935" xr3:uid="{83638B26-B8F1-4E64-818E-0C5338588E40}" name="Column1932"/>
    <tableColumn id="1936" xr3:uid="{0673034C-795B-4BE4-8FF4-AC60FB6407AD}" name="Column1933"/>
    <tableColumn id="1937" xr3:uid="{F1BDC989-80D4-4278-867A-563682274DA6}" name="Column1934"/>
    <tableColumn id="1938" xr3:uid="{27752428-5804-42B2-8609-7E6AF0EFE1A9}" name="Column1935"/>
    <tableColumn id="1939" xr3:uid="{8A2A2019-23C3-4499-A568-88B9D3FB8B20}" name="Column1936"/>
    <tableColumn id="1940" xr3:uid="{466972E0-0E77-4117-BEC9-57F2F92831E2}" name="Column1937"/>
    <tableColumn id="1941" xr3:uid="{3A024ADF-C29C-49CA-97D4-F1019E516C35}" name="Column1938"/>
    <tableColumn id="1942" xr3:uid="{779F1DF9-50F0-45DD-BDA6-EEA76691788A}" name="Column1939"/>
    <tableColumn id="1943" xr3:uid="{90AE35D3-D4F7-4455-A781-84CEF19D8259}" name="Column1940"/>
    <tableColumn id="1944" xr3:uid="{BF1C6566-4738-48B7-937C-F5BC37E1BFF2}" name="Column1941"/>
    <tableColumn id="1945" xr3:uid="{D9D75671-2567-4586-A718-EFDF59C16729}" name="Column1942"/>
    <tableColumn id="1946" xr3:uid="{D1732799-C1AC-44A3-8AF2-46FB98930E82}" name="Column1943"/>
    <tableColumn id="1947" xr3:uid="{B336490B-7D24-4DD2-A7D1-24A899CFD8CF}" name="Column1944"/>
    <tableColumn id="1948" xr3:uid="{49EF8DEC-DD28-4D8A-9253-9A97A599A2DD}" name="Column1945"/>
    <tableColumn id="1949" xr3:uid="{86F6404E-5C9B-4F9C-BE28-84D7E7794C45}" name="Column1946"/>
    <tableColumn id="1950" xr3:uid="{A7531330-2C5F-4F20-B58E-2B75E3926776}" name="Column1947"/>
    <tableColumn id="1951" xr3:uid="{884F152D-6F94-4D0D-9F8E-FADF74620039}" name="Column1948"/>
    <tableColumn id="1952" xr3:uid="{C5C10F89-D6F0-4B06-BC83-6D73164BF038}" name="Column1949"/>
    <tableColumn id="1953" xr3:uid="{F02FE609-2E58-4269-B199-E08DEE30B093}" name="Column1950"/>
    <tableColumn id="1954" xr3:uid="{38302582-99D8-4B08-BCC4-AE235FAFDBD1}" name="Column1951"/>
    <tableColumn id="1955" xr3:uid="{2A2CC94E-5121-4CC0-9AA8-7101899C6C4F}" name="Column1952"/>
    <tableColumn id="1956" xr3:uid="{FCB359EC-AFCD-4531-932D-895BECB32522}" name="Column1953"/>
    <tableColumn id="1957" xr3:uid="{46A35594-A9BE-4CC8-8C79-6DBE5169A500}" name="Column1954"/>
    <tableColumn id="1958" xr3:uid="{3E8A2FE2-98BE-4142-B451-DEAEA4CBFCCE}" name="Column1955"/>
    <tableColumn id="1959" xr3:uid="{FBCFEB83-6972-4C48-9257-7C4EC9E81114}" name="Column1956"/>
    <tableColumn id="1960" xr3:uid="{B336AA73-5AAC-407B-BD73-7A76CA761CA2}" name="Column1957"/>
    <tableColumn id="1961" xr3:uid="{3317BA0F-9709-45AF-853C-F19147CB47FC}" name="Column1958"/>
    <tableColumn id="1962" xr3:uid="{B7B89CAB-F16D-4C88-95DF-B4E565C48DEB}" name="Column1959"/>
    <tableColumn id="1963" xr3:uid="{E966267B-7473-4353-81CE-63A563511930}" name="Column1960"/>
    <tableColumn id="1964" xr3:uid="{8D0271DF-7A1A-4688-B350-DD9B2EE0E931}" name="Column1961"/>
    <tableColumn id="1965" xr3:uid="{30928BAB-D0DB-4D34-A95D-6BA357608C46}" name="Column1962"/>
    <tableColumn id="1966" xr3:uid="{30C78DA7-4CD3-47A2-91A9-4F18173F9FA7}" name="Column1963"/>
    <tableColumn id="1967" xr3:uid="{6D9D7156-84A8-4CE6-9505-124B1AA7C8DE}" name="Column1964"/>
    <tableColumn id="1968" xr3:uid="{3A29E463-A80D-40C5-9DFA-A0FFF80204BB}" name="Column1965"/>
    <tableColumn id="1969" xr3:uid="{9DC4F671-9884-4EE9-B362-151EF76781A4}" name="Column1966"/>
    <tableColumn id="1970" xr3:uid="{466CA2E1-270A-4E7B-82ED-BF6793DBA238}" name="Column1967"/>
    <tableColumn id="1971" xr3:uid="{B2C7BB6E-C805-4B6E-9CA8-9A116C693CC0}" name="Column1968"/>
    <tableColumn id="1972" xr3:uid="{F0B490A5-ACBF-4AAD-AED9-BCF293BC65D3}" name="Column1969"/>
    <tableColumn id="1973" xr3:uid="{4F99C3FA-6191-44C3-9D83-8BF806E28744}" name="Column1970"/>
    <tableColumn id="1974" xr3:uid="{DB61E6F4-CE9D-41CF-9B9B-15CE92FA1FE5}" name="Column1971"/>
    <tableColumn id="1975" xr3:uid="{8EA0B93F-798E-466C-91A0-8BA0DFA09A2C}" name="Column1972"/>
    <tableColumn id="1976" xr3:uid="{414C28F3-F05D-4371-9563-7BFF48BB5440}" name="Column1973"/>
    <tableColumn id="1977" xr3:uid="{DA8F2174-0150-406D-B3A5-6E5DA4F88920}" name="Column1974"/>
    <tableColumn id="1978" xr3:uid="{5492D17C-C187-4904-A4B2-B8E7EADFF11D}" name="Column1975"/>
    <tableColumn id="1979" xr3:uid="{EBDBD852-4D7E-43A2-BE9A-1A763F6F7D18}" name="Column1976"/>
    <tableColumn id="1980" xr3:uid="{37BAAE76-10BB-4FAC-983D-F57BAEF108E7}" name="Column1977"/>
    <tableColumn id="1981" xr3:uid="{0D5D7AAD-70B5-4C24-9933-CFD33F5B3436}" name="Column1978"/>
    <tableColumn id="1982" xr3:uid="{0C9DCD6B-BB1D-42E0-8608-BA06CF88D1CC}" name="Column1979"/>
    <tableColumn id="1983" xr3:uid="{7FEFF503-8799-4EC9-91A9-FCEE3138E10A}" name="Column1980"/>
    <tableColumn id="1984" xr3:uid="{D6D981C9-CF0E-49FD-BA83-5717EC0E2AA8}" name="Column1981"/>
    <tableColumn id="1985" xr3:uid="{FBDEA8D3-D9E5-4BFA-8B96-2711C27E9A76}" name="Column1982"/>
    <tableColumn id="1986" xr3:uid="{9D042944-B00B-4D89-BB04-2A04C56C77AB}" name="Column1983"/>
    <tableColumn id="1987" xr3:uid="{D239095F-43B7-4067-87F7-E72023747053}" name="Column1984"/>
    <tableColumn id="1988" xr3:uid="{AE14D72D-E875-488E-8A4F-BB384E7483A9}" name="Column1985"/>
    <tableColumn id="1989" xr3:uid="{124E3462-5032-4479-B418-68E4CF37DA09}" name="Column1986"/>
    <tableColumn id="1990" xr3:uid="{3269A788-0312-46C7-9D99-D98656F074B3}" name="Column1987"/>
    <tableColumn id="1991" xr3:uid="{459ECE78-1650-4FB9-9FF4-EBF654B0CD9A}" name="Column1988"/>
    <tableColumn id="1992" xr3:uid="{70AD041E-BF8F-4206-99DB-0BDFFAD3F986}" name="Column1989"/>
    <tableColumn id="1993" xr3:uid="{46AA1711-74D4-41E1-9EB0-76B0020218FC}" name="Column1990"/>
    <tableColumn id="1994" xr3:uid="{63964FE1-67C0-406A-9FEB-33F0A5763CB3}" name="Column1991"/>
    <tableColumn id="1995" xr3:uid="{1F1B6595-CD3B-40D4-A179-EBDB0F77092B}" name="Column1992"/>
    <tableColumn id="1996" xr3:uid="{31F7477E-0C1B-4BC6-B4A8-1F2F50B92302}" name="Column1993"/>
    <tableColumn id="1997" xr3:uid="{BE6FB5E1-71D6-48D3-84D7-49EACC0A50E9}" name="Column1994"/>
    <tableColumn id="1998" xr3:uid="{B3816BB8-D5FE-4F4F-A0EF-16DA9D6A1E3E}" name="Column1995"/>
    <tableColumn id="1999" xr3:uid="{3090189C-48F2-4E2E-9C1C-1E7EA31140D1}" name="Column1996"/>
    <tableColumn id="2000" xr3:uid="{A76E9370-4698-42B9-AA16-E4DC85FD64D4}" name="Column1997"/>
    <tableColumn id="2001" xr3:uid="{A305C024-16A7-4037-BB71-C49DEF563E62}" name="Column1998"/>
    <tableColumn id="2002" xr3:uid="{201552BD-7ED9-482E-87B9-17217080275C}" name="Column1999"/>
    <tableColumn id="2003" xr3:uid="{C302EE03-2740-4845-BEF3-EFC6797D6A7A}" name="Column2000"/>
    <tableColumn id="2004" xr3:uid="{BE0BDC94-17F0-4940-9BA9-38A3CCECEE75}" name="Column2001"/>
    <tableColumn id="2005" xr3:uid="{28A0EF82-A885-4555-A7D7-7B95013961EB}" name="Column2002"/>
    <tableColumn id="2006" xr3:uid="{22F700B3-666F-43C2-A9E9-4FE86B25D1B9}" name="Column2003"/>
    <tableColumn id="2007" xr3:uid="{C9785CB5-A2EF-468D-A657-1DCACD009581}" name="Column2004"/>
    <tableColumn id="2008" xr3:uid="{1C66BE65-0013-4545-A8DB-D18265B4E4F9}" name="Column2005"/>
    <tableColumn id="2009" xr3:uid="{C9264E6F-3AC4-436F-913D-5D96A7C67675}" name="Column2006"/>
    <tableColumn id="2010" xr3:uid="{D078BEC4-EE3E-460F-ABA2-F1C445775A3F}" name="Column2007"/>
    <tableColumn id="2011" xr3:uid="{E8846EA7-F466-4455-8751-C9C6D23AD08D}" name="Column2008"/>
    <tableColumn id="2012" xr3:uid="{C54374A0-26F9-43C9-A54A-D30C581A0F12}" name="Column2009"/>
    <tableColumn id="2013" xr3:uid="{99B55CD2-B1F5-4E41-AB14-2B1D54C2F0BE}" name="Column2010"/>
    <tableColumn id="2014" xr3:uid="{38766882-03E2-4961-AACF-65C24672D602}" name="Column2011"/>
    <tableColumn id="2015" xr3:uid="{D34D5811-7176-4053-A2FC-2E90449900FD}" name="Column2012"/>
    <tableColumn id="2016" xr3:uid="{0D58E731-5BD6-41F0-B9B5-A714A1F8B1C5}" name="Column2013"/>
    <tableColumn id="2017" xr3:uid="{7607772C-AEA3-49D7-B5FA-91F8A46D7D98}" name="Column2014"/>
    <tableColumn id="2018" xr3:uid="{B5D0FE06-9E85-4F8F-847A-99040CB46038}" name="Column2015"/>
    <tableColumn id="2019" xr3:uid="{10144CDA-FA12-4DEF-B4C2-2C269B0A2CE8}" name="Column2016"/>
    <tableColumn id="2020" xr3:uid="{9AD3147E-4E3D-4D5F-B980-FEE2A9974ECA}" name="Column2017"/>
    <tableColumn id="2021" xr3:uid="{98E397B8-0278-4033-9D4C-C3751BE8F75D}" name="Column2018"/>
    <tableColumn id="2022" xr3:uid="{935E76FA-F507-4EB2-936E-87244441478E}" name="Column2019"/>
    <tableColumn id="2023" xr3:uid="{F73AEBF5-50C3-4CB0-9223-0B9924066DF1}" name="Column2020"/>
    <tableColumn id="2024" xr3:uid="{8A4C7DB4-E8DD-4F24-B40A-5769228BC656}" name="Column2021"/>
    <tableColumn id="2025" xr3:uid="{EA7D8CD3-96DD-44E0-862C-8CFF0916597E}" name="Column2022"/>
    <tableColumn id="2026" xr3:uid="{835745C3-8A5D-4B69-A594-9073A04E657B}" name="Column2023"/>
    <tableColumn id="2027" xr3:uid="{EE4A04FD-3102-4555-B32E-FAB77C17541E}" name="Column2024"/>
    <tableColumn id="2028" xr3:uid="{383DA5E7-1FAF-465A-99F9-AF1042513AC0}" name="Column2025"/>
    <tableColumn id="2029" xr3:uid="{F6BDF829-17D5-43F0-9F38-A2AD93416158}" name="Column2026"/>
    <tableColumn id="2030" xr3:uid="{5A33CDD1-D842-4C7C-93E2-D65C74568F73}" name="Column2027"/>
    <tableColumn id="2031" xr3:uid="{DA7EFA34-3B76-475E-84EB-BE170795BA05}" name="Column2028"/>
    <tableColumn id="2032" xr3:uid="{37259FCD-5F24-4DFF-B037-A0DB361AB4B5}" name="Column2029"/>
    <tableColumn id="2033" xr3:uid="{6CD3CF0C-D585-44E0-818B-5403164FEC1E}" name="Column2030"/>
    <tableColumn id="2034" xr3:uid="{934F7EFD-2CD3-471E-9C9C-091EEA4EBEDF}" name="Column2031"/>
    <tableColumn id="2035" xr3:uid="{E7BD28EA-A7F9-4466-BF0E-A38E2AA1DE3E}" name="Column2032"/>
    <tableColumn id="2036" xr3:uid="{97F9CE56-D104-4382-AFF1-619730D99843}" name="Column2033"/>
    <tableColumn id="2037" xr3:uid="{51ACB5C7-C674-404C-B1A4-A20C719E7EA5}" name="Column2034"/>
    <tableColumn id="2038" xr3:uid="{0F97A59F-0905-45A5-A6C2-F9E66809C36F}" name="Column2035"/>
    <tableColumn id="2039" xr3:uid="{7D2D2CF7-DCB9-414B-BF87-06386A9449A6}" name="Column2036"/>
    <tableColumn id="2040" xr3:uid="{FD2BBA92-B247-4109-B65D-C7FB07D045F5}" name="Column2037"/>
    <tableColumn id="2041" xr3:uid="{7571DF7C-FD27-4489-95E9-E87FADB1E25B}" name="Column2038"/>
    <tableColumn id="2042" xr3:uid="{BA3B0BC6-051C-4737-8704-8DA7ACDB76C1}" name="Column2039"/>
    <tableColumn id="2043" xr3:uid="{7A342585-AFA3-44BB-9F07-5CEA0C0B548D}" name="Column2040"/>
    <tableColumn id="2044" xr3:uid="{0136461F-D0E7-4675-ACB1-622A9C352222}" name="Column2041"/>
    <tableColumn id="2045" xr3:uid="{E3ED7FA4-468A-4895-9325-D7FB0DF8DB72}" name="Column2042"/>
    <tableColumn id="2046" xr3:uid="{96A5CE66-1179-4791-ACE0-454B27A8A9CB}" name="Column2043"/>
    <tableColumn id="2047" xr3:uid="{315DA7B4-AED3-4C8B-A50C-2F53A6A4DBCE}" name="Column2044"/>
    <tableColumn id="2048" xr3:uid="{984AE921-5AF9-4AAF-9A7C-B61F30F0A013}" name="Column2045"/>
    <tableColumn id="2049" xr3:uid="{03BFBEE9-5A11-4E70-ADD4-12013233A83D}" name="Column2046"/>
    <tableColumn id="2050" xr3:uid="{F3B23851-4863-4CCA-AD51-0E2F1F56727E}" name="Column2047"/>
    <tableColumn id="2051" xr3:uid="{441EF998-CA10-4E92-8548-C31126E9F6A4}" name="Column2048"/>
    <tableColumn id="2052" xr3:uid="{1732F326-83B5-45E8-AFC9-8EF9C142393A}" name="Column2049"/>
    <tableColumn id="2053" xr3:uid="{4315A91B-FB85-4896-9F79-4E3E096AB89F}" name="Column2050"/>
    <tableColumn id="2054" xr3:uid="{67B3DF0E-CC52-49BB-987D-8FD1D435A6AA}" name="Column2051"/>
    <tableColumn id="2055" xr3:uid="{50644355-D49B-4F5E-848D-640E2EB3ADE9}" name="Column2052"/>
    <tableColumn id="2056" xr3:uid="{3E47C48A-824D-466D-9F41-9AF36A8FAEFD}" name="Column2053"/>
    <tableColumn id="2057" xr3:uid="{C8E69EE1-E4E1-44B4-8850-23F50C91C1BE}" name="Column2054"/>
    <tableColumn id="2058" xr3:uid="{56128E63-AFFD-453B-88D5-C9435FCCA458}" name="Column2055"/>
    <tableColumn id="2059" xr3:uid="{E95C0EE2-93B5-4F5C-8887-168E56FC79EE}" name="Column2056"/>
    <tableColumn id="2060" xr3:uid="{14962A45-BA08-47BE-A15F-BC968889F931}" name="Column2057"/>
    <tableColumn id="2061" xr3:uid="{ABCCD7E9-6C5B-4403-858E-10FE8F0E7C41}" name="Column2058"/>
    <tableColumn id="2062" xr3:uid="{68B373DC-2E25-4FC5-BF50-CC6633E8B554}" name="Column2059"/>
    <tableColumn id="2063" xr3:uid="{EBA24E14-A337-43C7-A676-002357283851}" name="Column2060"/>
    <tableColumn id="2064" xr3:uid="{92B54AC9-844F-4052-9F05-46AA28E0D1A2}" name="Column2061"/>
    <tableColumn id="2065" xr3:uid="{150B6659-87DB-47CA-BEAB-593983D37173}" name="Column2062"/>
    <tableColumn id="2066" xr3:uid="{F9192C01-C38D-4DDB-94FA-705A9BCF5A40}" name="Column2063"/>
    <tableColumn id="2067" xr3:uid="{AF8A0BC5-8C4F-4060-A0D3-6CECA212A211}" name="Column2064"/>
    <tableColumn id="2068" xr3:uid="{3635F1D6-6B25-4C3D-A2B3-F15B0434F715}" name="Column2065"/>
    <tableColumn id="2069" xr3:uid="{A4F4CB79-49C5-4CAE-9EF5-07087BEB4E58}" name="Column2066"/>
    <tableColumn id="2070" xr3:uid="{EECAD888-634F-49BB-982B-64F1744DA2C1}" name="Column2067"/>
    <tableColumn id="2071" xr3:uid="{7EF3BE07-3270-45A4-B25B-23F5279BA9EF}" name="Column2068"/>
    <tableColumn id="2072" xr3:uid="{27DD30A4-4BAB-4B8B-AA58-74AFBB344029}" name="Column2069"/>
    <tableColumn id="2073" xr3:uid="{CC40F9A2-F2A8-4293-BB29-1D2987347A32}" name="Column2070"/>
    <tableColumn id="2074" xr3:uid="{D4A07315-7427-4BF5-BEC7-3C4FBC92DCAF}" name="Column2071"/>
    <tableColumn id="2075" xr3:uid="{DF75357B-FC2F-48F1-ACB2-C58E719617A4}" name="Column2072"/>
    <tableColumn id="2076" xr3:uid="{15655F4E-398A-4608-B2A0-8EA0FC35ED00}" name="Column2073"/>
    <tableColumn id="2077" xr3:uid="{92B4FF7C-B3D3-4E3C-AB3D-196B994C0ED9}" name="Column2074"/>
    <tableColumn id="2078" xr3:uid="{223469D7-3A19-400D-8032-913060EB1B21}" name="Column2075"/>
    <tableColumn id="2079" xr3:uid="{B3892246-BD2E-4324-8AEF-2034785EB9DA}" name="Column2076"/>
    <tableColumn id="2080" xr3:uid="{B51A5C16-B8A5-440C-A668-40BE6716F688}" name="Column2077"/>
    <tableColumn id="2081" xr3:uid="{E284F9E0-FF59-4571-9FD6-94221A1AF13C}" name="Column2078"/>
    <tableColumn id="2082" xr3:uid="{283195C4-2985-44BA-90CD-57422C4AA0A9}" name="Column2079"/>
    <tableColumn id="2083" xr3:uid="{C9352CDE-836B-4E28-B8C9-8FA3C806BFFB}" name="Column2080"/>
    <tableColumn id="2084" xr3:uid="{58015CDB-A952-433C-8632-F4E86E734D19}" name="Column2081"/>
    <tableColumn id="2085" xr3:uid="{44CFADD7-9F0F-4D3D-BF0A-C9FC6A28D995}" name="Column2082"/>
    <tableColumn id="2086" xr3:uid="{2920880A-2502-44D2-8EAE-741AD85C2986}" name="Column2083"/>
    <tableColumn id="2087" xr3:uid="{EF56C730-674F-4895-BCE5-5A3B9966B718}" name="Column2084"/>
    <tableColumn id="2088" xr3:uid="{E29E7D06-FE40-459C-A91E-3EE7A1A7C39B}" name="Column2085"/>
    <tableColumn id="2089" xr3:uid="{3B6B13EC-91BC-4250-B05E-C2116E5E8911}" name="Column2086"/>
    <tableColumn id="2090" xr3:uid="{51121583-0618-47B4-9851-C5DD86DD72B9}" name="Column2087"/>
    <tableColumn id="2091" xr3:uid="{9E9882F9-0B9C-4857-AA78-24338DEF7D8F}" name="Column2088"/>
    <tableColumn id="2092" xr3:uid="{0703BDFA-F11B-4B29-8A48-995755240FD4}" name="Column2089"/>
    <tableColumn id="2093" xr3:uid="{CA498504-E8CC-44FA-9F95-975D65702825}" name="Column2090"/>
    <tableColumn id="2094" xr3:uid="{A9F62FD6-5BCE-42FA-B396-EE95E14B271A}" name="Column2091"/>
    <tableColumn id="2095" xr3:uid="{A69EAFA1-77CA-459E-92ED-B0E790142A34}" name="Column2092"/>
    <tableColumn id="2096" xr3:uid="{307A3D1F-79E1-4A8A-84C9-20403346EA24}" name="Column2093"/>
    <tableColumn id="2097" xr3:uid="{72BB72EB-BE3A-42FA-A812-18F3007052FB}" name="Column2094"/>
    <tableColumn id="2098" xr3:uid="{D2FF3468-17F9-495B-9D73-EA95DB64CC9D}" name="Column2095"/>
    <tableColumn id="2099" xr3:uid="{DBBC6A45-E344-41B5-90B3-4B4BE30663D8}" name="Column2096"/>
    <tableColumn id="2100" xr3:uid="{6989A097-8D28-47F8-B72D-8C54F657E90F}" name="Column2097"/>
    <tableColumn id="2101" xr3:uid="{8E6AEA0A-F70F-4572-AA3D-306E03824CC0}" name="Column2098"/>
    <tableColumn id="2102" xr3:uid="{D2D0C507-6D59-44FF-BBC3-E7E185C96B81}" name="Column2099"/>
    <tableColumn id="2103" xr3:uid="{A786CD88-8BF9-485C-88C4-4250B41DB9F8}" name="Column2100"/>
    <tableColumn id="2104" xr3:uid="{49DD73E2-F13C-4983-8CF3-7E81439D25A3}" name="Column2101"/>
    <tableColumn id="2105" xr3:uid="{2C54973D-7A3C-40ED-98E8-7B49D9AC0887}" name="Column2102"/>
    <tableColumn id="2106" xr3:uid="{A8097B45-069E-400F-8B6E-A7608CC8A3ED}" name="Column2103"/>
    <tableColumn id="2107" xr3:uid="{89FEF88F-E594-4E15-8F3B-E917FD38F8FA}" name="Column2104"/>
    <tableColumn id="2108" xr3:uid="{47B8FE54-94E7-46E5-AC8E-4398386E4827}" name="Column2105"/>
    <tableColumn id="2109" xr3:uid="{3358208A-470E-4222-82B6-A1D21AFC2C6A}" name="Column2106"/>
    <tableColumn id="2110" xr3:uid="{25CA8B86-13B8-4EF4-9238-75BA24E5C819}" name="Column2107"/>
    <tableColumn id="2111" xr3:uid="{0D47EAC8-B63C-48FA-BE45-2F836D5ECB23}" name="Column2108"/>
    <tableColumn id="2112" xr3:uid="{EB7A6556-5DC6-4CB1-8944-ADB350576C4E}" name="Column2109"/>
    <tableColumn id="2113" xr3:uid="{F8DE4154-BCA3-455C-82CC-5EFD49DCB8E6}" name="Column2110"/>
    <tableColumn id="2114" xr3:uid="{0AA490FC-ECE8-444D-9CE5-AE41CF168636}" name="Column2111"/>
    <tableColumn id="2115" xr3:uid="{F9CA8304-1C6E-4FB6-896E-6E2A833F46AC}" name="Column2112"/>
    <tableColumn id="2116" xr3:uid="{18790ACE-9138-4808-9505-84E9FD1E5553}" name="Column2113"/>
    <tableColumn id="2117" xr3:uid="{574A62D8-BCE9-408E-89A3-8D22D93D5690}" name="Column2114"/>
    <tableColumn id="2118" xr3:uid="{5277B903-903E-4CCE-A065-2DBA99B7FDB8}" name="Column2115"/>
    <tableColumn id="2119" xr3:uid="{94BBB478-7D29-4DD8-811C-273571FFF8A5}" name="Column2116"/>
    <tableColumn id="2120" xr3:uid="{5466D5DB-38EE-4922-91CC-496EC37F9785}" name="Column2117"/>
    <tableColumn id="2121" xr3:uid="{6959B386-A5F7-42C5-8891-95BABB14318A}" name="Column2118"/>
    <tableColumn id="2122" xr3:uid="{F5F5C67F-CE24-4D7F-9E7B-73449EE9E28C}" name="Column2119"/>
    <tableColumn id="2123" xr3:uid="{3128C617-CF64-444D-862C-8CC6E31E2C81}" name="Column2120"/>
    <tableColumn id="2124" xr3:uid="{FAB57EEF-D473-41AE-AF9C-221FF5E7F873}" name="Column2121"/>
    <tableColumn id="2125" xr3:uid="{5416D72F-BAFC-4CA9-AAE1-7D6EA8151A90}" name="Column2122"/>
    <tableColumn id="2126" xr3:uid="{2BFEBCAD-AB74-42E3-BF3E-DBB692A2162F}" name="Column2123"/>
    <tableColumn id="2127" xr3:uid="{37AD0990-BB81-46E7-84AB-5F06DC4F955B}" name="Column2124"/>
    <tableColumn id="2128" xr3:uid="{BF6A8F2E-3E21-42E7-98C8-2575976E9AE9}" name="Column2125"/>
    <tableColumn id="2129" xr3:uid="{AC4254CF-3830-43D8-BF59-245D46DCB272}" name="Column2126"/>
    <tableColumn id="2130" xr3:uid="{E24E95F1-A29A-4F2D-9111-C9D95C009148}" name="Column2127"/>
    <tableColumn id="2131" xr3:uid="{C8D37DEF-C422-4166-A918-AB28A504ED5A}" name="Column2128"/>
    <tableColumn id="2132" xr3:uid="{0E76E956-761D-4188-B7F3-5EF1F1053DCD}" name="Column2129"/>
    <tableColumn id="2133" xr3:uid="{E498D8E6-17BD-401B-8435-C84BE14C3FD1}" name="Column2130"/>
    <tableColumn id="2134" xr3:uid="{93863648-76ED-481B-B035-1604BBC9F308}" name="Column2131"/>
    <tableColumn id="2135" xr3:uid="{904F7A6B-11C7-4B02-87D9-B77420F843A5}" name="Column2132"/>
    <tableColumn id="2136" xr3:uid="{76D5A2A3-6396-4F02-ADBF-F66E0A42027F}" name="Column2133"/>
    <tableColumn id="2137" xr3:uid="{15805CC5-4BEC-49ED-AE45-822E9504BEB5}" name="Column2134"/>
    <tableColumn id="2138" xr3:uid="{C450031C-19CB-4DBB-A201-0B24840D98AD}" name="Column2135"/>
    <tableColumn id="2139" xr3:uid="{83954BB6-5940-4201-8A33-C70C48466703}" name="Column2136"/>
    <tableColumn id="2140" xr3:uid="{22A90D1A-799B-4714-9B08-57262C671B98}" name="Column2137"/>
    <tableColumn id="2141" xr3:uid="{5E1FDAE9-1BA2-4117-B56F-573AEF746F79}" name="Column2138"/>
    <tableColumn id="2142" xr3:uid="{D3ADF7F7-EFB0-417C-9003-33A3025005C6}" name="Column2139"/>
    <tableColumn id="2143" xr3:uid="{4CAEF2A5-25B8-471D-AEC2-5237287CC82C}" name="Column2140"/>
    <tableColumn id="2144" xr3:uid="{D67AF040-288E-41C9-888E-75A41C5D53FC}" name="Column2141"/>
    <tableColumn id="2145" xr3:uid="{7AD94E08-0D51-4A2B-91E9-4135DA01A60D}" name="Column2142"/>
    <tableColumn id="2146" xr3:uid="{2307563B-3984-4495-93B4-0A4B1D4879B4}" name="Column2143"/>
    <tableColumn id="2147" xr3:uid="{FC04C0C0-9EBA-4EE2-9CB0-4B5D6929D3A7}" name="Column2144"/>
    <tableColumn id="2148" xr3:uid="{F3C972FF-6CBA-4DCA-B06B-16510EF34516}" name="Column2145"/>
    <tableColumn id="2149" xr3:uid="{161BCCF5-05D9-49F1-B0AA-57D831AEA50A}" name="Column2146"/>
    <tableColumn id="2150" xr3:uid="{5E2839A6-950D-406B-A2D7-6F6CAC56DBCF}" name="Column2147"/>
    <tableColumn id="2151" xr3:uid="{A70AA322-2F10-4AA4-96D7-AF5F6D9FD7E0}" name="Column2148"/>
    <tableColumn id="2152" xr3:uid="{E5025424-D3DB-43F3-8880-5195C605A426}" name="Column2149"/>
    <tableColumn id="2153" xr3:uid="{C35A2E90-F742-45F8-A6D2-FA189F939B4E}" name="Column2150"/>
    <tableColumn id="2154" xr3:uid="{A8447A73-D191-4D3F-A515-888BF5B635AD}" name="Column2151"/>
    <tableColumn id="2155" xr3:uid="{B3FB01B7-213E-4EE2-97F2-F979A8551058}" name="Column2152"/>
    <tableColumn id="2156" xr3:uid="{7CBB826D-2180-4A4C-AF05-BF5BA6AA05CA}" name="Column2153"/>
    <tableColumn id="2157" xr3:uid="{78EC8914-45A2-45B6-B511-CA807F45C960}" name="Column2154"/>
    <tableColumn id="2158" xr3:uid="{262FB9C2-906E-496E-BA83-6AACAAB27092}" name="Column2155"/>
    <tableColumn id="2159" xr3:uid="{A4FB4DAB-1A11-4381-8E8A-54A7DB77821A}" name="Column2156"/>
    <tableColumn id="2160" xr3:uid="{992E8A21-AB38-4429-B921-8AEF0D6DDC2A}" name="Column2157"/>
    <tableColumn id="2161" xr3:uid="{DFEAF96F-ED68-4DB2-B43B-D3418B715618}" name="Column2158"/>
    <tableColumn id="2162" xr3:uid="{1823CDC4-F11B-43F1-8AF0-8DEC05822FF3}" name="Column2159"/>
    <tableColumn id="2163" xr3:uid="{34632BE4-B03C-4902-8C68-F5E0C9987A58}" name="Column2160"/>
    <tableColumn id="2164" xr3:uid="{0C4B8F7E-67CD-4448-8342-DCBC92B5D7E1}" name="Column2161"/>
    <tableColumn id="2165" xr3:uid="{0986576C-F97F-4E89-843C-09E67A496ED7}" name="Column2162"/>
    <tableColumn id="2166" xr3:uid="{796A14F7-0618-4029-A32C-65D0047216F7}" name="Column2163"/>
    <tableColumn id="2167" xr3:uid="{6BA79795-B537-4CE9-A084-B1C17F858C8D}" name="Column2164"/>
    <tableColumn id="2168" xr3:uid="{1FBBBDB0-6A02-4FA8-803F-2DBF8AB2D0F4}" name="Column2165"/>
    <tableColumn id="2169" xr3:uid="{B511DA56-BBAD-47C4-A2F8-34F1390D0E85}" name="Column2166"/>
    <tableColumn id="2170" xr3:uid="{8E8D6BE6-AD38-424E-8178-6970BC0AC571}" name="Column2167"/>
    <tableColumn id="2171" xr3:uid="{0ABD3113-674E-4240-BFC1-E0E022CEE452}" name="Column2168"/>
    <tableColumn id="2172" xr3:uid="{8B8BEA92-ACC3-482F-89B2-A2A86FB05E54}" name="Column2169"/>
    <tableColumn id="2173" xr3:uid="{A816B59E-6E8C-42E9-974B-6A321E14CAA0}" name="Column2170"/>
    <tableColumn id="2174" xr3:uid="{818C75BB-4694-43CD-BE82-8709DE1DB970}" name="Column2171"/>
    <tableColumn id="2175" xr3:uid="{9A0F3697-903A-44CB-B969-3C11AEE6CC4C}" name="Column2172"/>
    <tableColumn id="2176" xr3:uid="{A098A536-8A25-4B29-A2CD-E7C27484C582}" name="Column2173"/>
    <tableColumn id="2177" xr3:uid="{15F75CD0-90CB-47F3-9E9A-9B5D58A781AB}" name="Column2174"/>
    <tableColumn id="2178" xr3:uid="{C0C6592E-8844-466B-A601-590F8023A6D1}" name="Column2175"/>
    <tableColumn id="2179" xr3:uid="{BFAF0A4E-FC38-43CD-ADC0-F2FA67004703}" name="Column2176"/>
    <tableColumn id="2180" xr3:uid="{234A3B72-043F-465D-BF85-144D9CEB9736}" name="Column2177"/>
    <tableColumn id="2181" xr3:uid="{FB371A1B-8360-43F7-8E77-DE0F1B5F61AE}" name="Column2178"/>
    <tableColumn id="2182" xr3:uid="{68551F9D-C8B2-4B1A-A290-DE13C8CF79DE}" name="Column2179"/>
    <tableColumn id="2183" xr3:uid="{02A95B47-A19A-4561-A53A-E784B66CD213}" name="Column2180"/>
    <tableColumn id="2184" xr3:uid="{A3AA26AB-805F-444C-8844-F3D8F43AA231}" name="Column2181"/>
    <tableColumn id="2185" xr3:uid="{D34E3653-5A37-4973-B288-0F035C6936E6}" name="Column2182"/>
    <tableColumn id="2186" xr3:uid="{4E41BD3D-C302-4CD7-815E-7CA62B932F70}" name="Column2183"/>
    <tableColumn id="2187" xr3:uid="{458A9B78-0591-4AE7-A32D-1AF3DCA8B549}" name="Column2184"/>
    <tableColumn id="2188" xr3:uid="{E49553C6-10F2-4E18-8A13-B5DDCD22AFF3}" name="Column2185"/>
    <tableColumn id="2189" xr3:uid="{D888BACF-E454-4ED3-85A6-489B0D2FE73D}" name="Column2186"/>
    <tableColumn id="2190" xr3:uid="{92B71F4B-EB1F-4463-AC54-C01526CB03B4}" name="Column2187"/>
    <tableColumn id="2191" xr3:uid="{E10C3DCA-B6D5-40CA-A240-434B7656EDB0}" name="Column2188"/>
    <tableColumn id="2192" xr3:uid="{FCC2F98A-DD15-4A4D-B57C-0F8BA16A524C}" name="Column2189"/>
    <tableColumn id="2193" xr3:uid="{D6F822F2-9C31-48FC-8FF8-726A2B632125}" name="Column2190"/>
    <tableColumn id="2194" xr3:uid="{55EAFA6E-6B3E-4C3C-9D46-F68DA08118EE}" name="Column2191"/>
    <tableColumn id="2195" xr3:uid="{CE213008-0268-491F-A67C-A68BF0DD4A3D}" name="Column2192"/>
    <tableColumn id="2196" xr3:uid="{EBE902E2-859F-4212-ABB6-A4876BF602D1}" name="Column2193"/>
    <tableColumn id="2197" xr3:uid="{6983E9FA-CCB9-442C-BD3F-1A8E7DA066D6}" name="Column2194"/>
    <tableColumn id="2198" xr3:uid="{B333DF57-21B3-43CA-89DA-34747FBC6657}" name="Column2195"/>
    <tableColumn id="2199" xr3:uid="{A1033D96-E88D-4DD2-8C9A-5D3120C23915}" name="Column2196"/>
    <tableColumn id="2200" xr3:uid="{0F4F01FE-DF2A-4224-8559-CB535FE03126}" name="Column2197"/>
    <tableColumn id="2201" xr3:uid="{2A7B1B19-7337-454F-86CC-F332FED22FF5}" name="Column2198"/>
    <tableColumn id="2202" xr3:uid="{9552330B-1B62-464C-AD05-8D1DDAF0537D}" name="Column2199"/>
    <tableColumn id="2203" xr3:uid="{C9A468C3-D02C-4DA0-AFA5-60AB698AC221}" name="Column2200"/>
    <tableColumn id="2204" xr3:uid="{0FF8DD63-B6CD-4A2A-BF9D-DE38D69A84C8}" name="Column2201"/>
    <tableColumn id="2205" xr3:uid="{EE9E0439-1051-455B-A68F-E3B7F4CEAB0C}" name="Column2202"/>
    <tableColumn id="2206" xr3:uid="{DB20D9A6-E994-4E5E-9853-20E5C86A3ECB}" name="Column2203"/>
    <tableColumn id="2207" xr3:uid="{D09B3DC9-E998-4FE6-9E3E-2CBAA4C83310}" name="Column2204"/>
    <tableColumn id="2208" xr3:uid="{471C5705-65A8-4966-B1E3-98F25F1F80D2}" name="Column2205"/>
    <tableColumn id="2209" xr3:uid="{2D27A9F9-59BE-4338-AE05-4AB1BBCFF747}" name="Column2206"/>
    <tableColumn id="2210" xr3:uid="{28BA6CBC-9F46-45F9-B0B4-ADF43E0E365E}" name="Column2207"/>
    <tableColumn id="2211" xr3:uid="{C32CF53C-8461-4DC5-AE34-0DA02ED730C7}" name="Column2208"/>
    <tableColumn id="2212" xr3:uid="{B85F8DE7-DBED-45C1-B539-A283A3BCABB4}" name="Column2209"/>
    <tableColumn id="2213" xr3:uid="{3FB4F516-41C4-4034-8EEE-48F02645FE6A}" name="Column2210"/>
    <tableColumn id="2214" xr3:uid="{1482D2C6-C832-4A22-B309-33CF89635EF8}" name="Column2211"/>
    <tableColumn id="2215" xr3:uid="{5714AA86-1B05-4E7F-BF97-75D507CA39C5}" name="Column2212"/>
    <tableColumn id="2216" xr3:uid="{40857879-0D37-4923-9B69-AE981D98058F}" name="Column2213"/>
    <tableColumn id="2217" xr3:uid="{8AD65713-363B-4240-9472-673C35AD3FD0}" name="Column2214"/>
    <tableColumn id="2218" xr3:uid="{790ED65A-73A9-4A10-BF3C-F5706EAD2FDF}" name="Column2215"/>
    <tableColumn id="2219" xr3:uid="{7745B2EE-9319-41BB-8294-C2DA4B3641A5}" name="Column2216"/>
    <tableColumn id="2220" xr3:uid="{D2725F9D-2250-469D-9CCC-20EB6CB74BC5}" name="Column2217"/>
    <tableColumn id="2221" xr3:uid="{50DF110F-C391-4EB0-BF69-D97BF7ABF179}" name="Column2218"/>
    <tableColumn id="2222" xr3:uid="{A76D2150-1BC5-4880-826E-C0B232D577EA}" name="Column2219"/>
    <tableColumn id="2223" xr3:uid="{06351FB5-A065-492B-9CBC-0608073F0CD9}" name="Column2220"/>
    <tableColumn id="2224" xr3:uid="{22E80340-22C7-4984-B4E2-9125F4E4C327}" name="Column2221"/>
    <tableColumn id="2225" xr3:uid="{08051F84-FE96-4DD3-A18C-B9B30AA865CA}" name="Column2222"/>
    <tableColumn id="2226" xr3:uid="{CDDEC5A2-36CA-45B0-A062-A713C0F76158}" name="Column2223"/>
    <tableColumn id="2227" xr3:uid="{C585AC0F-8C9E-4A83-A211-4FF313BD65C5}" name="Column2224"/>
    <tableColumn id="2228" xr3:uid="{1BEC5E46-E7A4-42EC-A37B-836A02426B88}" name="Column2225"/>
    <tableColumn id="2229" xr3:uid="{D3BAF5B6-CCED-414B-8285-AA0076357C28}" name="Column2226"/>
    <tableColumn id="2230" xr3:uid="{A9737D4E-6A40-4233-93EA-4F1A944B14B7}" name="Column2227"/>
    <tableColumn id="2231" xr3:uid="{A7B6C50D-0E0D-48CB-AE26-EB1F2C327D70}" name="Column2228"/>
    <tableColumn id="2232" xr3:uid="{8145F39B-CEEF-41E8-8E6D-0A0578AB3FFB}" name="Column2229"/>
    <tableColumn id="2233" xr3:uid="{3E761E90-2887-454E-8F82-6964C9744945}" name="Column2230"/>
    <tableColumn id="2234" xr3:uid="{AB15C798-AC29-40B3-9C69-9CB3EA93054F}" name="Column2231"/>
    <tableColumn id="2235" xr3:uid="{FCE30F04-60DD-421B-9706-948A73D9893D}" name="Column2232"/>
    <tableColumn id="2236" xr3:uid="{B2C5E0CF-E2B5-446A-845F-B07AA3CFFE93}" name="Column2233"/>
    <tableColumn id="2237" xr3:uid="{6389187B-70F5-40DF-8858-9BA536359F61}" name="Column2234"/>
    <tableColumn id="2238" xr3:uid="{C2CF6AB6-F589-4981-B67C-AD41740087C5}" name="Column2235"/>
    <tableColumn id="2239" xr3:uid="{888A4155-4C8E-401C-9F7A-87CF131B7503}" name="Column2236"/>
    <tableColumn id="2240" xr3:uid="{06B8B981-671A-44E8-96AD-9667A69E2433}" name="Column2237"/>
    <tableColumn id="2241" xr3:uid="{A3696904-EECC-4F56-A1D3-131BCD4E0087}" name="Column2238"/>
    <tableColumn id="2242" xr3:uid="{C0042B6F-CDC2-4228-9953-8877252995E3}" name="Column2239"/>
    <tableColumn id="2243" xr3:uid="{A4FB0403-4428-4B31-843A-6BD47FFBDBD8}" name="Column2240"/>
    <tableColumn id="2244" xr3:uid="{154610F8-B310-4ADB-B103-55FA0B508B46}" name="Column2241"/>
    <tableColumn id="2245" xr3:uid="{6F15A187-71FD-43DB-9449-8243300DF262}" name="Column2242"/>
    <tableColumn id="2246" xr3:uid="{0A1C31AD-6964-4583-8612-4CB66BDCCF54}" name="Column2243"/>
    <tableColumn id="2247" xr3:uid="{A9F7FE23-BD19-43E2-9454-3FF06AB2C2E6}" name="Column2244"/>
    <tableColumn id="2248" xr3:uid="{CBB12A13-86AF-4473-9205-84806418BAD0}" name="Column2245"/>
    <tableColumn id="2249" xr3:uid="{B58D9043-0170-4606-AE11-A9AD424B6250}" name="Column2246"/>
    <tableColumn id="2250" xr3:uid="{284085A3-BBF2-4121-9015-C631A85EADD3}" name="Column2247"/>
    <tableColumn id="2251" xr3:uid="{BB592CDE-6C19-4C47-8EFD-CB5726850619}" name="Column2248"/>
    <tableColumn id="2252" xr3:uid="{60BB445C-C41A-46F2-B3E6-E41087BD6845}" name="Column2249"/>
    <tableColumn id="2253" xr3:uid="{2B7FBA09-BECF-4DE1-80D0-809DF5EFD466}" name="Column2250"/>
    <tableColumn id="2254" xr3:uid="{D880C8FE-D311-4037-AB31-F74D2F605026}" name="Column2251"/>
    <tableColumn id="2255" xr3:uid="{0467AB23-5696-4E73-B57F-854AEFA2A8B5}" name="Column2252"/>
    <tableColumn id="2256" xr3:uid="{504320F9-290C-4346-BD20-AD1CC33F756B}" name="Column2253"/>
    <tableColumn id="2257" xr3:uid="{B20EB35E-66DB-4459-B172-76BDEC404E58}" name="Column2254"/>
    <tableColumn id="2258" xr3:uid="{7147EB46-B92C-466A-88E1-D0FC8D72BB3A}" name="Column2255"/>
    <tableColumn id="2259" xr3:uid="{C8E6D82E-282E-48D1-86FC-8305F3E09AEF}" name="Column2256"/>
    <tableColumn id="2260" xr3:uid="{BF52BBDE-3200-461D-8BE1-39621BD2D954}" name="Column2257"/>
    <tableColumn id="2261" xr3:uid="{990C1CDF-CB42-489F-B196-299B4A6756C3}" name="Column2258"/>
    <tableColumn id="2262" xr3:uid="{81945866-9AFA-468D-8C59-5665189F71A6}" name="Column2259"/>
    <tableColumn id="2263" xr3:uid="{7A2AF456-0D12-4673-B086-8D04C68B5A23}" name="Column2260"/>
    <tableColumn id="2264" xr3:uid="{3A260773-152C-4695-B5C4-F00698EC775E}" name="Column2261"/>
    <tableColumn id="2265" xr3:uid="{BC331C89-EFE7-4E8D-BFD9-0F2DF859B232}" name="Column2262"/>
    <tableColumn id="2266" xr3:uid="{9277681C-ABB5-49B0-B623-D01B016E7E79}" name="Column2263"/>
    <tableColumn id="2267" xr3:uid="{2AAD7604-3DE4-48B3-9A27-ACD76C2CB5D3}" name="Column2264"/>
    <tableColumn id="2268" xr3:uid="{CBDD6F53-E3CC-4B8C-B4A5-B1BF7A480267}" name="Column2265"/>
    <tableColumn id="2269" xr3:uid="{F104062C-90FE-47B9-B435-0B9425086625}" name="Column2266"/>
    <tableColumn id="2270" xr3:uid="{B43D6955-EE9E-4111-972D-A4F1F89F63EC}" name="Column2267"/>
    <tableColumn id="2271" xr3:uid="{F9BB3A37-7122-4A25-AAB7-E9E43F6E79DE}" name="Column2268"/>
    <tableColumn id="2272" xr3:uid="{93580372-857A-4818-91CF-4C26CA2DB95F}" name="Column2269"/>
    <tableColumn id="2273" xr3:uid="{38EA51AC-A010-49A9-9974-26D8BFB22F0B}" name="Column2270"/>
    <tableColumn id="2274" xr3:uid="{4469A168-888C-43B9-BCB1-F909063243C0}" name="Column2271"/>
    <tableColumn id="2275" xr3:uid="{76CB8B88-8A55-4920-8E46-AD34A745A22B}" name="Column2272"/>
    <tableColumn id="2276" xr3:uid="{AC57D35B-7E55-423B-AC84-3183FB734273}" name="Column2273"/>
    <tableColumn id="2277" xr3:uid="{B69CAFCE-7541-46DD-9774-D1E23D0B6E7A}" name="Column2274"/>
    <tableColumn id="2278" xr3:uid="{80A2D1F7-6B63-4B56-92D1-6D12C38013E1}" name="Column2275"/>
    <tableColumn id="2279" xr3:uid="{34A910B0-2BBE-4B6F-B0D6-2D87963DDF59}" name="Column2276"/>
    <tableColumn id="2280" xr3:uid="{2B473530-3E64-40B5-A379-6DEB4F42067A}" name="Column2277"/>
    <tableColumn id="2281" xr3:uid="{91AFA612-534B-4740-B84B-6147CC2532EF}" name="Column2278"/>
    <tableColumn id="2282" xr3:uid="{E5A27DF0-BC8D-4F5F-B4A3-73E499B9EBF6}" name="Column2279"/>
    <tableColumn id="2283" xr3:uid="{CDC2261C-7B0D-4DC6-AEFF-403188AF9E10}" name="Column2280"/>
    <tableColumn id="2284" xr3:uid="{4F88DF62-4928-48BB-ABB4-23C16810FC06}" name="Column2281"/>
    <tableColumn id="2285" xr3:uid="{477674F8-8923-4979-8ECC-B80D9FE5A9BE}" name="Column2282"/>
    <tableColumn id="2286" xr3:uid="{403CA194-F5CC-46EC-9F66-38435F78A667}" name="Column2283"/>
    <tableColumn id="2287" xr3:uid="{FA6487AF-3F4A-4007-8196-7313020AF24D}" name="Column2284"/>
    <tableColumn id="2288" xr3:uid="{6D408BFC-AF32-4705-BF43-C0F66FCF2D68}" name="Column2285"/>
    <tableColumn id="2289" xr3:uid="{A5D37C56-E6A1-4412-9D46-07544BB25111}" name="Column2286"/>
    <tableColumn id="2290" xr3:uid="{A2816E48-AAE3-496F-B66D-11EC62BE6CF1}" name="Column2287"/>
    <tableColumn id="2291" xr3:uid="{1E3ED01B-1862-4258-94C2-0B9E5439415E}" name="Column2288"/>
    <tableColumn id="2292" xr3:uid="{D6270917-38E5-4B3F-82C8-5D3A9315E9C3}" name="Column2289"/>
    <tableColumn id="2293" xr3:uid="{398CE03D-F6D6-4C98-99A9-F5F0770EA93B}" name="Column2290"/>
    <tableColumn id="2294" xr3:uid="{648185FF-F932-419A-8006-C1B8A01C2AF6}" name="Column2291"/>
    <tableColumn id="2295" xr3:uid="{D8A7D985-AA6B-4E84-9F17-A2CB7E506FC4}" name="Column2292"/>
    <tableColumn id="2296" xr3:uid="{F8DFF2B1-9244-459E-B7D0-279BABC38CA5}" name="Column2293"/>
    <tableColumn id="2297" xr3:uid="{0E83B7DA-AA9D-47F9-9DE6-EC93EFAC7308}" name="Column2294"/>
    <tableColumn id="2298" xr3:uid="{950EF4D7-3F69-466D-A391-4CD73F974335}" name="Column2295"/>
    <tableColumn id="2299" xr3:uid="{46094396-1D82-49F7-9881-3E3AC68C3152}" name="Column2296"/>
    <tableColumn id="2300" xr3:uid="{0E0E1303-80F5-4690-8D64-B72C2098265F}" name="Column2297"/>
    <tableColumn id="2301" xr3:uid="{F3B85C6D-F94A-4FC3-ABE5-68A632CB4413}" name="Column2298"/>
    <tableColumn id="2302" xr3:uid="{EBFAE18B-7479-4251-B81E-D0133A53AAFF}" name="Column2299"/>
    <tableColumn id="2303" xr3:uid="{DFDAE472-5FB3-4F23-8592-FAA9A9A0E7EA}" name="Column2300"/>
    <tableColumn id="2304" xr3:uid="{390996AF-3376-45D1-8ECF-94FC91A4C5F9}" name="Column2301"/>
    <tableColumn id="2305" xr3:uid="{FC955197-9F6A-49B0-A708-5D1DDA0530D8}" name="Column2302"/>
    <tableColumn id="2306" xr3:uid="{76045D1E-19C4-4F64-B9E8-DFE2777F89A4}" name="Column2303"/>
    <tableColumn id="2307" xr3:uid="{4E008430-0DDF-464F-83DD-AF76BD6A97A3}" name="Column2304"/>
    <tableColumn id="2308" xr3:uid="{98843E6D-A440-47DD-A906-5FEF9CFC8A38}" name="Column2305"/>
    <tableColumn id="2309" xr3:uid="{35E55033-9A12-4EFF-B6E3-E36AA0030C3C}" name="Column2306"/>
    <tableColumn id="2310" xr3:uid="{E3C039F8-5F87-4743-9B68-E3554CF170B9}" name="Column2307"/>
    <tableColumn id="2311" xr3:uid="{40334FFF-6FA9-4696-B974-F2D99D1E200E}" name="Column2308"/>
    <tableColumn id="2312" xr3:uid="{424EE00D-C49B-4946-A6F8-AF826B05ECC6}" name="Column2309"/>
    <tableColumn id="2313" xr3:uid="{33DED310-D9AB-4956-936D-627D82165DE7}" name="Column2310"/>
    <tableColumn id="2314" xr3:uid="{1030B457-CDDD-45CB-B4EB-019A9600A79B}" name="Column2311"/>
    <tableColumn id="2315" xr3:uid="{16443763-2714-4793-9DCF-C91F751970EF}" name="Column2312"/>
    <tableColumn id="2316" xr3:uid="{F59B805D-C986-4DD3-8153-5D705D9064BA}" name="Column2313"/>
    <tableColumn id="2317" xr3:uid="{B3B28037-2AC2-4B50-8336-3CDD7B005DF0}" name="Column2314"/>
    <tableColumn id="2318" xr3:uid="{9013BE2A-7D51-40E6-90D7-27304AE62DAC}" name="Column2315"/>
    <tableColumn id="2319" xr3:uid="{FEF3DA34-F3B0-41FD-9E96-30D576FD50CB}" name="Column2316"/>
    <tableColumn id="2320" xr3:uid="{B7F476AD-CA59-4A47-8526-A53CE3DCCDE9}" name="Column2317"/>
    <tableColumn id="2321" xr3:uid="{0DCC783D-5743-4DC6-AB08-0F0EB726F342}" name="Column2318"/>
    <tableColumn id="2322" xr3:uid="{60C4A4F7-52FD-4963-A9EA-1874BAECC781}" name="Column2319"/>
    <tableColumn id="2323" xr3:uid="{A4A6A182-3DF9-41FB-8A43-8C1C30D3728E}" name="Column2320"/>
    <tableColumn id="2324" xr3:uid="{5A8CD9F8-DAD7-4F1A-BD15-AA5F075B7B97}" name="Column2321"/>
    <tableColumn id="2325" xr3:uid="{AC836825-D894-4791-AF6B-E95FA015B8B6}" name="Column2322"/>
    <tableColumn id="2326" xr3:uid="{47CA20F4-ABDE-4848-A39B-228032E0C83D}" name="Column2323"/>
    <tableColumn id="2327" xr3:uid="{ADE47AEC-95CE-4220-8C70-D383BABCA5E8}" name="Column2324"/>
    <tableColumn id="2328" xr3:uid="{1029E536-F638-4A18-966A-A89CE5CC91D9}" name="Column2325"/>
    <tableColumn id="2329" xr3:uid="{A96F1BB1-F95D-478A-9122-BD4ED42487BB}" name="Column2326"/>
    <tableColumn id="2330" xr3:uid="{BB2AB032-3801-4D22-9997-9BAB93EC199B}" name="Column2327"/>
    <tableColumn id="2331" xr3:uid="{EC2C662F-A863-4AA6-AF7A-52E7B1B9F627}" name="Column2328"/>
    <tableColumn id="2332" xr3:uid="{F2176EA8-B51B-420E-AB54-456CBF75831C}" name="Column2329"/>
    <tableColumn id="2333" xr3:uid="{B50CFE19-56DB-457B-9F57-36A655B1BB55}" name="Column2330"/>
    <tableColumn id="2334" xr3:uid="{1EAD3C99-F745-4F42-B3A3-45FCC20E2EE5}" name="Column2331"/>
    <tableColumn id="2335" xr3:uid="{871FED0E-4629-4C19-BC03-F0974B161A27}" name="Column2332"/>
    <tableColumn id="2336" xr3:uid="{763DC6A7-2DF1-493E-90EB-F76D14086934}" name="Column2333"/>
    <tableColumn id="2337" xr3:uid="{288EA0CE-02DD-4EE2-A35E-B7191B0FE73D}" name="Column2334"/>
    <tableColumn id="2338" xr3:uid="{0A23D77A-5036-4442-B25A-78360A3DE7A4}" name="Column2335"/>
    <tableColumn id="2339" xr3:uid="{77E95F1A-06A9-41FD-B4F6-E445933ABDFB}" name="Column2336"/>
    <tableColumn id="2340" xr3:uid="{B1590EF5-2A42-4DF8-94CE-FB8BC71F4F0D}" name="Column2337"/>
    <tableColumn id="2341" xr3:uid="{12287921-6DB3-4B0A-941F-8F7E31FDF323}" name="Column2338"/>
    <tableColumn id="2342" xr3:uid="{0B3BE65D-EC63-423B-9107-32A88E83777B}" name="Column2339"/>
    <tableColumn id="2343" xr3:uid="{8EF054B5-BBDD-45BF-B240-8977F7F052BA}" name="Column2340"/>
    <tableColumn id="2344" xr3:uid="{789AFD7B-8064-45DD-91D6-43BADECCD423}" name="Column2341"/>
    <tableColumn id="2345" xr3:uid="{BAB3BA92-3A0B-4C14-B756-6E9F2758F766}" name="Column2342"/>
    <tableColumn id="2346" xr3:uid="{90032D00-1F38-4EA9-8F34-4B7E2E865C32}" name="Column2343"/>
    <tableColumn id="2347" xr3:uid="{1BE2D449-1A62-4ADB-A3EA-64F579EC3A9A}" name="Column2344"/>
    <tableColumn id="2348" xr3:uid="{882C7895-AF56-41DA-8304-9CA310A83141}" name="Column2345"/>
    <tableColumn id="2349" xr3:uid="{4608B662-D3B8-47E8-9981-C4F0DC7BE752}" name="Column2346"/>
    <tableColumn id="2350" xr3:uid="{B477FB35-569C-471F-8FDE-C733D8305F1E}" name="Column2347"/>
    <tableColumn id="2351" xr3:uid="{FE422DFB-B84E-4DA5-BCE6-81FCFDD033BE}" name="Column2348"/>
    <tableColumn id="2352" xr3:uid="{A43ED62C-B618-49EE-A5F8-E78AA7B4518F}" name="Column2349"/>
    <tableColumn id="2353" xr3:uid="{A4716190-35A7-47E7-9560-EF98904CB80F}" name="Column2350"/>
    <tableColumn id="2354" xr3:uid="{33A10840-757A-4D06-9BC4-1306138ABEF4}" name="Column2351"/>
    <tableColumn id="2355" xr3:uid="{F11014D4-E952-46F7-A98E-CBA4A8879285}" name="Column2352"/>
    <tableColumn id="2356" xr3:uid="{5D4A6B0F-F69D-43E9-A845-AA8E6A0C5DE9}" name="Column2353"/>
    <tableColumn id="2357" xr3:uid="{593D646C-9B58-4F00-98E7-952816B97FC9}" name="Column2354"/>
    <tableColumn id="2358" xr3:uid="{5D16B5EA-7C1F-4827-911D-3BB7B785F95A}" name="Column2355"/>
    <tableColumn id="2359" xr3:uid="{AFDE8310-A786-477D-B5FB-D5B9F08839ED}" name="Column2356"/>
    <tableColumn id="2360" xr3:uid="{2D8829CE-A7F5-499A-933C-532637F221BF}" name="Column2357"/>
    <tableColumn id="2361" xr3:uid="{0C78A958-21EC-444D-95FA-96FE6E4860AA}" name="Column2358"/>
    <tableColumn id="2362" xr3:uid="{9F388701-B2EB-4796-B151-E660F6C3DD34}" name="Column2359"/>
    <tableColumn id="2363" xr3:uid="{DB2B6A20-ACA0-4316-9A73-BC42ED7B89AC}" name="Column2360"/>
    <tableColumn id="2364" xr3:uid="{12CE2466-D1F6-4CCC-893F-CAF0A0B32748}" name="Column2361"/>
    <tableColumn id="2365" xr3:uid="{C4F004C4-49F1-4CB6-A4E9-DE59C492C7AF}" name="Column2362"/>
    <tableColumn id="2366" xr3:uid="{216CEA83-D773-4D5B-BA6A-D373707FABE9}" name="Column2363"/>
    <tableColumn id="2367" xr3:uid="{B91B0E97-E876-469A-A390-E7072F1EACD6}" name="Column2364"/>
    <tableColumn id="2368" xr3:uid="{5644F338-85C3-4E89-9701-E183312D24F5}" name="Column2365"/>
    <tableColumn id="2369" xr3:uid="{121BBD0B-7870-4B48-BCAB-58FE2222026D}" name="Column2366"/>
    <tableColumn id="2370" xr3:uid="{7DD77BA3-AE47-412A-87AD-BD22502D20AD}" name="Column2367"/>
    <tableColumn id="2371" xr3:uid="{DCC6732E-0D82-4FDE-A8A8-A521F6CB1662}" name="Column2368"/>
    <tableColumn id="2372" xr3:uid="{76BEEA0B-D838-4EF7-8385-D4AA2356BB50}" name="Column2369"/>
    <tableColumn id="2373" xr3:uid="{6DA61757-CCB5-4F3B-BEF2-E0C1EC1E866D}" name="Column2370"/>
    <tableColumn id="2374" xr3:uid="{F6BC5683-9A9B-43F8-BF09-32111375A121}" name="Column2371"/>
    <tableColumn id="2375" xr3:uid="{583EB1AC-A601-4E1E-9A13-A41B188FD0E4}" name="Column2372"/>
    <tableColumn id="2376" xr3:uid="{75C35E78-853E-46D3-B5E0-9AC12D91B070}" name="Column2373"/>
    <tableColumn id="2377" xr3:uid="{3CAC1900-87D8-4E56-B529-7BEC20786CCD}" name="Column2374"/>
    <tableColumn id="2378" xr3:uid="{A3E95B55-AD94-4D95-8B43-275C2A0A2AB9}" name="Column2375"/>
    <tableColumn id="2379" xr3:uid="{62EF085D-959C-4762-8118-F30A2C8B246F}" name="Column2376"/>
    <tableColumn id="2380" xr3:uid="{721D37A4-076C-47D5-82BC-D9662A044E25}" name="Column2377"/>
    <tableColumn id="2381" xr3:uid="{1CAE7EA0-23FF-4498-9B9E-991EF232C4D8}" name="Column2378"/>
    <tableColumn id="2382" xr3:uid="{93B30396-591F-4D16-AF0E-630E4CDBF36E}" name="Column2379"/>
    <tableColumn id="2383" xr3:uid="{BB21B652-EB8F-4009-A436-2D38A0F7F5EB}" name="Column2380"/>
    <tableColumn id="2384" xr3:uid="{4185AE2A-7B80-4B9F-8C76-BB74CC24B4F1}" name="Column2381"/>
    <tableColumn id="2385" xr3:uid="{0BBB6240-A807-49B0-961A-E1E3A2C0084A}" name="Column2382"/>
    <tableColumn id="2386" xr3:uid="{F4CFC4B6-E238-4096-943A-343D92A8EE48}" name="Column2383"/>
    <tableColumn id="2387" xr3:uid="{74BCA1F5-AE78-4593-940D-E69CD20099E8}" name="Column2384"/>
    <tableColumn id="2388" xr3:uid="{7264FF4F-461F-4E47-88F0-81C3FC9B6679}" name="Column2385"/>
    <tableColumn id="2389" xr3:uid="{1BFB4970-5FFF-4421-A556-FEFFF8CE12F4}" name="Column2386"/>
    <tableColumn id="2390" xr3:uid="{6D3A0EA7-C2CE-42C1-9ED7-8F9130591C8A}" name="Column2387"/>
    <tableColumn id="2391" xr3:uid="{4C552D59-0828-4FF1-9F45-556D0075624F}" name="Column2388"/>
    <tableColumn id="2392" xr3:uid="{922AF989-1976-41CB-9DE8-C3DA5E2F62B1}" name="Column2389"/>
    <tableColumn id="2393" xr3:uid="{489F8263-DBC5-429A-B419-A9B7B9AAAA29}" name="Column2390"/>
    <tableColumn id="2394" xr3:uid="{65BC8D75-EC80-4191-A7F7-B01928F11B30}" name="Column2391"/>
    <tableColumn id="2395" xr3:uid="{97D7B3D0-253F-4EA4-9D4F-59A4D156200C}" name="Column2392"/>
    <tableColumn id="2396" xr3:uid="{B5B1DA43-7441-44D4-ABF7-C285789C8154}" name="Column2393"/>
    <tableColumn id="2397" xr3:uid="{5AEA9FFC-9FD2-44E1-8FB7-4FFA1A221788}" name="Column2394"/>
    <tableColumn id="2398" xr3:uid="{18BC23E5-52C0-41BF-BC9F-452E102AA00D}" name="Column2395"/>
    <tableColumn id="2399" xr3:uid="{126DD78C-3AE6-4F8F-8FA0-272338C8A8FC}" name="Column2396"/>
    <tableColumn id="2400" xr3:uid="{04668E61-A896-433E-B6E8-5982ED057E9F}" name="Column2397"/>
    <tableColumn id="2401" xr3:uid="{72C9D6D7-B360-419B-BFA5-F68955A7B50C}" name="Column2398"/>
    <tableColumn id="2402" xr3:uid="{CA27849B-AAB2-4A82-A632-023435BA8DD5}" name="Column2399"/>
    <tableColumn id="2403" xr3:uid="{DB7F3135-C4F3-448F-BB2F-87C8B0F0EEDA}" name="Column2400"/>
    <tableColumn id="2404" xr3:uid="{EA8EF181-8155-4046-A239-522BDC3159DC}" name="Column2401"/>
    <tableColumn id="2405" xr3:uid="{49C609D4-2459-49BD-A633-3C037C4EAA83}" name="Column2402"/>
    <tableColumn id="2406" xr3:uid="{A3F6F5E0-3244-4C99-AD1E-E6FCAAEED895}" name="Column2403"/>
    <tableColumn id="2407" xr3:uid="{4CC6B9DF-82AB-4EC7-BE80-CC00A07DD259}" name="Column2404"/>
    <tableColumn id="2408" xr3:uid="{A3D7027B-6EF5-4129-9CEE-B6A750FCF385}" name="Column2405"/>
    <tableColumn id="2409" xr3:uid="{EC353D1C-6B7C-4396-B4C3-26B7DD79B2D6}" name="Column2406"/>
    <tableColumn id="2410" xr3:uid="{347CAF1C-8EA1-4BCF-B474-1F7E17EF8A18}" name="Column2407"/>
    <tableColumn id="2411" xr3:uid="{6D84733C-C65D-4F77-A424-DF3A10576943}" name="Column2408"/>
    <tableColumn id="2412" xr3:uid="{3DA21F79-D304-4226-AE80-6041DE445ED5}" name="Column2409"/>
    <tableColumn id="2413" xr3:uid="{D4BD0BC3-1B98-487F-8E52-61F57079096C}" name="Column2410"/>
    <tableColumn id="2414" xr3:uid="{27A0578B-D68C-42E3-B4C6-37A81D75FE1F}" name="Column2411"/>
    <tableColumn id="2415" xr3:uid="{42C537C9-BA58-4E37-9BA8-25936DC1D62E}" name="Column2412"/>
    <tableColumn id="2416" xr3:uid="{F607FFEB-BC91-46D0-978D-7890D16459F7}" name="Column2413"/>
    <tableColumn id="2417" xr3:uid="{26DA0C0C-7BEE-43C9-BB92-D06CB103C1A1}" name="Column2414"/>
    <tableColumn id="2418" xr3:uid="{50E9A04D-8A1C-4A0C-B308-2A9131EB328C}" name="Column2415"/>
    <tableColumn id="2419" xr3:uid="{B6913582-8718-4977-8BAC-2204940C2E28}" name="Column2416"/>
    <tableColumn id="2420" xr3:uid="{040A2A88-CC1D-4FBE-8924-CD25736E5691}" name="Column2417"/>
    <tableColumn id="2421" xr3:uid="{7475A2F3-8DC5-46B0-9A83-33692FF04376}" name="Column2418"/>
    <tableColumn id="2422" xr3:uid="{8CB47CFA-F97B-43BE-B180-7DCE8189C714}" name="Column2419"/>
    <tableColumn id="2423" xr3:uid="{8F31573D-FAA6-429E-95B1-D38BFD0EFB7C}" name="Column2420"/>
    <tableColumn id="2424" xr3:uid="{F830388A-4B35-4D26-81FA-9A25CA9FB0FF}" name="Column2421"/>
    <tableColumn id="2425" xr3:uid="{6F7402BB-396E-48A3-BAA6-9387486607DA}" name="Column2422"/>
    <tableColumn id="2426" xr3:uid="{62794774-C5D9-4407-BF63-CDE912806A7C}" name="Column2423"/>
    <tableColumn id="2427" xr3:uid="{E1652624-CD44-4B71-A8A1-E7DF46F050C2}" name="Column2424"/>
    <tableColumn id="2428" xr3:uid="{E3EB63D5-7D9F-45D8-8B27-71B6DA253224}" name="Column2425"/>
    <tableColumn id="2429" xr3:uid="{E00F2E2D-4A0C-468C-AAA4-34F0BF43C980}" name="Column2426"/>
    <tableColumn id="2430" xr3:uid="{28CC0D00-1697-41E4-99AC-E82100B3C797}" name="Column2427"/>
    <tableColumn id="2431" xr3:uid="{CE68C3B0-2F71-44EF-BDFD-C54EC768DDD6}" name="Column2428"/>
    <tableColumn id="2432" xr3:uid="{644DE203-A8C8-4C2D-94B3-78536974A83E}" name="Column2429"/>
    <tableColumn id="2433" xr3:uid="{1DA1F849-0FB4-4C18-9D11-CB0B8F2B1C4D}" name="Column2430"/>
    <tableColumn id="2434" xr3:uid="{DC3C8E0C-64E3-4A9B-9B71-D5302CE2C6A8}" name="Column2431"/>
    <tableColumn id="2435" xr3:uid="{94A608E8-7FE2-4F19-B798-D6B7FE0E0AA1}" name="Column2432"/>
    <tableColumn id="2436" xr3:uid="{6E895C4E-09BD-44CD-8971-CDE6FBD82DB8}" name="Column2433"/>
    <tableColumn id="2437" xr3:uid="{AE38DC3F-8251-45AB-BC64-E1475C7BE099}" name="Column2434"/>
    <tableColumn id="2438" xr3:uid="{A830722D-C4D1-4428-81D3-056ED1AE84E1}" name="Column2435"/>
    <tableColumn id="2439" xr3:uid="{64AC6394-2471-4A96-89C4-1A57015F15D0}" name="Column2436"/>
    <tableColumn id="2440" xr3:uid="{ACF91D2F-9944-4A1F-B967-4213405DCBC0}" name="Column2437"/>
    <tableColumn id="2441" xr3:uid="{8E7C9B68-78F5-4E23-A40A-9F02CBA455E5}" name="Column2438"/>
    <tableColumn id="2442" xr3:uid="{216BD272-C610-47B8-856E-539C277F9E7D}" name="Column2439"/>
    <tableColumn id="2443" xr3:uid="{200B4BE4-37A7-4F9D-A356-85DA1CF6022F}" name="Column2440"/>
    <tableColumn id="2444" xr3:uid="{6054908D-7045-41F4-B59C-AD22399A7287}" name="Column2441"/>
    <tableColumn id="2445" xr3:uid="{E933EB99-343C-46CC-B668-29C7684580A8}" name="Column2442"/>
    <tableColumn id="2446" xr3:uid="{AEABC3E2-3F04-4B2C-8029-6ACB2F1DF693}" name="Column2443"/>
    <tableColumn id="2447" xr3:uid="{F54887AC-1D47-4FDA-AC45-7B69642E25EC}" name="Column2444"/>
    <tableColumn id="2448" xr3:uid="{875AEFE1-1382-47E6-9A3F-8C0D291EDC5D}" name="Column2445"/>
    <tableColumn id="2449" xr3:uid="{18F48DBE-BB46-4ACD-89C5-99A54BDE566A}" name="Column2446"/>
    <tableColumn id="2450" xr3:uid="{AC5470E1-1EA0-47A1-8CB0-F0EA0A152319}" name="Column2447"/>
    <tableColumn id="2451" xr3:uid="{7A454216-2A8A-491E-99E9-EA8D28AA4B04}" name="Column2448"/>
    <tableColumn id="2452" xr3:uid="{4386F59A-870A-463B-96BA-2A493FACDBAB}" name="Column2449"/>
    <tableColumn id="2453" xr3:uid="{802D3EDC-9448-43BF-86BF-A0D89502F983}" name="Column2450"/>
    <tableColumn id="2454" xr3:uid="{F1CCDD7E-7C54-404A-A1D9-5E885D6270E7}" name="Column2451"/>
    <tableColumn id="2455" xr3:uid="{13DACA86-A7F1-412D-B3B0-A6C5F42D9EE5}" name="Column2452"/>
    <tableColumn id="2456" xr3:uid="{7AC921D8-82E8-434C-B90E-8B54B23FFCE7}" name="Column2453"/>
    <tableColumn id="2457" xr3:uid="{EC73103B-3C0E-41C7-954B-F5590E17B7DC}" name="Column2454"/>
    <tableColumn id="2458" xr3:uid="{5BACC843-4706-4170-8BD8-5F193AEAADC0}" name="Column2455"/>
    <tableColumn id="2459" xr3:uid="{F5191AF2-BC11-43BD-AA90-47074F81C567}" name="Column2456"/>
    <tableColumn id="2460" xr3:uid="{E215EB2D-23C2-4937-8522-D9EBFE26CB93}" name="Column2457"/>
    <tableColumn id="2461" xr3:uid="{BCD16835-D101-4538-ACA3-E197E605C379}" name="Column2458"/>
    <tableColumn id="2462" xr3:uid="{335FCFB8-FB05-4376-A5A9-BE43FF812DDB}" name="Column2459"/>
    <tableColumn id="2463" xr3:uid="{E7E6A793-0A01-452F-8B5B-BCDB4AC43D8B}" name="Column2460"/>
    <tableColumn id="2464" xr3:uid="{1834A7DA-003E-4019-B62D-961B1A1FF5CB}" name="Column2461"/>
    <tableColumn id="2465" xr3:uid="{16A40615-7854-4E78-8DA2-2B4969E43D48}" name="Column2462"/>
    <tableColumn id="2466" xr3:uid="{370D915D-D03C-4B0E-B862-D2E111DF192E}" name="Column2463"/>
    <tableColumn id="2467" xr3:uid="{CCDC36CF-D39D-4379-976F-116BF3BF3DF3}" name="Column2464"/>
    <tableColumn id="2468" xr3:uid="{8836E184-2357-4C9B-8230-9A22CD887714}" name="Column2465"/>
    <tableColumn id="2469" xr3:uid="{3B7CFF90-875E-4BB5-896D-4688FE822FEE}" name="Column2466"/>
    <tableColumn id="2470" xr3:uid="{A9BAFF37-4A6A-492D-B9DF-5CE09323E2FC}" name="Column2467"/>
    <tableColumn id="2471" xr3:uid="{95ABB39F-7B5B-43F8-A0DD-031310A78D4B}" name="Column2468"/>
    <tableColumn id="2472" xr3:uid="{C3A187D2-4C57-48AA-A4C9-A0F6BC94B4EC}" name="Column2469"/>
    <tableColumn id="2473" xr3:uid="{F476D317-F198-42F6-9B0B-AEB7AFADAC1B}" name="Column2470"/>
    <tableColumn id="2474" xr3:uid="{3DE7EFF9-9EFE-44D1-BB1B-7D4B50B98B67}" name="Column2471"/>
    <tableColumn id="2475" xr3:uid="{D158A0C7-8C0D-4A1A-BF54-08A55AC5D794}" name="Column2472"/>
    <tableColumn id="2476" xr3:uid="{4F255D2B-9799-4B06-B5A0-F3836FDE8544}" name="Column2473"/>
    <tableColumn id="2477" xr3:uid="{DB0EAC47-92CE-4993-A9CE-6FB219899F8F}" name="Column2474"/>
    <tableColumn id="2478" xr3:uid="{2F37AEBA-F4AE-4C6B-B5F3-23BBC6719396}" name="Column2475"/>
    <tableColumn id="2479" xr3:uid="{786F8957-314A-497A-B422-637ACBBC1609}" name="Column2476"/>
    <tableColumn id="2480" xr3:uid="{D4091519-BD5E-4A78-984C-E7ED156D7072}" name="Column2477"/>
    <tableColumn id="2481" xr3:uid="{294E3F75-5C2A-4082-9876-CEE6471772C5}" name="Column2478"/>
    <tableColumn id="2482" xr3:uid="{1FFD0B7E-26F5-4931-A5EF-65F0735C2DCE}" name="Column2479"/>
    <tableColumn id="2483" xr3:uid="{237EC924-52C7-482A-800F-9331736EBF74}" name="Column2480"/>
    <tableColumn id="2484" xr3:uid="{27F1C33A-A5E5-4EBF-9366-5266C7E4B989}" name="Column2481"/>
    <tableColumn id="2485" xr3:uid="{76374762-D453-45EC-A857-95C595955A9A}" name="Column2482"/>
    <tableColumn id="2486" xr3:uid="{72515B2F-7497-433A-A181-152899E1F533}" name="Column2483"/>
    <tableColumn id="2487" xr3:uid="{9A221C48-7F46-4033-AA04-A51B952F2F47}" name="Column2484"/>
    <tableColumn id="2488" xr3:uid="{74DFA9AD-9C00-4F89-8E84-0E2C96950E0D}" name="Column2485"/>
    <tableColumn id="2489" xr3:uid="{1B590109-52A0-4AAA-87CD-5A37E216B395}" name="Column2486"/>
    <tableColumn id="2490" xr3:uid="{EBA8238A-4ED4-43A1-A0B4-230F47B9A537}" name="Column2487"/>
    <tableColumn id="2491" xr3:uid="{40D76243-FD51-4FE5-98AA-ABBF0CDFFAB2}" name="Column2488"/>
    <tableColumn id="2492" xr3:uid="{4C123C6A-A76F-4C36-A26E-33DB80583A4C}" name="Column2489"/>
    <tableColumn id="2493" xr3:uid="{BEE3F5D3-4100-42A3-A1B4-62B59227474B}" name="Column2490"/>
    <tableColumn id="2494" xr3:uid="{D7501878-74A2-4586-A459-9EE30F7D22C1}" name="Column2491"/>
    <tableColumn id="2495" xr3:uid="{5CD0CC00-11BA-4F41-8C5A-A66E39803E3B}" name="Column2492"/>
    <tableColumn id="2496" xr3:uid="{78E726B2-69FE-46A7-AC65-6A6A8CC42585}" name="Column2493"/>
    <tableColumn id="2497" xr3:uid="{3215C7D8-CCFA-4E11-925F-72AA1423C101}" name="Column2494"/>
    <tableColumn id="2498" xr3:uid="{F1FB28A6-FD9F-40C0-B597-55A42C86060B}" name="Column2495"/>
    <tableColumn id="2499" xr3:uid="{76C9F252-8A73-420A-A364-38B51D65E6D0}" name="Column2496"/>
    <tableColumn id="2500" xr3:uid="{846E5A12-B200-471A-BE14-0715ABAC66B2}" name="Column2497"/>
    <tableColumn id="2501" xr3:uid="{A869A565-D1D3-4E1A-81E4-77515B320AEA}" name="Column2498"/>
    <tableColumn id="2502" xr3:uid="{3C4073D0-C840-4DE7-B553-4BC57B94C124}" name="Column2499"/>
    <tableColumn id="2503" xr3:uid="{211D814E-F704-48F1-826D-B53EF34D4E41}" name="Column2500"/>
    <tableColumn id="2504" xr3:uid="{795912FB-181D-4759-BEC4-774BD3D4AEEB}" name="Column2501"/>
    <tableColumn id="2505" xr3:uid="{44C80287-8743-4677-88B1-B284D7850D23}" name="Column2502"/>
    <tableColumn id="2506" xr3:uid="{3B751F7B-B849-4B11-B14A-4BB82252D466}" name="Column2503"/>
    <tableColumn id="2507" xr3:uid="{620653D0-B552-4F8E-B16F-B678270A4071}" name="Column2504"/>
    <tableColumn id="2508" xr3:uid="{F5FCFBDF-B95A-47B6-9E6C-A8D859221355}" name="Column2505"/>
    <tableColumn id="2509" xr3:uid="{EC39EB75-661A-44F0-B6F4-5635797330C6}" name="Column2506"/>
    <tableColumn id="2510" xr3:uid="{814B2D6F-9564-42C2-8420-C84D593B48CB}" name="Column2507"/>
    <tableColumn id="2511" xr3:uid="{9A503607-4FD0-4D61-9BEB-66581B5CFF33}" name="Column2508"/>
    <tableColumn id="2512" xr3:uid="{17E99961-DC0F-4EE0-BD70-087885CCB0E3}" name="Column2509"/>
    <tableColumn id="2513" xr3:uid="{16896E38-32B8-43EE-84CF-23B2CE35C29B}" name="Column2510"/>
    <tableColumn id="2514" xr3:uid="{40AE0A99-7F17-4BBA-8CF6-1B1E1FBB5929}" name="Column2511"/>
    <tableColumn id="2515" xr3:uid="{F4D5B27E-BDBF-4D72-8B1B-B89454CBC2EC}" name="Column2512"/>
    <tableColumn id="2516" xr3:uid="{27D504F4-DD58-48F6-A6F7-F029DFF8A02B}" name="Column2513"/>
    <tableColumn id="2517" xr3:uid="{D6C44BC8-C151-42A7-9B56-645F08EA0E27}" name="Column2514"/>
    <tableColumn id="2518" xr3:uid="{B28B9D15-DBBC-4740-BF98-3663C464485B}" name="Column2515"/>
    <tableColumn id="2519" xr3:uid="{3290EAC6-A0B0-4BBD-93CC-605F66BE7754}" name="Column2516"/>
    <tableColumn id="2520" xr3:uid="{AE0E63C7-8978-43D8-8C1A-5F7612FD6114}" name="Column2517"/>
    <tableColumn id="2521" xr3:uid="{97BDDD03-9350-4FCA-9967-4ED46210AFF3}" name="Column2518"/>
    <tableColumn id="2522" xr3:uid="{77466AE5-13B5-414D-AC4C-4EA6F3EC4223}" name="Column2519"/>
    <tableColumn id="2523" xr3:uid="{5A57DD0F-7596-4EA2-8D9A-623D52DB776A}" name="Column2520"/>
    <tableColumn id="2524" xr3:uid="{64557866-B28F-4C94-9F9B-42F2A68785E9}" name="Column2521"/>
    <tableColumn id="2525" xr3:uid="{7F4A540C-78BC-43C7-A0E2-0801278AAF1D}" name="Column2522"/>
    <tableColumn id="2526" xr3:uid="{34A8F126-C7B8-4B14-B625-F17AF521FDE3}" name="Column2523"/>
    <tableColumn id="2527" xr3:uid="{4924F297-6744-41A8-BA58-CA624DF2AF0F}" name="Column2524"/>
    <tableColumn id="2528" xr3:uid="{F587FC89-662F-4A66-9B6E-F03DB1B348CD}" name="Column2525"/>
    <tableColumn id="2529" xr3:uid="{DEA0331C-4E19-40A1-A5F7-83ABF7B2C13D}" name="Column2526"/>
    <tableColumn id="2530" xr3:uid="{065BC7A4-3FC2-4DA4-934E-9E432EAE06A2}" name="Column2527"/>
    <tableColumn id="2531" xr3:uid="{69F12281-60AF-4536-AE37-AF32282A5A1F}" name="Column2528"/>
    <tableColumn id="2532" xr3:uid="{87A29258-CA77-4C23-A42F-6F19A1D40D01}" name="Column2529"/>
    <tableColumn id="2533" xr3:uid="{7DE28270-EDF3-46F1-BCC3-2467366883FB}" name="Column2530"/>
    <tableColumn id="2534" xr3:uid="{30F4F08D-5B8B-4128-9D4D-24E170FAE303}" name="Column2531"/>
    <tableColumn id="2535" xr3:uid="{6B398DAC-9EF8-4AF2-A580-8BF7A4409B6A}" name="Column2532"/>
    <tableColumn id="2536" xr3:uid="{6FBF62E5-515B-4CEE-8BEC-5EE26CE2A937}" name="Column2533"/>
    <tableColumn id="2537" xr3:uid="{1CBDF818-2BD1-4F09-85DC-04BBCC769B51}" name="Column2534"/>
    <tableColumn id="2538" xr3:uid="{0E48B363-E394-477A-ACA2-F400BE6FEDFC}" name="Column2535"/>
    <tableColumn id="2539" xr3:uid="{7C4F943C-BC53-44B3-AB8F-8B5837C63F91}" name="Column2536"/>
    <tableColumn id="2540" xr3:uid="{A863F6B9-C479-48EE-90FA-448A86F08828}" name="Column2537"/>
    <tableColumn id="2541" xr3:uid="{38411941-9301-4CAC-BF6B-F3DA2371DDEF}" name="Column2538"/>
    <tableColumn id="2542" xr3:uid="{806D24BD-3118-457D-AB53-988DDEE32299}" name="Column2539"/>
    <tableColumn id="2543" xr3:uid="{E355DD93-45F5-40E0-A394-52E6295BE64D}" name="Column2540"/>
    <tableColumn id="2544" xr3:uid="{3DBD5E12-DA0D-4F0F-AE2A-1B67D0793A7B}" name="Column2541"/>
    <tableColumn id="2545" xr3:uid="{E302B118-F1F0-45CF-81BF-DB7934C4236C}" name="Column2542"/>
    <tableColumn id="2546" xr3:uid="{16BCA40D-9D46-46BE-AFFE-F3708A0ADAE6}" name="Column2543"/>
    <tableColumn id="2547" xr3:uid="{122A4A5E-C444-4143-B09E-F9D6950D249C}" name="Column2544"/>
    <tableColumn id="2548" xr3:uid="{3CB83B95-5DFB-4DEF-9281-A24C6A8F9404}" name="Column2545"/>
    <tableColumn id="2549" xr3:uid="{749A9373-A261-42C3-97B5-356A2B40ECE3}" name="Column2546"/>
    <tableColumn id="2550" xr3:uid="{00327DD0-677C-4553-AEB3-5298B840AD03}" name="Column2547"/>
    <tableColumn id="2551" xr3:uid="{7C6C41D6-F038-44B1-942C-525F4042177A}" name="Column2548"/>
    <tableColumn id="2552" xr3:uid="{16A8F708-037C-4C9D-B260-76FBF108A03D}" name="Column2549"/>
    <tableColumn id="2553" xr3:uid="{04E6B3CA-FE60-4083-ADDD-FD78B5176E80}" name="Column2550"/>
    <tableColumn id="2554" xr3:uid="{DC03ADBD-6893-434A-93B5-BF399FBC3F3E}" name="Column2551"/>
    <tableColumn id="2555" xr3:uid="{855A9D72-5FD7-4C89-A31D-DF8CCFBD4D5E}" name="Column2552"/>
    <tableColumn id="2556" xr3:uid="{2BA5AA9B-6254-4EB4-B0DA-A7AC49EA4B43}" name="Column2553"/>
    <tableColumn id="2557" xr3:uid="{CFBD5BF2-79F7-4651-9004-44FF2FCE2566}" name="Column2554"/>
    <tableColumn id="2558" xr3:uid="{41601179-4B94-465E-9110-E4CDD67EB340}" name="Column2555"/>
    <tableColumn id="2559" xr3:uid="{3681FCBA-1E9B-46CE-8F08-A81ACFA419CC}" name="Column2556"/>
    <tableColumn id="2560" xr3:uid="{19E974D3-4637-4030-AB57-C43ECA91E988}" name="Column2557"/>
    <tableColumn id="2561" xr3:uid="{A91C7B74-7D16-43C4-8CA5-683D874B1ED5}" name="Column2558"/>
    <tableColumn id="2562" xr3:uid="{4BE458D9-ECA4-48DA-A856-080F45B5AA75}" name="Column2559"/>
    <tableColumn id="2563" xr3:uid="{BFB83E9B-18B9-42D8-9720-8D5787072D78}" name="Column2560"/>
    <tableColumn id="2564" xr3:uid="{85D7B9B0-09E6-4374-8D25-A05337F9027A}" name="Column2561"/>
    <tableColumn id="2565" xr3:uid="{6C4F42D5-05CF-4E74-8757-0D097BEA1A28}" name="Column2562"/>
    <tableColumn id="2566" xr3:uid="{068EDEEB-F85C-48C7-A873-47876F4F7F59}" name="Column2563"/>
    <tableColumn id="2567" xr3:uid="{9EB1F688-D318-4A4B-9C80-B4AE0D5371C7}" name="Column2564"/>
    <tableColumn id="2568" xr3:uid="{71A62F1E-03C7-416F-8F41-E33B18F04529}" name="Column2565"/>
    <tableColumn id="2569" xr3:uid="{B07A199F-6FBD-44AC-875D-3F6F0F5F92D0}" name="Column2566"/>
    <tableColumn id="2570" xr3:uid="{6E1E4B23-C2ED-4FDC-A01F-3729FB62A3DC}" name="Column2567"/>
    <tableColumn id="2571" xr3:uid="{A54B35B6-E375-423F-89A3-2AD7C7A483FD}" name="Column2568"/>
    <tableColumn id="2572" xr3:uid="{9D445F75-9466-425E-A050-32F22411FE97}" name="Column2569"/>
    <tableColumn id="2573" xr3:uid="{738D7E34-6551-46E1-BC50-A010C532593C}" name="Column2570"/>
    <tableColumn id="2574" xr3:uid="{367F02FC-D6DE-4BFD-A0C9-159E77A9ACD5}" name="Column2571"/>
    <tableColumn id="2575" xr3:uid="{ED02A168-D748-416E-94E1-45B24B639C58}" name="Column2572"/>
    <tableColumn id="2576" xr3:uid="{A00757CB-0645-4387-B31C-4405D08C9982}" name="Column2573"/>
    <tableColumn id="2577" xr3:uid="{12FEBFAC-313A-456B-8703-25C62F7D0302}" name="Column2574"/>
    <tableColumn id="2578" xr3:uid="{AFF0DBBB-8238-4CB0-94FE-2C30DE4DA3DA}" name="Column2575"/>
    <tableColumn id="2579" xr3:uid="{E61AF84F-FDC9-4B52-9B3D-14584FCC5B21}" name="Column2576"/>
    <tableColumn id="2580" xr3:uid="{41B362AB-E65C-43C3-ADEA-9E80619090CC}" name="Column2577"/>
    <tableColumn id="2581" xr3:uid="{CB9B7A74-C7BF-49AB-B23F-9D5536E55B79}" name="Column2578"/>
    <tableColumn id="2582" xr3:uid="{8D43EE34-5E5B-44AC-881B-4006755F636C}" name="Column2579"/>
    <tableColumn id="2583" xr3:uid="{664D0236-004E-40C1-ADB2-9BDC1C106C47}" name="Column2580"/>
    <tableColumn id="2584" xr3:uid="{9BA0F10A-DB24-457A-8B40-E8A898880D1A}" name="Column2581"/>
    <tableColumn id="2585" xr3:uid="{F245741C-3EA7-462F-81EB-261948EDE593}" name="Column2582"/>
    <tableColumn id="2586" xr3:uid="{DE020034-DAA4-4018-BDCA-95449E2480CF}" name="Column2583"/>
    <tableColumn id="2587" xr3:uid="{E6844400-FA5E-4216-B01D-9872535F1A66}" name="Column2584"/>
    <tableColumn id="2588" xr3:uid="{EC734363-6644-4011-9549-83B325E66BCF}" name="Column2585"/>
    <tableColumn id="2589" xr3:uid="{B16F28C4-6B68-4AF9-94D8-C9AA0910D059}" name="Column2586"/>
    <tableColumn id="2590" xr3:uid="{80D380B3-33F7-4178-9333-C5E3879C4862}" name="Column2587"/>
    <tableColumn id="2591" xr3:uid="{5FF50068-BDB9-48A7-9D70-75FD124C987C}" name="Column2588"/>
    <tableColumn id="2592" xr3:uid="{5ADC934D-9A00-449E-822B-0298507D5DD6}" name="Column2589"/>
    <tableColumn id="2593" xr3:uid="{5A62C3AB-4CF0-48D9-90FC-F2A7ED294632}" name="Column2590"/>
    <tableColumn id="2594" xr3:uid="{7AA49A9D-120F-41D1-8E93-D21C82E4AE58}" name="Column2591"/>
    <tableColumn id="2595" xr3:uid="{02B03AE8-F966-4374-A84F-F8A2F6D362E4}" name="Column2592"/>
    <tableColumn id="2596" xr3:uid="{1BDC6965-2D07-4C83-9558-CDE842F57FB8}" name="Column2593"/>
    <tableColumn id="2597" xr3:uid="{8CD99F18-4147-41D8-9E58-6D0BC99497B7}" name="Column2594"/>
    <tableColumn id="2598" xr3:uid="{606C9F6C-10BF-4672-A5A0-F66320DCB71A}" name="Column2595"/>
    <tableColumn id="2599" xr3:uid="{F4DA5764-EAE5-46B7-9D7E-D124CA6DBF53}" name="Column2596"/>
    <tableColumn id="2600" xr3:uid="{FC1B348A-F0F6-4963-801C-28E3608EB164}" name="Column2597"/>
    <tableColumn id="2601" xr3:uid="{736193C3-1F20-41CB-9AD3-5390280BFC6C}" name="Column2598"/>
    <tableColumn id="2602" xr3:uid="{65DD1B11-2354-43FD-8C60-63E0919AB99C}" name="Column2599"/>
    <tableColumn id="2603" xr3:uid="{EFFF13C0-F793-4C6B-9165-FB57412409FE}" name="Column2600"/>
    <tableColumn id="2604" xr3:uid="{29D36077-47CA-43AD-8147-EE83492EF2B4}" name="Column2601"/>
    <tableColumn id="2605" xr3:uid="{FB608AE2-CF52-4E0D-B8EC-02A60A727728}" name="Column2602"/>
    <tableColumn id="2606" xr3:uid="{15A23DF7-D656-4AD9-A405-897FA9557F7E}" name="Column2603"/>
    <tableColumn id="2607" xr3:uid="{7D3DD70C-DF98-4FDA-92EF-FFFC991CC67B}" name="Column2604"/>
    <tableColumn id="2608" xr3:uid="{64B90FC2-A924-4206-95FD-2FEA71B259A7}" name="Column2605"/>
    <tableColumn id="2609" xr3:uid="{71572C8E-E6E9-4CFF-A9D1-389909E7D615}" name="Column2606"/>
    <tableColumn id="2610" xr3:uid="{27F31DFD-4754-4792-9FDF-3CCDBE2B677B}" name="Column2607"/>
    <tableColumn id="2611" xr3:uid="{96812FD0-8790-446C-A03A-BA392295E129}" name="Column2608"/>
    <tableColumn id="2612" xr3:uid="{0C331A48-D051-4B2C-A9A4-78F82123A67C}" name="Column2609"/>
    <tableColumn id="2613" xr3:uid="{AFA2E6DB-A6EA-4857-9C05-F8DE7564114D}" name="Column2610"/>
    <tableColumn id="2614" xr3:uid="{86C83060-A13E-4C7B-8ED3-BB19C153BAC6}" name="Column2611"/>
    <tableColumn id="2615" xr3:uid="{8CC9A629-B6DB-4201-99C9-530C01331E94}" name="Column2612"/>
    <tableColumn id="2616" xr3:uid="{135860F4-F557-4399-91D2-AE8F1EED4C2B}" name="Column2613"/>
    <tableColumn id="2617" xr3:uid="{4587EEA3-1AE5-4CEB-B07D-5C1BBFE4E859}" name="Column2614"/>
    <tableColumn id="2618" xr3:uid="{72DF1B39-4813-42F2-9599-3B63BEFABC74}" name="Column2615"/>
    <tableColumn id="2619" xr3:uid="{B10C1725-3CE3-4D62-ADDE-0D44349DAD05}" name="Column2616"/>
    <tableColumn id="2620" xr3:uid="{1757245E-B6FE-4627-8CD2-6BD1F2F1B27B}" name="Column2617"/>
    <tableColumn id="2621" xr3:uid="{3CAFDF93-B71F-47C1-9B1A-B2DE65746831}" name="Column2618"/>
    <tableColumn id="2622" xr3:uid="{535433D8-0AD6-4908-9293-21DA811353D5}" name="Column2619"/>
    <tableColumn id="2623" xr3:uid="{CD3B793F-2111-4688-873C-D445DA4F9B9D}" name="Column2620"/>
    <tableColumn id="2624" xr3:uid="{C23D281B-B158-460C-8215-77C35D1BB608}" name="Column2621"/>
    <tableColumn id="2625" xr3:uid="{76EE0068-EE9A-44C2-9A2F-8B98C7571419}" name="Column2622"/>
    <tableColumn id="2626" xr3:uid="{78A25736-C804-4489-B028-8541E53BA03E}" name="Column2623"/>
    <tableColumn id="2627" xr3:uid="{EEFBB85E-F105-4284-B437-A5E946B4BF8D}" name="Column2624"/>
    <tableColumn id="2628" xr3:uid="{80E06F1F-2B18-45F5-ACE1-5A88D353ADBE}" name="Column2625"/>
    <tableColumn id="2629" xr3:uid="{22A9DB6F-8BDA-4CFC-B176-7CB627EB50E3}" name="Column2626"/>
    <tableColumn id="2630" xr3:uid="{F8BC7720-950A-4018-8627-882A8D91203D}" name="Column2627"/>
    <tableColumn id="2631" xr3:uid="{302E98C7-CAB0-4855-B34F-8E078866F580}" name="Column2628"/>
    <tableColumn id="2632" xr3:uid="{3BEB7A20-F9DC-4441-AEC3-E20355F2A733}" name="Column2629"/>
    <tableColumn id="2633" xr3:uid="{DBBB4897-2436-401D-8954-E7B90C81C09B}" name="Column2630"/>
    <tableColumn id="2634" xr3:uid="{BDC3DFD2-3466-49BC-B801-1410B92A9C81}" name="Column2631"/>
    <tableColumn id="2635" xr3:uid="{272E36D3-AADF-4FCE-BDEE-E0B389F652BC}" name="Column2632"/>
    <tableColumn id="2636" xr3:uid="{803F9168-B95E-4B2D-A535-05393AF8A171}" name="Column2633"/>
    <tableColumn id="2637" xr3:uid="{A08D9A44-403B-4E5F-B99A-D9CF4585165E}" name="Column2634"/>
    <tableColumn id="2638" xr3:uid="{BFDB7D8F-F4E9-413C-94C1-4FCEA2302DB9}" name="Column2635"/>
    <tableColumn id="2639" xr3:uid="{C79755FD-F2B0-423C-A9E5-FB84AB4DE247}" name="Column2636"/>
    <tableColumn id="2640" xr3:uid="{C9DDA996-D03E-4AD7-8026-50790AC1A42E}" name="Column2637"/>
    <tableColumn id="2641" xr3:uid="{2EBD4874-2B63-4455-8950-268AD756DBC5}" name="Column2638"/>
    <tableColumn id="2642" xr3:uid="{A2DF0266-F1BC-4228-B45A-633F636EEFEE}" name="Column2639"/>
    <tableColumn id="2643" xr3:uid="{C24BE038-E027-4931-B8FC-CCBC89C92EBB}" name="Column2640"/>
    <tableColumn id="2644" xr3:uid="{7B1504F4-5847-4185-9AFA-05924FB8DB1C}" name="Column2641"/>
    <tableColumn id="2645" xr3:uid="{EC5FAD25-FB1A-432E-B816-F7B3AD4FAD77}" name="Column2642"/>
    <tableColumn id="2646" xr3:uid="{1AA8EABE-59F4-4174-9740-72FE8E1FF541}" name="Column2643"/>
    <tableColumn id="2647" xr3:uid="{BE1921A2-2139-4B3B-A6D6-94C9AAE46ADC}" name="Column2644"/>
    <tableColumn id="2648" xr3:uid="{62B580DF-4175-4E4C-B2BB-1640446AD670}" name="Column2645"/>
    <tableColumn id="2649" xr3:uid="{AB14C180-3DA6-4B05-87A2-5414E142311C}" name="Column2646"/>
    <tableColumn id="2650" xr3:uid="{5A4D6768-FD56-4FB4-934B-D05E014095B5}" name="Column2647"/>
    <tableColumn id="2651" xr3:uid="{F667A718-D793-4E1E-88A8-B33B027DB592}" name="Column2648"/>
    <tableColumn id="2652" xr3:uid="{8722DDC0-DBD1-4B93-829A-D8DC93BAD45D}" name="Column2649"/>
    <tableColumn id="2653" xr3:uid="{F69A330B-45A0-4CA0-9254-FE15FE3C8C54}" name="Column2650"/>
    <tableColumn id="2654" xr3:uid="{5540CF73-0825-42DD-AD74-93EFB597C8E8}" name="Column2651"/>
    <tableColumn id="2655" xr3:uid="{CC90C2E8-90C1-448A-B82E-D181B5EA93FE}" name="Column2652"/>
    <tableColumn id="2656" xr3:uid="{956FE385-75E1-4CBF-AAC7-1E4C71EF529A}" name="Column2653"/>
    <tableColumn id="2657" xr3:uid="{7BDD1C0C-9579-4756-8CBD-D69893215804}" name="Column2654"/>
    <tableColumn id="2658" xr3:uid="{C3C46C19-E1AA-4513-81A0-018FBA20048A}" name="Column2655"/>
    <tableColumn id="2659" xr3:uid="{5CBE85B8-FE8E-4D78-A87F-CDB89878030A}" name="Column2656"/>
    <tableColumn id="2660" xr3:uid="{42D5FF0E-8103-4063-A09D-4B480817EB64}" name="Column2657"/>
    <tableColumn id="2661" xr3:uid="{5E55730A-7627-45D4-85C2-A3BEC4CA4F0D}" name="Column2658"/>
    <tableColumn id="2662" xr3:uid="{F3ECB7FF-D872-48FA-9BF6-E7CDFFFC9CDF}" name="Column2659"/>
    <tableColumn id="2663" xr3:uid="{FDF11563-B2AC-4D73-9DDA-C800D542F19D}" name="Column2660"/>
    <tableColumn id="2664" xr3:uid="{2FA2AA7E-348A-48F9-8CD4-6B818792B528}" name="Column2661"/>
    <tableColumn id="2665" xr3:uid="{A8D89C44-895B-44B5-A9E3-05B2B250C17C}" name="Column2662"/>
    <tableColumn id="2666" xr3:uid="{54C5781D-489E-47D7-BBC8-4BC71AF025C3}" name="Column2663"/>
    <tableColumn id="2667" xr3:uid="{D9180C88-AB78-4069-966D-8C37BADB2057}" name="Column2664"/>
    <tableColumn id="2668" xr3:uid="{CA1113B9-FC5F-41EE-B3A2-9E863D27EB13}" name="Column2665"/>
    <tableColumn id="2669" xr3:uid="{7541393C-9AE0-48A1-8AE8-33CCEF2DBA78}" name="Column2666"/>
    <tableColumn id="2670" xr3:uid="{153D15B9-2547-4BD6-961F-04E23C7C59E2}" name="Column2667"/>
    <tableColumn id="2671" xr3:uid="{667569CB-AA1B-4379-B6E5-3DE1D5132B42}" name="Column2668"/>
    <tableColumn id="2672" xr3:uid="{03A406CF-5C71-4AE8-BB27-3D68B72CDABD}" name="Column2669"/>
    <tableColumn id="2673" xr3:uid="{B4B80913-5B3E-49C4-A9E5-71202B075B91}" name="Column2670"/>
    <tableColumn id="2674" xr3:uid="{C0B27A01-5032-413E-9A1B-9D9918E7C752}" name="Column2671"/>
    <tableColumn id="2675" xr3:uid="{9D24033C-F053-4CC6-9CEB-AAAF949B2067}" name="Column2672"/>
    <tableColumn id="2676" xr3:uid="{98C723E0-540D-4233-906F-A3D1A173184E}" name="Column2673"/>
    <tableColumn id="2677" xr3:uid="{FF249AC7-B078-460D-B42F-B87AD0B55928}" name="Column2674"/>
    <tableColumn id="2678" xr3:uid="{6E3A23B7-CF38-4352-9E39-871FAAA39E2C}" name="Column2675"/>
    <tableColumn id="2679" xr3:uid="{AB089DEA-24F7-4BF4-BF1D-876BD081B006}" name="Column2676"/>
    <tableColumn id="2680" xr3:uid="{E5435809-8669-4C6A-98F1-A96241D64A29}" name="Column2677"/>
    <tableColumn id="2681" xr3:uid="{2E172A3A-BEC6-45C4-9227-81BDB1F5DFB8}" name="Column2678"/>
    <tableColumn id="2682" xr3:uid="{76D1C2A3-1C8F-4C6A-BC28-02A365DF72D9}" name="Column2679"/>
    <tableColumn id="2683" xr3:uid="{C9C76B99-A03C-4FEC-B91A-E6B59E151314}" name="Column2680"/>
    <tableColumn id="2684" xr3:uid="{2BFF0B38-3E7A-483D-8339-C0423C81AF07}" name="Column2681"/>
    <tableColumn id="2685" xr3:uid="{6669815D-EF25-44C2-B947-D65C1BEE6F13}" name="Column2682"/>
    <tableColumn id="2686" xr3:uid="{4B08524F-AB2F-47FC-B663-3CB7CC86F53C}" name="Column2683"/>
    <tableColumn id="2687" xr3:uid="{F8C5675A-656D-4902-9112-38B4F8B412A9}" name="Column2684"/>
    <tableColumn id="2688" xr3:uid="{61F484FE-592E-4071-BCCF-0991DB70A222}" name="Column2685"/>
    <tableColumn id="2689" xr3:uid="{3598DAD2-607F-4BE2-BDB2-D12C9B3C56F7}" name="Column2686"/>
    <tableColumn id="2690" xr3:uid="{BCFE2131-5587-4AD3-A1BF-2A4B4E28FAB8}" name="Column2687"/>
    <tableColumn id="2691" xr3:uid="{A79B4A76-ABCC-4C26-984E-2AB76D7B03C4}" name="Column2688"/>
    <tableColumn id="2692" xr3:uid="{C37EF33B-4063-4461-B109-CD08E596EB95}" name="Column2689"/>
    <tableColumn id="2693" xr3:uid="{67D67629-5AB8-4D2F-9A00-11BE6D53DDA0}" name="Column2690"/>
    <tableColumn id="2694" xr3:uid="{D9D1F114-AB08-4EE4-A501-A3C437822692}" name="Column2691"/>
    <tableColumn id="2695" xr3:uid="{9170BD20-D9A2-4C7F-9CC8-7A589F74676F}" name="Column2692"/>
    <tableColumn id="2696" xr3:uid="{6BE1B090-692D-4975-836A-20AE14C358FB}" name="Column2693"/>
    <tableColumn id="2697" xr3:uid="{C2EA5442-0A10-4016-B926-3EC74CF21196}" name="Column2694"/>
    <tableColumn id="2698" xr3:uid="{87C38BEC-6784-44B4-88A1-270E1F3D37DA}" name="Column2695"/>
    <tableColumn id="2699" xr3:uid="{ACFBEBA0-6988-4D19-88AA-49901EA80C6D}" name="Column2696"/>
    <tableColumn id="2700" xr3:uid="{CF4D7F6A-E140-4E45-84C0-DF5050B2C89C}" name="Column2697"/>
    <tableColumn id="2701" xr3:uid="{72FF0CC7-5855-4DC6-9AA5-5616351DDDE6}" name="Column2698"/>
    <tableColumn id="2702" xr3:uid="{CCE12937-1F96-4510-97ED-3DEC40BA2435}" name="Column2699"/>
    <tableColumn id="2703" xr3:uid="{C51B480C-F752-4F9E-84FC-AD02D10097C2}" name="Column2700"/>
    <tableColumn id="2704" xr3:uid="{FF4B8C3D-E498-4D1B-8571-C20AF8369B80}" name="Column2701"/>
    <tableColumn id="2705" xr3:uid="{1C3E8968-228D-48AE-A085-3E93A78E26A5}" name="Column2702"/>
    <tableColumn id="2706" xr3:uid="{4986024A-9B4A-442D-B593-C31B99668E97}" name="Column2703"/>
    <tableColumn id="2707" xr3:uid="{8BC6065E-E757-4F40-9F26-2399E805BDB6}" name="Column2704"/>
    <tableColumn id="2708" xr3:uid="{B6FD2D39-9631-4DCF-8192-8B501C436C11}" name="Column2705"/>
    <tableColumn id="2709" xr3:uid="{53AD6C28-45EC-4607-8293-24895AFEEEBA}" name="Column2706"/>
    <tableColumn id="2710" xr3:uid="{F4197541-9DFA-40C0-BB8E-85D51CCF72FD}" name="Column2707"/>
    <tableColumn id="2711" xr3:uid="{E518DFF4-91E6-4EBD-B7F9-433069A08938}" name="Column2708"/>
    <tableColumn id="2712" xr3:uid="{3CD5F05B-23F5-4029-AE8C-1A6A99BE6B62}" name="Column2709"/>
    <tableColumn id="2713" xr3:uid="{BA3C976E-65D4-4A7A-A9A3-3796553D5187}" name="Column2710"/>
    <tableColumn id="2714" xr3:uid="{828EC40E-8C44-468A-976F-A5994A9C051F}" name="Column2711"/>
    <tableColumn id="2715" xr3:uid="{CE68B19C-8728-4179-B15E-346AA1B090D9}" name="Column2712"/>
    <tableColumn id="2716" xr3:uid="{83E93AD9-DE62-40D3-977A-D42DB0D32D9C}" name="Column2713"/>
    <tableColumn id="2717" xr3:uid="{03779FDF-C26E-4744-A141-39769A0F653A}" name="Column2714"/>
    <tableColumn id="2718" xr3:uid="{D89503B2-BD13-49C5-BC5F-AC6BF699E090}" name="Column2715"/>
    <tableColumn id="2719" xr3:uid="{AEE99B58-6B71-47E3-BF6D-1949A5FCCFF6}" name="Column2716"/>
    <tableColumn id="2720" xr3:uid="{FD61DF69-9B72-46A9-A2BB-BBA3B64ECD10}" name="Column2717"/>
    <tableColumn id="2721" xr3:uid="{8F863849-0C26-4486-88E7-8EF523E94D4A}" name="Column2718"/>
    <tableColumn id="2722" xr3:uid="{2897E903-DC3E-4005-ADB1-E314E90E3830}" name="Column2719"/>
    <tableColumn id="2723" xr3:uid="{E08562F4-B57E-4DEA-A6D4-075E88A7B2D2}" name="Column2720"/>
    <tableColumn id="2724" xr3:uid="{5BEC21EE-14C3-4066-9515-2F7EDA762001}" name="Column2721"/>
    <tableColumn id="2725" xr3:uid="{4F1A387C-BC41-4B38-9309-BD8ACC7C5762}" name="Column2722"/>
    <tableColumn id="2726" xr3:uid="{90909F7F-0B1F-465E-A46F-0AF1F49EFAD7}" name="Column2723"/>
    <tableColumn id="2727" xr3:uid="{60098CC4-B858-45DF-848A-AF8CFB836B54}" name="Column2724"/>
    <tableColumn id="2728" xr3:uid="{DBB68A2F-6130-4A79-8135-A0046453C0FB}" name="Column2725"/>
    <tableColumn id="2729" xr3:uid="{136D8272-B255-4989-8112-7DE4F31BAA6B}" name="Column2726"/>
    <tableColumn id="2730" xr3:uid="{2F8C4569-606D-459D-9BF6-BE648C4436D3}" name="Column2727"/>
    <tableColumn id="2731" xr3:uid="{9246648E-7861-4E0F-B6E8-150299139102}" name="Column2728"/>
    <tableColumn id="2732" xr3:uid="{1A21A0CD-2F84-4438-B01B-B296F8546454}" name="Column2729"/>
    <tableColumn id="2733" xr3:uid="{EB1805D1-DCCF-431C-B730-496F231602FA}" name="Column2730"/>
    <tableColumn id="2734" xr3:uid="{8980E80F-CDF4-443C-9001-4113A52602F1}" name="Column2731"/>
    <tableColumn id="2735" xr3:uid="{1867CE3E-48A1-4BB9-A77C-F39ACB91D515}" name="Column2732"/>
    <tableColumn id="2736" xr3:uid="{EF93B869-A197-4E26-AFD8-6321E62BC437}" name="Column2733"/>
    <tableColumn id="2737" xr3:uid="{031BBEA3-340A-476A-B37A-BFF71C609FA7}" name="Column2734"/>
    <tableColumn id="2738" xr3:uid="{E437FA7C-2792-44F6-854F-C18F35B886A1}" name="Column2735"/>
    <tableColumn id="2739" xr3:uid="{525234A0-E36A-4998-A9EA-5774AF074A1A}" name="Column2736"/>
    <tableColumn id="2740" xr3:uid="{344E7070-DFDA-4B79-8D05-74C6D71C1F3B}" name="Column2737"/>
    <tableColumn id="2741" xr3:uid="{1281A59C-CC30-460C-8B6C-E7423B051891}" name="Column2738"/>
    <tableColumn id="2742" xr3:uid="{46EF36DA-5598-4219-A307-567F90885271}" name="Column2739"/>
    <tableColumn id="2743" xr3:uid="{05C21470-C4DD-4E6A-879B-01466F152F56}" name="Column2740"/>
    <tableColumn id="2744" xr3:uid="{E8671305-348D-4C93-A486-DFF3F986F6EE}" name="Column2741"/>
    <tableColumn id="2745" xr3:uid="{EE2DC372-5479-4D2E-9890-45DCD0222299}" name="Column2742"/>
    <tableColumn id="2746" xr3:uid="{95653969-D7A8-4AD5-9E15-122C4E1E165F}" name="Column2743"/>
    <tableColumn id="2747" xr3:uid="{5558A34B-C41A-4480-ACB6-1B8F00D62156}" name="Column2744"/>
    <tableColumn id="2748" xr3:uid="{176C01E6-7A6E-431F-B142-6CEAC79C79AE}" name="Column2745"/>
    <tableColumn id="2749" xr3:uid="{4363ACB8-5B28-47C9-A773-BC16A5ACF008}" name="Column2746"/>
    <tableColumn id="2750" xr3:uid="{7001746A-4FD1-4E2E-A19C-BB116C49D033}" name="Column2747"/>
    <tableColumn id="2751" xr3:uid="{AEF15E54-6330-4584-890B-86BD3FE88784}" name="Column2748"/>
    <tableColumn id="2752" xr3:uid="{311E0F63-999A-46E2-BC1E-C7B6F6125667}" name="Column2749"/>
    <tableColumn id="2753" xr3:uid="{6C7D4CB9-B422-4D2F-9680-0F71C462659E}" name="Column2750"/>
    <tableColumn id="2754" xr3:uid="{4077F452-6C6E-4E20-8231-FF648203BCF8}" name="Column2751"/>
    <tableColumn id="2755" xr3:uid="{31EEC605-E202-44F4-8ABE-439E4A9F2E00}" name="Column2752"/>
    <tableColumn id="2756" xr3:uid="{E1267F44-E036-49A6-A7AE-B51E8B66FC6C}" name="Column2753"/>
    <tableColumn id="2757" xr3:uid="{34809439-B121-4708-939D-8B972D18B588}" name="Column2754"/>
    <tableColumn id="2758" xr3:uid="{5E64548C-6930-4091-963F-D6105250A847}" name="Column2755"/>
    <tableColumn id="2759" xr3:uid="{416CBEC9-01D8-4DAB-A146-3BDD87AAB9DB}" name="Column2756"/>
    <tableColumn id="2760" xr3:uid="{24C98BC8-0A07-4385-BF36-D02E4ABDD216}" name="Column2757"/>
    <tableColumn id="2761" xr3:uid="{950EC52A-B71A-45F4-B0B5-35AFA57584A4}" name="Column2758"/>
    <tableColumn id="2762" xr3:uid="{61956038-EB89-4EE8-B837-78D7102C9FE4}" name="Column2759"/>
    <tableColumn id="2763" xr3:uid="{EDE19423-4F0C-4784-82E7-645763BF3516}" name="Column2760"/>
    <tableColumn id="2764" xr3:uid="{FA1A7C9E-8C29-43AA-88B1-DD180122C304}" name="Column2761"/>
    <tableColumn id="2765" xr3:uid="{286D637B-0B39-4EC9-9785-037F3BEEABB0}" name="Column2762"/>
    <tableColumn id="2766" xr3:uid="{98EC1CA7-326B-4A9A-8F30-C20C75CEBBBE}" name="Column2763"/>
    <tableColumn id="2767" xr3:uid="{E77CC2F7-94DE-483C-89E7-06D3FA1FD4FF}" name="Column2764"/>
    <tableColumn id="2768" xr3:uid="{C4F311FC-6ED3-49C9-A9D4-50A2AE0BA692}" name="Column2765"/>
    <tableColumn id="2769" xr3:uid="{B5D4BE40-5837-4A3B-994C-2E4157A3EA7E}" name="Column2766"/>
    <tableColumn id="2770" xr3:uid="{57CB76BA-B28F-42CA-975D-AEDA85197827}" name="Column2767"/>
    <tableColumn id="2771" xr3:uid="{CDF4DC47-FC99-4050-B4C1-C0C3611749A0}" name="Column2768"/>
    <tableColumn id="2772" xr3:uid="{E355E577-D48E-4B59-968A-70C7B6CBC431}" name="Column2769"/>
    <tableColumn id="2773" xr3:uid="{B8B65229-EBB2-40B6-8CE5-572050EB9558}" name="Column2770"/>
    <tableColumn id="2774" xr3:uid="{B201F706-0C44-488E-9F34-C9CAADADBAC4}" name="Column2771"/>
    <tableColumn id="2775" xr3:uid="{CBAD7BDC-FF0E-446D-A6D7-2BB6AB7305D1}" name="Column2772"/>
    <tableColumn id="2776" xr3:uid="{BEADE48E-1A50-4CA7-B34D-83B0D67F0B18}" name="Column2773"/>
    <tableColumn id="2777" xr3:uid="{12F74E37-7908-4FA4-B5A6-2CDA5A413462}" name="Column2774"/>
    <tableColumn id="2778" xr3:uid="{48A95B6D-81F6-46FF-8A64-CB1E9AC25000}" name="Column2775"/>
    <tableColumn id="2779" xr3:uid="{51FC02D6-C413-44E3-A869-B1DF90B19607}" name="Column2776"/>
    <tableColumn id="2780" xr3:uid="{C07B494E-DCBE-4552-A23C-0281CC2A1014}" name="Column2777"/>
    <tableColumn id="2781" xr3:uid="{BD5E6241-F5F5-417B-B4CF-8075A2E55911}" name="Column2778"/>
    <tableColumn id="2782" xr3:uid="{41622802-B6D8-4691-B835-AC5C6EF67DDA}" name="Column2779"/>
    <tableColumn id="2783" xr3:uid="{F2DDAD34-E88E-4306-99AE-4136EFB639FA}" name="Column2780"/>
    <tableColumn id="2784" xr3:uid="{9B3560D3-ED2C-49CB-AFDA-9DE6288D9A96}" name="Column2781"/>
    <tableColumn id="2785" xr3:uid="{70F6ECD0-B61B-4E08-86BF-36A80E1C5252}" name="Column2782"/>
    <tableColumn id="2786" xr3:uid="{E288F20E-1E59-419A-ABBD-25DB29D9B183}" name="Column2783"/>
    <tableColumn id="2787" xr3:uid="{1A842F23-8C06-4A77-BF2F-5EF1A1AF9A6B}" name="Column2784"/>
    <tableColumn id="2788" xr3:uid="{B3C628CD-E611-46EE-B7EB-19F04A362F1A}" name="Column2785"/>
    <tableColumn id="2789" xr3:uid="{555DA562-27DD-4E55-8385-9F9FF88E4FFA}" name="Column2786"/>
    <tableColumn id="2790" xr3:uid="{0CBDFF01-E5C1-4D15-AE5F-38C98442E5A7}" name="Column2787"/>
    <tableColumn id="2791" xr3:uid="{4B3ECBCF-0474-4012-A6AC-206FA24F88FE}" name="Column2788"/>
    <tableColumn id="2792" xr3:uid="{5548E3CB-91C1-4FFE-9196-5C7869A6208C}" name="Column2789"/>
    <tableColumn id="2793" xr3:uid="{2F8B36A7-2648-4E2B-B5AE-B293D5F4EFBC}" name="Column2790"/>
    <tableColumn id="2794" xr3:uid="{33C285A1-61DB-467C-AC74-DC24FF5DD6B3}" name="Column2791"/>
    <tableColumn id="2795" xr3:uid="{ADCC5E92-C7B6-4B05-8935-AF8569159D8C}" name="Column2792"/>
    <tableColumn id="2796" xr3:uid="{FED1541B-CCFC-40B2-8C3B-F0DA85434FA3}" name="Column2793"/>
    <tableColumn id="2797" xr3:uid="{5A9B1B2E-9C83-4448-BA25-A040D7971A5C}" name="Column2794"/>
    <tableColumn id="2798" xr3:uid="{58B7AA75-8743-407C-9419-A304E4DF657E}" name="Column2795"/>
    <tableColumn id="2799" xr3:uid="{52D52A69-590F-4071-9DE2-23BBC06A8DD6}" name="Column2796"/>
    <tableColumn id="2800" xr3:uid="{F3EC085E-493E-4DB3-A73D-64827A62E951}" name="Column2797"/>
    <tableColumn id="2801" xr3:uid="{97F3245A-A015-4293-A228-0DEA3B703405}" name="Column2798"/>
    <tableColumn id="2802" xr3:uid="{FAB7BE3A-853D-4709-9427-EBB909D52B03}" name="Column2799"/>
    <tableColumn id="2803" xr3:uid="{85228CBA-C31E-4AF0-B162-C3751E753CE6}" name="Column2800"/>
    <tableColumn id="2804" xr3:uid="{C21F4DF4-816B-4B0C-984D-3ED8F25C4604}" name="Column2801"/>
    <tableColumn id="2805" xr3:uid="{AF3332C8-2B45-413E-83E4-9D2E3DF2F255}" name="Column2802"/>
    <tableColumn id="2806" xr3:uid="{C53203E3-378D-40D5-A8AA-610E6B87118D}" name="Column2803"/>
    <tableColumn id="2807" xr3:uid="{4326488D-2188-423F-A769-B4C88896309D}" name="Column2804"/>
    <tableColumn id="2808" xr3:uid="{DBE18BE6-082C-4222-B135-48D557E98C0E}" name="Column2805"/>
    <tableColumn id="2809" xr3:uid="{D508D47E-9D1E-47D1-B47C-36FE4C1DB1DF}" name="Column2806"/>
    <tableColumn id="2810" xr3:uid="{D0966AA6-CE8F-456C-8EC1-5E86210D2E87}" name="Column2807"/>
    <tableColumn id="2811" xr3:uid="{3825E497-33E0-4571-89E4-4154D5A7DC72}" name="Column2808"/>
    <tableColumn id="2812" xr3:uid="{633925A6-B549-4794-A514-1C8948CBFE79}" name="Column2809"/>
    <tableColumn id="2813" xr3:uid="{4F15A916-EA13-46E2-8325-E27A4D3799AF}" name="Column2810"/>
    <tableColumn id="2814" xr3:uid="{5971A507-D1EE-4651-952B-E26F87BAA6FC}" name="Column2811"/>
    <tableColumn id="2815" xr3:uid="{89FD7908-E2E3-4D80-BF67-3D5FAE4F9A80}" name="Column2812"/>
    <tableColumn id="2816" xr3:uid="{B2F8C420-770F-4F0C-B9A7-D4E71217E913}" name="Column2813"/>
    <tableColumn id="2817" xr3:uid="{17AF7152-857A-4F7E-B3F7-03A5FAEA4D89}" name="Column2814"/>
    <tableColumn id="2818" xr3:uid="{6780246F-8344-47C6-B0AB-0DAB02BFEA2F}" name="Column2815"/>
    <tableColumn id="2819" xr3:uid="{451E5994-E1F8-45B6-B447-F925020CCCF9}" name="Column2816"/>
    <tableColumn id="2820" xr3:uid="{88849822-7A97-4F4D-AC0C-2CFFA9A5C93D}" name="Column2817"/>
    <tableColumn id="2821" xr3:uid="{47150D1B-0FB8-4020-86D5-78A8F176FC49}" name="Column2818"/>
    <tableColumn id="2822" xr3:uid="{FED5706A-FA17-4CF1-BC20-74A21596E096}" name="Column2819"/>
    <tableColumn id="2823" xr3:uid="{1563DB86-4AE7-4121-B199-1631728734EF}" name="Column2820"/>
    <tableColumn id="2824" xr3:uid="{4037AFAD-16ED-472D-B48A-078F4DB1E3FD}" name="Column2821"/>
    <tableColumn id="2825" xr3:uid="{37319BE2-6991-4218-BB8A-55D514C18A78}" name="Column2822"/>
    <tableColumn id="2826" xr3:uid="{4A68B519-3039-4F41-9835-321603CF4325}" name="Column2823"/>
    <tableColumn id="2827" xr3:uid="{BD3D67C7-E381-4EE5-85E6-FE6FC5CF7932}" name="Column2824"/>
    <tableColumn id="2828" xr3:uid="{A824C7D9-8027-47BF-A277-539255A77FC2}" name="Column2825"/>
    <tableColumn id="2829" xr3:uid="{744E06E6-8630-4459-823A-33B2967AE53E}" name="Column2826"/>
    <tableColumn id="2830" xr3:uid="{EFE09998-9E74-4DDB-A9AB-5C37CB5C3B9C}" name="Column2827"/>
    <tableColumn id="2831" xr3:uid="{5A366D64-586F-45B5-99FB-DE5D38F65CC8}" name="Column2828"/>
    <tableColumn id="2832" xr3:uid="{DFADB47B-215C-43E0-8E3E-F3A2533E083E}" name="Column2829"/>
    <tableColumn id="2833" xr3:uid="{EE2A147B-4DEE-426C-BDEE-EE2C3198181C}" name="Column2830"/>
    <tableColumn id="2834" xr3:uid="{7F06C904-F2D8-4962-B379-A3A3352E43F9}" name="Column2831"/>
    <tableColumn id="2835" xr3:uid="{7E110559-ABC5-431C-8DD7-8099D79A9AEA}" name="Column2832"/>
    <tableColumn id="2836" xr3:uid="{1B2517E6-19E7-4E8B-BF70-D2E3FC533ED2}" name="Column2833"/>
    <tableColumn id="2837" xr3:uid="{225760AD-563C-4739-9179-32D303A04E27}" name="Column2834"/>
    <tableColumn id="2838" xr3:uid="{D6AB4926-A46A-4BDB-A409-ECF0A4FF19B2}" name="Column2835"/>
    <tableColumn id="2839" xr3:uid="{900B1C23-B64E-4339-8D26-C3A80150A306}" name="Column2836"/>
    <tableColumn id="2840" xr3:uid="{BCA2CBCF-2BDD-457C-995C-2C5DC521579E}" name="Column2837"/>
    <tableColumn id="2841" xr3:uid="{D8D8981A-EE59-40B1-BBD4-21C8732FD5AF}" name="Column2838"/>
    <tableColumn id="2842" xr3:uid="{29D680BF-251C-48AD-ADCF-65CB0A2C5CA7}" name="Column2839"/>
    <tableColumn id="2843" xr3:uid="{A8770B22-6372-47F5-9F74-D3C9233EC98A}" name="Column2840"/>
    <tableColumn id="2844" xr3:uid="{281D2EDA-670D-4DCB-986D-2D9AB4889A92}" name="Column2841"/>
    <tableColumn id="2845" xr3:uid="{B1B5ACD6-9BC2-4DF7-8A63-53FCE8D79231}" name="Column2842"/>
    <tableColumn id="2846" xr3:uid="{7260D2DD-8E76-4955-91C3-D7CB7109B623}" name="Column2843"/>
    <tableColumn id="2847" xr3:uid="{F0A3ADB7-E7FC-4622-8F99-D87DD0830AD1}" name="Column2844"/>
    <tableColumn id="2848" xr3:uid="{660A6094-833E-4343-8EDC-4656CD0A0EE5}" name="Column2845"/>
    <tableColumn id="2849" xr3:uid="{365D88AE-9971-4DFE-A440-3966641A14BF}" name="Column2846"/>
    <tableColumn id="2850" xr3:uid="{AF316075-984E-450D-9DF3-16ABEF78EB84}" name="Column2847"/>
    <tableColumn id="2851" xr3:uid="{806A2123-29C7-4369-89E6-BDDD7FD9C629}" name="Column2848"/>
    <tableColumn id="2852" xr3:uid="{0B7C2823-5638-457B-8662-CB744F885D32}" name="Column2849"/>
    <tableColumn id="2853" xr3:uid="{E747617E-F4CC-4D9D-83E7-EAB536951C84}" name="Column2850"/>
    <tableColumn id="2854" xr3:uid="{AE21474E-9407-45AE-9ED1-00271332F706}" name="Column2851"/>
    <tableColumn id="2855" xr3:uid="{B0962C1E-BD1F-4BDD-A403-689E5E7E24FA}" name="Column2852"/>
    <tableColumn id="2856" xr3:uid="{2AF5E2DF-5222-42E8-A784-34CD36A348F8}" name="Column2853"/>
    <tableColumn id="2857" xr3:uid="{7498B8F3-40DB-48E1-BDE2-600F75E44136}" name="Column2854"/>
    <tableColumn id="2858" xr3:uid="{24444519-1EE3-40D9-A719-4DF869DCE873}" name="Column2855"/>
    <tableColumn id="2859" xr3:uid="{0F11C1B5-5C08-48FB-A5FB-64FD2757BD93}" name="Column2856"/>
    <tableColumn id="2860" xr3:uid="{9EA68459-70E7-43EE-B605-7A4CFA6F4047}" name="Column2857"/>
    <tableColumn id="2861" xr3:uid="{03D7D2A4-AFEC-4DC3-8B94-5AE46B4743CC}" name="Column2858"/>
    <tableColumn id="2862" xr3:uid="{87E56DC0-AE6E-47B3-8040-360F62A28BE2}" name="Column2859"/>
    <tableColumn id="2863" xr3:uid="{C63686C2-B301-43A1-B929-D1FC5299E79B}" name="Column2860"/>
    <tableColumn id="2864" xr3:uid="{EC80E5DC-5AA4-4116-A7D5-D34159EB99EE}" name="Column2861"/>
    <tableColumn id="2865" xr3:uid="{958F57CA-2382-47B2-9CF6-92AA2BF93BED}" name="Column2862"/>
    <tableColumn id="2866" xr3:uid="{E200C611-720F-4ACC-9BB5-836596E5870F}" name="Column2863"/>
    <tableColumn id="2867" xr3:uid="{18412B99-4045-4E86-AD34-6B064E3EC047}" name="Column2864"/>
    <tableColumn id="2868" xr3:uid="{4C58B850-24C4-415B-BAAB-2FA5C6083EEB}" name="Column2865"/>
    <tableColumn id="2869" xr3:uid="{C580348B-88B1-4162-A8F0-0E8033BF4A84}" name="Column2866"/>
    <tableColumn id="2870" xr3:uid="{4AE6E38A-C758-42BD-A53E-1370B6152DFC}" name="Column2867"/>
    <tableColumn id="2871" xr3:uid="{217DAF0C-8279-4B2E-8458-13426C74DED4}" name="Column2868"/>
    <tableColumn id="2872" xr3:uid="{ACDA751C-A2BF-4C14-945E-509DEC98C495}" name="Column2869"/>
    <tableColumn id="2873" xr3:uid="{515C6B98-0332-46AE-8AA6-BF888D042AC1}" name="Column2870"/>
    <tableColumn id="2874" xr3:uid="{97951155-F904-4C50-93E9-E1D86EDA9731}" name="Column2871"/>
    <tableColumn id="2875" xr3:uid="{87A1E199-B5CF-450D-A323-DDF3DF95980D}" name="Column2872"/>
    <tableColumn id="2876" xr3:uid="{2633D09C-CE7A-44CC-B34A-65ADE685C9DA}" name="Column2873"/>
    <tableColumn id="2877" xr3:uid="{E2BC6041-F849-46F4-BC81-F5FB62E147B4}" name="Column2874"/>
    <tableColumn id="2878" xr3:uid="{9C7C7792-6DF2-4DDA-B510-85980AD2AF78}" name="Column2875"/>
    <tableColumn id="2879" xr3:uid="{31C7FBF6-D8EC-4E06-99C2-4F08FB02F691}" name="Column2876"/>
    <tableColumn id="2880" xr3:uid="{E0D679EC-A13E-4F7A-9CBE-1C943AFAE23E}" name="Column2877"/>
    <tableColumn id="2881" xr3:uid="{52613128-C935-4B62-8CBB-1B85C1EC7DD8}" name="Column2878"/>
    <tableColumn id="2882" xr3:uid="{1340DA23-8FEE-4FB3-ABB7-5CB10E0990CF}" name="Column2879"/>
    <tableColumn id="2883" xr3:uid="{49AFB860-B777-4509-9864-3C0827FB2C1D}" name="Column2880"/>
    <tableColumn id="2884" xr3:uid="{6B25662A-776D-46AD-B8F8-D3A0C6A7CB34}" name="Column2881"/>
    <tableColumn id="2885" xr3:uid="{39299C3B-83CB-423D-B243-0A121A4AC7A9}" name="Column2882"/>
    <tableColumn id="2886" xr3:uid="{D70C33DB-F2AF-4D0E-8736-9F2BF38615D3}" name="Column2883"/>
    <tableColumn id="2887" xr3:uid="{F4C93828-00F8-4A89-ACA2-117D4079A0F9}" name="Column2884"/>
    <tableColumn id="2888" xr3:uid="{B4AE835A-78E1-448B-86E0-059609DD16E5}" name="Column2885"/>
    <tableColumn id="2889" xr3:uid="{970C6726-1D72-4690-A540-51B1C82BD484}" name="Column2886"/>
    <tableColumn id="2890" xr3:uid="{28B1CC00-6A64-427C-99C6-9DC44A9BC3E3}" name="Column2887"/>
    <tableColumn id="2891" xr3:uid="{E9AD91EE-0C71-4160-BE6C-3F226E7EE094}" name="Column2888"/>
    <tableColumn id="2892" xr3:uid="{52D0E40D-11AD-4059-8D2A-584FC2201F51}" name="Column2889"/>
    <tableColumn id="2893" xr3:uid="{10D5E0D0-39E3-45EA-ACFA-EBC9D2E70158}" name="Column2890"/>
    <tableColumn id="2894" xr3:uid="{E18BC9DC-59DF-4BEB-9D13-FD993E344AF5}" name="Column2891"/>
    <tableColumn id="2895" xr3:uid="{B2BB3A9E-29B5-4DCA-BE7B-682E9C387EC0}" name="Column2892"/>
    <tableColumn id="2896" xr3:uid="{99251B77-FCD5-44A0-BAD2-B0416FD9B6D6}" name="Column2893"/>
    <tableColumn id="2897" xr3:uid="{78E66AA1-564F-4E56-A6DA-1E6932F7D4D3}" name="Column2894"/>
    <tableColumn id="2898" xr3:uid="{C9702648-186C-452D-B91A-A9D7C4A275EF}" name="Column2895"/>
    <tableColumn id="2899" xr3:uid="{632991E8-B88D-416D-963F-5BC8B9F0B470}" name="Column2896"/>
    <tableColumn id="2900" xr3:uid="{C40EA428-EFA9-42E5-A8EF-A655B37C5CA4}" name="Column2897"/>
    <tableColumn id="2901" xr3:uid="{93A293FF-DCC2-4A44-A68B-B253488842ED}" name="Column2898"/>
    <tableColumn id="2902" xr3:uid="{2BF0BBE3-25E4-40B0-B996-60C900DAC04D}" name="Column2899"/>
    <tableColumn id="2903" xr3:uid="{B5308D2C-9F86-427A-A8D5-A28C29A05F42}" name="Column2900"/>
    <tableColumn id="2904" xr3:uid="{2EF248A5-A07C-4376-ADC1-1530BF434F2B}" name="Column2901"/>
    <tableColumn id="2905" xr3:uid="{E682C8F2-7E80-4870-B9A1-98A6F280E4FC}" name="Column2902"/>
    <tableColumn id="2906" xr3:uid="{09DE65EE-6EEF-45DF-A2DF-61267BB1CF75}" name="Column2903"/>
    <tableColumn id="2907" xr3:uid="{5CC3AB7F-E424-42A0-978C-BEDDDE7EFBF0}" name="Column2904"/>
    <tableColumn id="2908" xr3:uid="{335F2B80-9B58-4C41-860E-34BAA77177BC}" name="Column2905"/>
    <tableColumn id="2909" xr3:uid="{290F857B-5DDB-40EC-9123-545CCB011BD5}" name="Column2906"/>
    <tableColumn id="2910" xr3:uid="{07F436DF-23A1-46E2-9F17-F4727A9EC24B}" name="Column2907"/>
    <tableColumn id="2911" xr3:uid="{58817B06-0459-4456-9605-DA40D3552BD7}" name="Column2908"/>
    <tableColumn id="2912" xr3:uid="{01F7371E-C9B9-40B6-8B89-959FB438D855}" name="Column2909"/>
    <tableColumn id="2913" xr3:uid="{9CD9C19D-135C-47D2-8F23-D17FF631E1E6}" name="Column2910"/>
    <tableColumn id="2914" xr3:uid="{80FE6CE0-D27D-4731-B1C0-CA9AC73FB33D}" name="Column2911"/>
    <tableColumn id="2915" xr3:uid="{C22380BA-B08A-4A32-BAC0-532231611499}" name="Column2912"/>
    <tableColumn id="2916" xr3:uid="{BF019B41-4245-4FC2-8A50-C32E643F9461}" name="Column2913"/>
    <tableColumn id="2917" xr3:uid="{1F086314-3019-45B2-96FE-6FE542647FA7}" name="Column2914"/>
    <tableColumn id="2918" xr3:uid="{173F395C-9276-400A-AB16-BF3A1CE46E53}" name="Column2915"/>
    <tableColumn id="2919" xr3:uid="{2E7762B5-8F5E-4132-89D1-1DCAB3B1B713}" name="Column2916"/>
    <tableColumn id="2920" xr3:uid="{0F36B7EA-D91B-4CC3-8D6C-BC8FA2BD1273}" name="Column2917"/>
    <tableColumn id="2921" xr3:uid="{56ABEC70-9636-44A2-9C4E-6E4E25939770}" name="Column2918"/>
    <tableColumn id="2922" xr3:uid="{2D72A4E9-B730-4745-90F0-ABDB711A33F5}" name="Column2919"/>
    <tableColumn id="2923" xr3:uid="{D499EE4D-26C6-4A28-951F-6274F8251C13}" name="Column2920"/>
    <tableColumn id="2924" xr3:uid="{BD1F3C65-C2A8-45BE-8207-D1B8A1B50FBC}" name="Column2921"/>
    <tableColumn id="2925" xr3:uid="{1726CCD9-4027-4DE4-92F0-D82ABE785353}" name="Column2922"/>
    <tableColumn id="2926" xr3:uid="{3D895D89-44F3-4553-984E-CF4484536730}" name="Column2923"/>
    <tableColumn id="2927" xr3:uid="{654E894F-9CBD-4636-A5AF-1607B8FE138D}" name="Column2924"/>
    <tableColumn id="2928" xr3:uid="{B1CD2254-15C8-44B6-917A-B0D4720F01F9}" name="Column2925"/>
    <tableColumn id="2929" xr3:uid="{4E26205C-C957-4690-AC08-BAA963A38640}" name="Column2926"/>
    <tableColumn id="2930" xr3:uid="{04AE2661-C3E1-42D9-B9FA-BB1D9C1B8A71}" name="Column2927"/>
    <tableColumn id="2931" xr3:uid="{19403799-B907-4CF1-B4A7-37114C13BF5B}" name="Column2928"/>
    <tableColumn id="2932" xr3:uid="{91AA2841-DAE8-49EA-B485-878C5DDCD394}" name="Column2929"/>
    <tableColumn id="2933" xr3:uid="{06DC640D-87A5-406F-8FDE-07F6F9C9CA7A}" name="Column2930"/>
    <tableColumn id="2934" xr3:uid="{010AC95E-9508-4E10-8720-B6661DDD01F5}" name="Column2931"/>
    <tableColumn id="2935" xr3:uid="{860BEC8E-F8A5-430B-B5D7-E45AB3CDF796}" name="Column2932"/>
    <tableColumn id="2936" xr3:uid="{7C9203B0-E2D0-4CC2-98EE-18E9387A230B}" name="Column2933"/>
    <tableColumn id="2937" xr3:uid="{BE6E13F6-5624-4252-A999-1278C64EE97A}" name="Column2934"/>
    <tableColumn id="2938" xr3:uid="{EB3F9AA4-057C-4733-857F-57FD937CFDFE}" name="Column2935"/>
    <tableColumn id="2939" xr3:uid="{2783D81C-1BAA-45E9-852C-9B719169C83C}" name="Column2936"/>
    <tableColumn id="2940" xr3:uid="{CBFE1D01-178B-40EF-B310-15191D258FAF}" name="Column2937"/>
    <tableColumn id="2941" xr3:uid="{20D6FD35-8723-4DD7-AD64-6718CEF603BD}" name="Column2938"/>
    <tableColumn id="2942" xr3:uid="{263FEA46-8C41-4436-930E-65A6B501344A}" name="Column2939"/>
    <tableColumn id="2943" xr3:uid="{80887A6E-B57B-487B-B974-CC4EE0EFEA20}" name="Column2940"/>
    <tableColumn id="2944" xr3:uid="{25A417C0-89F7-4638-AC2D-327E24479386}" name="Column2941"/>
    <tableColumn id="2945" xr3:uid="{7F3E6396-DDFD-4EFC-A464-E7FF1EBA28D0}" name="Column2942"/>
    <tableColumn id="2946" xr3:uid="{F95BA936-6CAD-44EB-9A93-4D4FE127910A}" name="Column2943"/>
    <tableColumn id="2947" xr3:uid="{44E5B283-F7FE-4579-98CF-CCD486FB1982}" name="Column2944"/>
    <tableColumn id="2948" xr3:uid="{C176DF04-3080-45C9-8928-400F4270A016}" name="Column2945"/>
    <tableColumn id="2949" xr3:uid="{A3712625-14C6-4656-BE31-E58890DA1819}" name="Column2946"/>
    <tableColumn id="2950" xr3:uid="{B8CF6755-E5A4-4167-8039-C13995FF37B0}" name="Column2947"/>
    <tableColumn id="2951" xr3:uid="{2450A677-35CF-49C4-AD6C-489615403E1D}" name="Column2948"/>
    <tableColumn id="2952" xr3:uid="{AAE61C0C-ECA4-4D73-A3E9-FEBDF901C414}" name="Column2949"/>
    <tableColumn id="2953" xr3:uid="{376A306F-4CA7-4313-AD95-1EF84DF6F0BA}" name="Column2950"/>
    <tableColumn id="2954" xr3:uid="{15B7AC8A-46DD-42F8-B86A-CEFB2AD068BC}" name="Column2951"/>
    <tableColumn id="2955" xr3:uid="{F19CC8BF-1B21-4F69-829A-F18D9C357139}" name="Column2952"/>
    <tableColumn id="2956" xr3:uid="{6949CF1A-0213-4616-AA81-401D66333A17}" name="Column2953"/>
    <tableColumn id="2957" xr3:uid="{94BB057C-5523-41FE-8B6D-4451A732AE2F}" name="Column2954"/>
    <tableColumn id="2958" xr3:uid="{18F39522-30E9-426E-930B-41E0A28A8C56}" name="Column2955"/>
    <tableColumn id="2959" xr3:uid="{158C9788-5A6D-4EB6-A602-6510D9FA7CCD}" name="Column2956"/>
    <tableColumn id="2960" xr3:uid="{D18DF2E3-6631-43BE-A6EE-B4313C468500}" name="Column2957"/>
    <tableColumn id="2961" xr3:uid="{0C91FD17-668D-42B1-9870-5202CEDEF0D9}" name="Column2958"/>
    <tableColumn id="2962" xr3:uid="{96756884-46C1-4B7E-9497-D91E53CE90C9}" name="Column2959"/>
    <tableColumn id="2963" xr3:uid="{3200E076-070F-4D64-85A4-FDA51CFBC898}" name="Column2960"/>
    <tableColumn id="2964" xr3:uid="{28C3AE18-D5D9-420C-8EFC-D03CFA9A5B89}" name="Column2961"/>
    <tableColumn id="2965" xr3:uid="{A8FC0213-0FDA-4CF5-BCEC-008F6A1A3269}" name="Column2962"/>
    <tableColumn id="2966" xr3:uid="{94DE025E-06F9-411F-B1B0-D8E57A4DBDA1}" name="Column2963"/>
    <tableColumn id="2967" xr3:uid="{7B9BFB4C-0E42-4A70-B889-AA9F23A696B0}" name="Column2964"/>
    <tableColumn id="2968" xr3:uid="{2F20027E-F2FB-472E-A598-704E799F8F15}" name="Column2965"/>
    <tableColumn id="2969" xr3:uid="{D0F0B158-F437-43E8-8621-491DF212852C}" name="Column2966"/>
    <tableColumn id="2970" xr3:uid="{7BCE7D04-F84F-4D36-97AF-75F6150B5D1A}" name="Column2967"/>
    <tableColumn id="2971" xr3:uid="{C4993F4E-1A27-42C1-9608-5E9394E5DED4}" name="Column2968"/>
    <tableColumn id="2972" xr3:uid="{88FD67D1-4F4D-4DD0-BEC9-D41E0FEDED77}" name="Column2969"/>
    <tableColumn id="2973" xr3:uid="{7D73E906-1581-43E9-BD43-014752419E74}" name="Column2970"/>
    <tableColumn id="2974" xr3:uid="{CC540317-0521-4BFA-A1CA-21071BCBE0BC}" name="Column2971"/>
    <tableColumn id="2975" xr3:uid="{E5F084FF-BFE9-4F73-BBE7-9905D2AC73F1}" name="Column2972"/>
    <tableColumn id="2976" xr3:uid="{65B21A29-D77B-4EDF-946F-A9DE49225F34}" name="Column2973"/>
    <tableColumn id="2977" xr3:uid="{B90D0F59-0FCF-4E99-8F00-2C618CD961A2}" name="Column2974"/>
    <tableColumn id="2978" xr3:uid="{975C069C-2571-40FE-AAB0-8C80C3E29170}" name="Column2975"/>
    <tableColumn id="2979" xr3:uid="{93621DA2-BA5A-4803-A7DA-B658C4E6C0C0}" name="Column2976"/>
    <tableColumn id="2980" xr3:uid="{E7E0E69B-C0EA-4936-B448-C1091EA0581B}" name="Column2977"/>
    <tableColumn id="2981" xr3:uid="{357F260A-6CE3-497B-BF70-ACFACB01CD02}" name="Column2978"/>
    <tableColumn id="2982" xr3:uid="{CCEB47E9-CF61-4C24-BBF1-05AF74F68C71}" name="Column2979"/>
    <tableColumn id="2983" xr3:uid="{5B34D4F7-78E3-43EE-8C7B-0132038325D0}" name="Column2980"/>
    <tableColumn id="2984" xr3:uid="{25A60294-2D74-43EF-8363-83D6CA9FAD8E}" name="Column2981"/>
    <tableColumn id="2985" xr3:uid="{8C3143CB-E5C8-4236-B44D-F28D596E2613}" name="Column2982"/>
    <tableColumn id="2986" xr3:uid="{1F119303-F530-446A-A25D-48070D0B4536}" name="Column2983"/>
    <tableColumn id="2987" xr3:uid="{708B823C-5020-467B-94E1-161E7380085E}" name="Column2984"/>
    <tableColumn id="2988" xr3:uid="{78F33117-3564-4CB0-9C1C-47D532C61F5A}" name="Column2985"/>
    <tableColumn id="2989" xr3:uid="{5F88929F-C85B-4A3C-8027-86DDEE63B2F7}" name="Column2986"/>
    <tableColumn id="2990" xr3:uid="{29FF42C0-0810-482D-8728-D33F0F1E4469}" name="Column2987"/>
    <tableColumn id="2991" xr3:uid="{4968C4FB-E53C-435E-B6A7-B246A2CB9D90}" name="Column2988"/>
    <tableColumn id="2992" xr3:uid="{F73292CA-49EE-4E3C-8122-F314DBBA0E5B}" name="Column2989"/>
    <tableColumn id="2993" xr3:uid="{DC4D0475-C2C8-41B6-9B09-B0D999D81274}" name="Column2990"/>
    <tableColumn id="2994" xr3:uid="{29BEE4B5-62B9-443D-B184-04A212584182}" name="Column2991"/>
    <tableColumn id="2995" xr3:uid="{AB093A96-2D77-4473-B250-401F9C84F754}" name="Column2992"/>
    <tableColumn id="2996" xr3:uid="{25F60645-1544-48A0-98C6-28290844AC43}" name="Column2993"/>
    <tableColumn id="2997" xr3:uid="{71B24DB7-90FA-4041-8F8B-E83672DBE5E2}" name="Column2994"/>
    <tableColumn id="2998" xr3:uid="{25EB0A78-EC14-4AC4-88A5-99F47B2AE3C9}" name="Column2995"/>
    <tableColumn id="2999" xr3:uid="{D511D3EB-6A4D-4239-82B7-0126FC5EE1DD}" name="Column2996"/>
    <tableColumn id="3000" xr3:uid="{AEC1F9BA-44DB-4B41-AD0B-65AF39AE0231}" name="Column2997"/>
    <tableColumn id="3001" xr3:uid="{EAA669E1-2B20-440C-8990-1CF58AC2680F}" name="Column2998"/>
    <tableColumn id="3002" xr3:uid="{58C94AAD-3AFF-4FDB-BBF1-D0B3B9F77037}" name="Column2999"/>
    <tableColumn id="3003" xr3:uid="{054F4591-2622-430D-9353-90C9381C52EC}" name="Column3000"/>
    <tableColumn id="3004" xr3:uid="{DF7BD20E-54C7-46FE-A7B2-EE9BFB2E7978}" name="Column3001"/>
    <tableColumn id="3005" xr3:uid="{59B93048-A39F-45BD-9CA7-5BD6E21A867A}" name="Column3002"/>
    <tableColumn id="3006" xr3:uid="{CE4872C6-D7C9-4EA0-BF6C-A6E9E4B4976B}" name="Column3003"/>
    <tableColumn id="3007" xr3:uid="{D3675F39-2A57-49A1-B216-9E14DDA9F95B}" name="Column3004"/>
    <tableColumn id="3008" xr3:uid="{1AA0CED4-4292-496F-A042-A334B30F295D}" name="Column3005"/>
    <tableColumn id="3009" xr3:uid="{6A1DDEFE-787B-4B8C-BB58-05CBA115C4BF}" name="Column3006"/>
    <tableColumn id="3010" xr3:uid="{D65B6851-05BC-4EED-8DB8-04A65768CA37}" name="Column3007"/>
    <tableColumn id="3011" xr3:uid="{AEEE2474-260D-40F4-A287-3A530D1DCC48}" name="Column3008"/>
    <tableColumn id="3012" xr3:uid="{BC749D7F-B697-419A-BFDC-6BDA313DEB25}" name="Column3009"/>
    <tableColumn id="3013" xr3:uid="{48D64A10-60E5-48BC-9130-95A53BB2EBEA}" name="Column3010"/>
    <tableColumn id="3014" xr3:uid="{CC47E4C4-3A71-4B26-9156-94436AF230D6}" name="Column3011"/>
    <tableColumn id="3015" xr3:uid="{588CB270-8760-413D-95B0-2A5D6DA42211}" name="Column3012"/>
    <tableColumn id="3016" xr3:uid="{AABA6CE8-EFBB-421D-9B18-A021785712BE}" name="Column3013"/>
    <tableColumn id="3017" xr3:uid="{02050AA6-AA76-49E3-91EE-66A5EED96800}" name="Column3014"/>
    <tableColumn id="3018" xr3:uid="{837F369F-2E08-4FE3-95D6-F635BC5897BB}" name="Column3015"/>
    <tableColumn id="3019" xr3:uid="{D5A4E173-283F-49C6-9547-5B6ABE04DAD3}" name="Column3016"/>
    <tableColumn id="3020" xr3:uid="{F179385E-64DF-4624-AE90-930C7E9D1778}" name="Column3017"/>
    <tableColumn id="3021" xr3:uid="{BE722D1A-C394-4D30-9278-1535019D34DF}" name="Column3018"/>
    <tableColumn id="3022" xr3:uid="{6E89E3B8-5871-435B-8FDC-8CAA1B6010F9}" name="Column3019"/>
    <tableColumn id="3023" xr3:uid="{6266BDCB-69F1-49D9-980E-E69E520BCD36}" name="Column3020"/>
    <tableColumn id="3024" xr3:uid="{3E9A11DE-A8B6-4611-BEE5-670522D2AD2C}" name="Column3021"/>
    <tableColumn id="3025" xr3:uid="{82612C5A-37F1-4B2D-89FA-75712C297BD2}" name="Column3022"/>
    <tableColumn id="3026" xr3:uid="{804F11D9-1286-4CF9-B800-E29FB55C1FB9}" name="Column3023"/>
    <tableColumn id="3027" xr3:uid="{B2473834-6C29-41FE-B023-5FACD6EBBAFC}" name="Column3024"/>
    <tableColumn id="3028" xr3:uid="{B37F64F8-2B4F-482A-8B9F-D6E66AD0BCD0}" name="Column3025"/>
    <tableColumn id="3029" xr3:uid="{32E4E1F7-2FEF-458B-A067-5D4FE50D067B}" name="Column3026"/>
    <tableColumn id="3030" xr3:uid="{C4E1FDBB-4BEB-469C-AEEE-2664A2FD58DF}" name="Column3027"/>
    <tableColumn id="3031" xr3:uid="{A646F9FD-45B9-4E53-ADC7-29A380DD7C7D}" name="Column3028"/>
    <tableColumn id="3032" xr3:uid="{2823F1BE-465A-42FD-AD0B-869BE20A025C}" name="Column3029"/>
    <tableColumn id="3033" xr3:uid="{E60FEADC-811C-431A-BBFA-367A80CC376D}" name="Column3030"/>
    <tableColumn id="3034" xr3:uid="{F3942A33-89F4-40F8-B6A0-F49901665F18}" name="Column3031"/>
    <tableColumn id="3035" xr3:uid="{C5A2E305-4C89-4F3B-AB85-A751263B4A89}" name="Column3032"/>
    <tableColumn id="3036" xr3:uid="{ABC170D4-FE53-4AA1-B780-1A8DA6062C8C}" name="Column3033"/>
    <tableColumn id="3037" xr3:uid="{68D1A893-FB55-4265-BF69-5C560A25C12A}" name="Column3034"/>
    <tableColumn id="3038" xr3:uid="{4E17E30C-26F6-4E43-8131-B64CEF4C4BE3}" name="Column3035"/>
    <tableColumn id="3039" xr3:uid="{053C4CE4-47C7-48C6-B588-B2732ADEF0C0}" name="Column3036"/>
    <tableColumn id="3040" xr3:uid="{5A2A42EA-A6DD-44E3-B58D-12A289AD309B}" name="Column3037"/>
    <tableColumn id="3041" xr3:uid="{BFCDCA3F-B9CC-43E5-9DE0-F8AFA1637F4E}" name="Column3038"/>
    <tableColumn id="3042" xr3:uid="{DFA4A3A6-86C7-4D9B-9E18-B285CEC2E73B}" name="Column3039"/>
    <tableColumn id="3043" xr3:uid="{57A95AF9-5C57-448A-A507-3E721F78E968}" name="Column3040"/>
    <tableColumn id="3044" xr3:uid="{B86C33FD-B8B4-4A3E-AFDC-AE7AE5E33037}" name="Column3041"/>
    <tableColumn id="3045" xr3:uid="{7B86E51D-B778-42B8-8B9D-BBD8A706018E}" name="Column3042"/>
    <tableColumn id="3046" xr3:uid="{8254B43D-8DDA-4B3F-BA8B-2C84CBACDDF2}" name="Column3043"/>
    <tableColumn id="3047" xr3:uid="{7BEEC38D-B675-416C-B626-24BBE834EE88}" name="Column3044"/>
    <tableColumn id="3048" xr3:uid="{933AC1BB-07B9-43FF-8FC7-BB3EE6AE20C3}" name="Column3045"/>
    <tableColumn id="3049" xr3:uid="{87A6FFEC-3E4A-4458-B737-230CD1B107B1}" name="Column3046"/>
    <tableColumn id="3050" xr3:uid="{D895332B-179E-4D8F-9D68-99B65F2B6977}" name="Column3047"/>
    <tableColumn id="3051" xr3:uid="{21476920-7F5C-446C-8494-CFF1EBB07CDE}" name="Column3048"/>
    <tableColumn id="3052" xr3:uid="{A8F5CC49-CDB6-445D-8391-865F60EE985C}" name="Column3049"/>
    <tableColumn id="3053" xr3:uid="{EBEBED3A-CF9C-47B3-B819-4455D92A8C0E}" name="Column3050"/>
    <tableColumn id="3054" xr3:uid="{A6CE5FDD-EE09-441C-B8DA-0F715D3EC0F1}" name="Column3051"/>
    <tableColumn id="3055" xr3:uid="{0B19738B-33CF-4186-8D55-ECF00E75F898}" name="Column3052"/>
    <tableColumn id="3056" xr3:uid="{0E9EF176-6695-44E3-B8F0-7EAFDBE15729}" name="Column3053"/>
    <tableColumn id="3057" xr3:uid="{4B690FC8-FF19-486D-AE60-E5B52FBFBA03}" name="Column3054"/>
    <tableColumn id="3058" xr3:uid="{E819EFF2-3912-4ECA-B25B-EB8D500F2093}" name="Column3055"/>
    <tableColumn id="3059" xr3:uid="{0AE3B32E-2BBE-4041-8A6F-66682873D239}" name="Column3056"/>
    <tableColumn id="3060" xr3:uid="{8225F7A7-2033-4C1C-B932-D4901283E113}" name="Column3057"/>
    <tableColumn id="3061" xr3:uid="{A461FA32-F6A6-4823-A908-44A21B8D9578}" name="Column3058"/>
    <tableColumn id="3062" xr3:uid="{3816AA61-0AE3-4134-960E-E6D2C28B271D}" name="Column3059"/>
    <tableColumn id="3063" xr3:uid="{6397C6CF-76F5-4943-9CD6-1028AFF69F51}" name="Column3060"/>
    <tableColumn id="3064" xr3:uid="{5C31B721-791D-4CB0-BC61-7939E9F632C9}" name="Column3061"/>
    <tableColumn id="3065" xr3:uid="{60DAC6E6-D610-484A-9C16-1C0A995FD612}" name="Column3062"/>
    <tableColumn id="3066" xr3:uid="{9454BA76-ED97-4F47-9B00-12308C2F42C9}" name="Column3063"/>
    <tableColumn id="3067" xr3:uid="{492775C2-4ED7-45A3-AC20-6A2BAAB57883}" name="Column3064"/>
    <tableColumn id="3068" xr3:uid="{F267AC3F-9698-4502-AF82-08363F08B9BC}" name="Column3065"/>
    <tableColumn id="3069" xr3:uid="{C084379C-09F8-4C8C-9C1F-13AE9D008F94}" name="Column3066"/>
    <tableColumn id="3070" xr3:uid="{B708E11F-6114-4866-AD33-82E6DF6BDDDE}" name="Column3067"/>
    <tableColumn id="3071" xr3:uid="{8A0A6D73-9E07-4627-B5B4-9F9B420C1F54}" name="Column3068"/>
    <tableColumn id="3072" xr3:uid="{09BFED0F-CA65-4E17-B1AD-EB5D8489BA2F}" name="Column3069"/>
    <tableColumn id="3073" xr3:uid="{DE9CA020-B5A8-41A9-9785-5C64E1DA942C}" name="Column3070"/>
    <tableColumn id="3074" xr3:uid="{66A45608-3500-4399-AA4C-440107CBC25C}" name="Column3071"/>
    <tableColumn id="3075" xr3:uid="{8462D4B0-AFCC-4B55-9C25-28DBF6D0BF3B}" name="Column3072"/>
    <tableColumn id="3076" xr3:uid="{BE560792-26CF-469E-ADBE-308C8CED6D83}" name="Column3073"/>
    <tableColumn id="3077" xr3:uid="{E835E807-162B-4594-A450-F3992CE2C476}" name="Column3074"/>
    <tableColumn id="3078" xr3:uid="{A2A35E1D-28D4-45F4-B44B-A4A50EE1C371}" name="Column3075"/>
    <tableColumn id="3079" xr3:uid="{816EE719-D06B-4BD5-A856-E447E589681C}" name="Column3076"/>
    <tableColumn id="3080" xr3:uid="{CC5D7077-0977-4879-AA94-6C179CD3A277}" name="Column3077"/>
    <tableColumn id="3081" xr3:uid="{A6FA8993-D884-4719-95F0-1FF1AD0E9EF4}" name="Column3078"/>
    <tableColumn id="3082" xr3:uid="{00CC4419-07C8-4EF5-8A1F-517EC48D3B3E}" name="Column3079"/>
    <tableColumn id="3083" xr3:uid="{6A29DA16-29DB-494C-BAD1-D19B3CA17CA4}" name="Column3080"/>
    <tableColumn id="3084" xr3:uid="{961FE9F6-74FD-4F29-A475-76C26BB7F927}" name="Column3081"/>
    <tableColumn id="3085" xr3:uid="{B51C3297-2710-47A6-8D05-96B55A1BCBAB}" name="Column3082"/>
    <tableColumn id="3086" xr3:uid="{256E252E-58A3-4110-8E05-1D56239D85E9}" name="Column3083"/>
    <tableColumn id="3087" xr3:uid="{EE2ADE95-35C3-4489-8411-12C04D2C6075}" name="Column3084"/>
    <tableColumn id="3088" xr3:uid="{9116FDF9-7255-404A-A286-E1949C5BC467}" name="Column3085"/>
    <tableColumn id="3089" xr3:uid="{2B836DAF-5D71-4F6A-BC03-5B9E49E5670F}" name="Column3086"/>
    <tableColumn id="3090" xr3:uid="{1EDDDBC6-6E18-44DC-AA2F-EF12560917B6}" name="Column3087"/>
    <tableColumn id="3091" xr3:uid="{614D7148-A56B-4554-8B37-77C1E10FB1EA}" name="Column3088"/>
    <tableColumn id="3092" xr3:uid="{7ED69A90-FA5E-4918-9EEF-F80DFA02EBAF}" name="Column3089"/>
    <tableColumn id="3093" xr3:uid="{5D516062-F53F-46C3-86FF-C9EE68953DC6}" name="Column3090"/>
    <tableColumn id="3094" xr3:uid="{355D632C-BACC-4C4C-AE6E-1AE2A2FCB1ED}" name="Column3091"/>
    <tableColumn id="3095" xr3:uid="{9581397E-6A50-43BB-9099-8EF2261D483C}" name="Column3092"/>
    <tableColumn id="3096" xr3:uid="{8331123B-D8B8-4E21-8D7A-6DCF38FACC94}" name="Column3093"/>
    <tableColumn id="3097" xr3:uid="{C517E867-9D6B-48ED-800D-E1224D3F3F10}" name="Column3094"/>
    <tableColumn id="3098" xr3:uid="{3A09E88C-643C-44EB-904F-64D75B65F9B1}" name="Column3095"/>
    <tableColumn id="3099" xr3:uid="{EAA71029-9A7E-4B72-800E-7E61011B26F4}" name="Column3096"/>
    <tableColumn id="3100" xr3:uid="{2E89CE5C-3770-453A-BF8E-AEE1DC1BD4CB}" name="Column3097"/>
    <tableColumn id="3101" xr3:uid="{AAACA0A8-89DE-41E5-85CE-D9BDEAD42B75}" name="Column3098"/>
    <tableColumn id="3102" xr3:uid="{D67F2CED-0166-4DD1-AB17-BB8EC44BDD0C}" name="Column3099"/>
    <tableColumn id="3103" xr3:uid="{2FC39D45-250B-4A40-983D-BB9EB5EE5F44}" name="Column3100"/>
    <tableColumn id="3104" xr3:uid="{D3D7BD0D-1816-4BC3-A9EE-1BF6B33FD80F}" name="Column3101"/>
    <tableColumn id="3105" xr3:uid="{579A18CE-CE82-4B2B-95C9-178EB6752042}" name="Column3102"/>
    <tableColumn id="3106" xr3:uid="{7D29045A-7065-4426-9A19-9D34A048AA31}" name="Column3103"/>
    <tableColumn id="3107" xr3:uid="{0D8CF858-D275-4A7C-8820-E13016A66405}" name="Column3104"/>
    <tableColumn id="3108" xr3:uid="{3C95C838-F7DC-4846-8094-3B748154D0BA}" name="Column3105"/>
    <tableColumn id="3109" xr3:uid="{3859EA7E-8DF1-480B-BE92-DFCE590283D5}" name="Column3106"/>
    <tableColumn id="3110" xr3:uid="{607CD0D9-580F-4FA7-B1D0-9AD01A6E7E3C}" name="Column3107"/>
    <tableColumn id="3111" xr3:uid="{EB91F947-A29E-4708-A7B1-7D21CCE8D8E2}" name="Column3108"/>
    <tableColumn id="3112" xr3:uid="{D37E6CC8-107F-45EF-A296-0D24F8CD0C7C}" name="Column3109"/>
    <tableColumn id="3113" xr3:uid="{9F62C8BA-E0D4-489E-B1ED-3D2D0853FA51}" name="Column3110"/>
    <tableColumn id="3114" xr3:uid="{1B1D0DDB-B92B-4BFD-BED5-EB8D57EE4D7C}" name="Column3111"/>
    <tableColumn id="3115" xr3:uid="{4CC79131-0107-478D-8206-75B7D5E4954D}" name="Column3112"/>
    <tableColumn id="3116" xr3:uid="{0A3A8835-F588-4293-B45B-0356D0B4C367}" name="Column3113"/>
    <tableColumn id="3117" xr3:uid="{51B8A1B4-7903-41C5-9C02-44CEFEF2C596}" name="Column3114"/>
    <tableColumn id="3118" xr3:uid="{D645FF97-E7BC-4F00-BA82-5545B5430B54}" name="Column3115"/>
    <tableColumn id="3119" xr3:uid="{B51BE0DC-BFA0-493A-9EB7-9053E1841FFC}" name="Column3116"/>
    <tableColumn id="3120" xr3:uid="{A59497A3-8B12-48BD-A515-31EC5FBA8447}" name="Column3117"/>
    <tableColumn id="3121" xr3:uid="{400468AA-5194-4569-94E6-D4C27956F04D}" name="Column3118"/>
    <tableColumn id="3122" xr3:uid="{1FDD3654-837A-4816-94BE-2AB999252BB4}" name="Column3119"/>
    <tableColumn id="3123" xr3:uid="{C921CA40-07AE-46EB-BE91-5517FE7EBEAA}" name="Column3120"/>
    <tableColumn id="3124" xr3:uid="{A3A67200-9224-4096-85AB-657ED39B6401}" name="Column3121"/>
    <tableColumn id="3125" xr3:uid="{165297AC-2F54-4C08-A1D7-3A6D63309B72}" name="Column3122"/>
    <tableColumn id="3126" xr3:uid="{B406D704-8405-4573-A681-15F6255CE8C9}" name="Column3123"/>
    <tableColumn id="3127" xr3:uid="{A2CB580D-EB75-47EC-BE75-5D9897FBBD62}" name="Column3124"/>
    <tableColumn id="3128" xr3:uid="{E1F77B33-BC11-4785-B458-87165582C4A4}" name="Column3125"/>
    <tableColumn id="3129" xr3:uid="{7F516F82-3270-4E44-82BE-E6B9A87CC858}" name="Column3126"/>
    <tableColumn id="3130" xr3:uid="{68D76277-E0CC-4AAC-B06B-9A659274327C}" name="Column3127"/>
    <tableColumn id="3131" xr3:uid="{4C51E3C8-0839-452B-87C0-1AC033F165FA}" name="Column3128"/>
    <tableColumn id="3132" xr3:uid="{67F22E34-0C5F-4EC9-931F-08709EE5C557}" name="Column3129"/>
    <tableColumn id="3133" xr3:uid="{A7562107-3E67-4117-B1E4-190E72792723}" name="Column3130"/>
    <tableColumn id="3134" xr3:uid="{2EE77AA3-7B37-4C0D-A656-53C27E4913D2}" name="Column3131"/>
    <tableColumn id="3135" xr3:uid="{3D8CC32A-6A3F-48F5-B049-1ACF69F33C50}" name="Column3132"/>
    <tableColumn id="3136" xr3:uid="{096CE11C-59C1-4729-B009-ED3421CF6618}" name="Column3133"/>
    <tableColumn id="3137" xr3:uid="{2D995DF0-E688-4A9C-A0AB-6CA4EC7D9BFE}" name="Column3134"/>
    <tableColumn id="3138" xr3:uid="{09E47679-4CF5-412F-907E-3B7B3F2965DB}" name="Column3135"/>
    <tableColumn id="3139" xr3:uid="{49491C0B-4543-4533-8310-8F27C21122E7}" name="Column3136"/>
    <tableColumn id="3140" xr3:uid="{35559842-A3F5-4CA6-9825-E6D93D43212E}" name="Column3137"/>
    <tableColumn id="3141" xr3:uid="{F4148326-1652-4B32-B1AA-4EE5E0EE05A6}" name="Column3138"/>
    <tableColumn id="3142" xr3:uid="{1F5A9B4A-490C-4722-9951-D2EE590C0840}" name="Column3139"/>
    <tableColumn id="3143" xr3:uid="{C0AF61FB-7369-4209-8191-B33B2D7BDBBD}" name="Column3140"/>
    <tableColumn id="3144" xr3:uid="{57F56400-B2DE-41A0-A3ED-E0407F91C0FD}" name="Column3141"/>
    <tableColumn id="3145" xr3:uid="{3497BE60-F748-4DF1-9194-0836484EDCB5}" name="Column3142"/>
    <tableColumn id="3146" xr3:uid="{DEE677AC-8CFB-4633-BEDA-B2EC203D81A8}" name="Column3143"/>
    <tableColumn id="3147" xr3:uid="{CC2D4697-C215-4045-BC7D-E46179B43F6D}" name="Column3144"/>
    <tableColumn id="3148" xr3:uid="{56C2D13E-7DD5-4F4C-9B6A-BC9945FD89E9}" name="Column3145"/>
    <tableColumn id="3149" xr3:uid="{1EF410BE-C0B2-418F-8990-0D33987A5BA9}" name="Column3146"/>
    <tableColumn id="3150" xr3:uid="{DDC58D7B-82BD-4B72-B4F7-9AD96D5E2EB8}" name="Column3147"/>
    <tableColumn id="3151" xr3:uid="{7672237C-21A9-43FC-A785-22ACDF3323BA}" name="Column3148"/>
    <tableColumn id="3152" xr3:uid="{A2D6E3F0-D8A3-4A66-A19F-7BA470131740}" name="Column3149"/>
    <tableColumn id="3153" xr3:uid="{0CF98605-D967-4880-B958-4FA9E6B2BF12}" name="Column3150"/>
    <tableColumn id="3154" xr3:uid="{0EA7B583-59BF-4658-9C41-8B4C6E0265B1}" name="Column3151"/>
    <tableColumn id="3155" xr3:uid="{AE971F19-529C-485C-8E6A-71657FC523E4}" name="Column3152"/>
    <tableColumn id="3156" xr3:uid="{13DB3994-D6AD-47E6-87FC-FA44D98D0DE6}" name="Column3153"/>
    <tableColumn id="3157" xr3:uid="{5863C782-A9B0-4460-90B6-D30651FEA854}" name="Column3154"/>
    <tableColumn id="3158" xr3:uid="{E2E8AB4D-A8BA-42A7-B887-E78641FDE46B}" name="Column3155"/>
    <tableColumn id="3159" xr3:uid="{CB9D04D8-A563-4B9A-93B4-6AFA914AE0AF}" name="Column3156"/>
    <tableColumn id="3160" xr3:uid="{78C6212C-DE3E-47F7-B3D9-3CD44C3747DC}" name="Column3157"/>
    <tableColumn id="3161" xr3:uid="{3DF46F2B-B26E-4B45-82F1-412CF3C14CA9}" name="Column3158"/>
    <tableColumn id="3162" xr3:uid="{5FE22741-4966-40B9-88F5-69BACF9A1BC8}" name="Column3159"/>
    <tableColumn id="3163" xr3:uid="{85DAB65A-3F47-4938-8A07-A36502ECF75A}" name="Column3160"/>
    <tableColumn id="3164" xr3:uid="{5397BC14-71F2-46DD-8417-B9F2EEC61DE0}" name="Column3161"/>
    <tableColumn id="3165" xr3:uid="{4CA953E7-5467-447F-8333-E669072D062E}" name="Column3162"/>
    <tableColumn id="3166" xr3:uid="{2D30FE39-29F6-49A1-9024-2409E18173E3}" name="Column3163"/>
    <tableColumn id="3167" xr3:uid="{AF9136D2-F881-4DC9-815B-77C5F61DE429}" name="Column3164"/>
    <tableColumn id="3168" xr3:uid="{A92F38B8-3CCD-4814-8C5A-F4CE94008FAF}" name="Column3165"/>
    <tableColumn id="3169" xr3:uid="{BBECC6E9-C36F-4921-A1A5-E438296A6220}" name="Column3166"/>
    <tableColumn id="3170" xr3:uid="{8E0E8E32-F88C-4EA6-BE42-47F2A3AF0433}" name="Column3167"/>
    <tableColumn id="3171" xr3:uid="{BB1CCBA8-8245-4D0F-941F-3F2936381D8D}" name="Column3168"/>
    <tableColumn id="3172" xr3:uid="{10F4A5FE-CFBD-4FFF-9641-CEAC980DB679}" name="Column3169"/>
    <tableColumn id="3173" xr3:uid="{79C20100-BF13-4111-803B-890A86AD93BB}" name="Column3170"/>
    <tableColumn id="3174" xr3:uid="{097F0A5F-FB78-42BA-BD55-C45FCE12C579}" name="Column3171"/>
    <tableColumn id="3175" xr3:uid="{347A1A63-38CC-4E0C-A330-C553B0BF13FD}" name="Column3172"/>
    <tableColumn id="3176" xr3:uid="{54487D4E-4E7D-4CA0-9A7F-86D127B22AC8}" name="Column3173"/>
    <tableColumn id="3177" xr3:uid="{E3FC29C3-699E-4EB2-B169-E09D4C365B68}" name="Column3174"/>
    <tableColumn id="3178" xr3:uid="{31E5564A-D38E-42C7-A2B1-71DFBE195DA2}" name="Column3175"/>
    <tableColumn id="3179" xr3:uid="{FECEFFF7-9A1D-481E-AE25-C846462FBD3B}" name="Column3176"/>
    <tableColumn id="3180" xr3:uid="{ADC4DCCD-ABB6-4922-BDA7-65B97889CECF}" name="Column3177"/>
    <tableColumn id="3181" xr3:uid="{BC9D8A0B-A9B9-44AE-90DA-F3E38A04639E}" name="Column3178"/>
    <tableColumn id="3182" xr3:uid="{CE1C9535-71AE-436E-A01F-781E3F5EB57D}" name="Column3179"/>
    <tableColumn id="3183" xr3:uid="{D60F458C-6AE3-41D8-8551-D7D5460A13B7}" name="Column3180"/>
    <tableColumn id="3184" xr3:uid="{954B1027-2A8C-456E-A01E-9EDE13143B23}" name="Column3181"/>
    <tableColumn id="3185" xr3:uid="{6806257F-34DC-4B02-885D-978D4FE0847A}" name="Column3182"/>
    <tableColumn id="3186" xr3:uid="{E6C80307-FFB6-4948-A9B9-6828A16AB277}" name="Column3183"/>
    <tableColumn id="3187" xr3:uid="{2187052E-8EA4-4D3A-8874-756B49654B3B}" name="Column3184"/>
    <tableColumn id="3188" xr3:uid="{5ECEEC54-1013-476D-8180-FE74A6C5BAF1}" name="Column3185"/>
    <tableColumn id="3189" xr3:uid="{BD73D0DE-0D50-460F-8F4F-6C7F13D2620B}" name="Column3186"/>
    <tableColumn id="3190" xr3:uid="{C076DFB5-A927-44EC-9BED-A33A2ACA6E7A}" name="Column3187"/>
    <tableColumn id="3191" xr3:uid="{0DA6E778-963E-4C23-BEDF-BA3BE5D28909}" name="Column3188"/>
    <tableColumn id="3192" xr3:uid="{3463744F-914D-4529-935E-2ACB0A4CD824}" name="Column3189"/>
    <tableColumn id="3193" xr3:uid="{103A7235-8CF5-4994-B653-6664360799D2}" name="Column3190"/>
    <tableColumn id="3194" xr3:uid="{8B693C15-3322-4B1B-A126-09B8FFC6DD7F}" name="Column3191"/>
    <tableColumn id="3195" xr3:uid="{8095E0DD-4100-4400-BE62-EB5E598DF88A}" name="Column3192"/>
    <tableColumn id="3196" xr3:uid="{387C91DC-9CCC-49BF-9820-594EE2371A8E}" name="Column3193"/>
    <tableColumn id="3197" xr3:uid="{2FFA2B0E-4F63-4752-AAA9-FD69E4381273}" name="Column3194"/>
    <tableColumn id="3198" xr3:uid="{B4430A71-7320-4C76-9B5D-A9C5363D5270}" name="Column3195"/>
    <tableColumn id="3199" xr3:uid="{36EE593D-D5F2-4882-AEE9-5B638970A24A}" name="Column3196"/>
    <tableColumn id="3200" xr3:uid="{EEA09F91-8DCD-4883-969F-9D065134AAD0}" name="Column3197"/>
    <tableColumn id="3201" xr3:uid="{FA0446A4-D7D2-4A67-80BC-DD527F95C55B}" name="Column3198"/>
    <tableColumn id="3202" xr3:uid="{9B4CD62C-BF8A-4161-9D41-7E175E2E68A1}" name="Column3199"/>
    <tableColumn id="3203" xr3:uid="{B1D640F4-84BD-4A7A-AD74-5246B308551F}" name="Column3200"/>
    <tableColumn id="3204" xr3:uid="{2D4132A3-34FF-4928-AF2C-8F904C049862}" name="Column3201"/>
    <tableColumn id="3205" xr3:uid="{CE938A9D-EF5C-4E03-9EC3-1E3B1EEC7B1C}" name="Column3202"/>
    <tableColumn id="3206" xr3:uid="{44D0F1EF-F191-4CFF-9497-B75D870F4B87}" name="Column3203"/>
    <tableColumn id="3207" xr3:uid="{0969BE30-5084-403A-8CBA-9407FA22F200}" name="Column3204"/>
    <tableColumn id="3208" xr3:uid="{BFF3ADD0-2F2D-476F-9ADF-0577131F5105}" name="Column3205"/>
    <tableColumn id="3209" xr3:uid="{A928674F-8C01-42F3-858D-9C42440D9C58}" name="Column3206"/>
    <tableColumn id="3210" xr3:uid="{0049C18D-280D-408B-8925-3B059337C3C3}" name="Column3207"/>
    <tableColumn id="3211" xr3:uid="{11972BC9-79FE-4B5B-A988-7177D6C87D72}" name="Column3208"/>
    <tableColumn id="3212" xr3:uid="{9702499D-1DB9-4F85-B06F-226349A3F3E8}" name="Column3209"/>
    <tableColumn id="3213" xr3:uid="{4D4DEEFE-6347-49FF-B082-E33CC4780D42}" name="Column3210"/>
    <tableColumn id="3214" xr3:uid="{82A5E34A-4BAB-4BEC-A7C5-9D05BA43ABD3}" name="Column3211"/>
    <tableColumn id="3215" xr3:uid="{CF1375CB-C452-4E6E-B883-5869D04C66AB}" name="Column3212"/>
    <tableColumn id="3216" xr3:uid="{FFA7F46F-2696-445F-A04C-99585B26BE0A}" name="Column3213"/>
    <tableColumn id="3217" xr3:uid="{501E2552-4DE0-4D5B-83B5-CE11CE80D1F2}" name="Column3214"/>
    <tableColumn id="3218" xr3:uid="{A4FBED48-2097-4760-92EE-9D1F3A7935E9}" name="Column3215"/>
    <tableColumn id="3219" xr3:uid="{49BFD3D5-8EC1-40EF-835A-B9DF17343CB8}" name="Column3216"/>
    <tableColumn id="3220" xr3:uid="{F9D3EBE1-CC4A-455B-A017-D7E8339FA67D}" name="Column3217"/>
    <tableColumn id="3221" xr3:uid="{8EEDA60C-1F45-4A0A-B329-F60FE6D54784}" name="Column3218"/>
    <tableColumn id="3222" xr3:uid="{2EB02561-63B1-4A43-8224-6A78FB3F543E}" name="Column3219"/>
    <tableColumn id="3223" xr3:uid="{FB6BC397-0253-453B-AB72-5E1865C3A433}" name="Column3220"/>
    <tableColumn id="3224" xr3:uid="{B99B9E46-A4D4-4B4D-A5A0-D32C68DF520D}" name="Column3221"/>
    <tableColumn id="3225" xr3:uid="{FC49D5BB-59A6-48E7-BAC3-99E22F20B314}" name="Column3222"/>
    <tableColumn id="3226" xr3:uid="{06B05595-7FE7-4E58-986C-A297238C76D3}" name="Column3223"/>
    <tableColumn id="3227" xr3:uid="{EE5FAA5A-0519-4342-B7DD-6C94224A9C6B}" name="Column3224"/>
    <tableColumn id="3228" xr3:uid="{DBEE2762-9F12-47F0-82D0-484C6996F8A5}" name="Column3225"/>
    <tableColumn id="3229" xr3:uid="{24DDE979-2FED-47BA-AABD-7A3D08735143}" name="Column3226"/>
    <tableColumn id="3230" xr3:uid="{6F179444-9F0B-43E5-9B20-6E8E9B304050}" name="Column3227"/>
    <tableColumn id="3231" xr3:uid="{7D7C7940-BBD4-4BA1-92BB-FE7C45842243}" name="Column3228"/>
    <tableColumn id="3232" xr3:uid="{A45F7031-0335-4C7F-9338-1B3C4895CCFA}" name="Column3229"/>
    <tableColumn id="3233" xr3:uid="{FF2F81E2-063F-499F-9EF7-7E28307545D3}" name="Column3230"/>
    <tableColumn id="3234" xr3:uid="{C1F724DC-DF7E-4A58-9801-F68C1E2F7E7C}" name="Column3231"/>
    <tableColumn id="3235" xr3:uid="{CF4F0FB5-8783-425D-9892-5D8D77008761}" name="Column3232"/>
    <tableColumn id="3236" xr3:uid="{1409182A-7B6C-46B7-9EBB-9117AFACCE74}" name="Column3233"/>
    <tableColumn id="3237" xr3:uid="{3A7F493E-45C4-4C3C-AAEB-7F739CAF904C}" name="Column3234"/>
    <tableColumn id="3238" xr3:uid="{AEB1E90C-1E3D-4392-9EFF-0FC0336D0D9C}" name="Column3235"/>
    <tableColumn id="3239" xr3:uid="{E5049C71-E249-4F09-A8FB-13AE5399FF5F}" name="Column3236"/>
    <tableColumn id="3240" xr3:uid="{1C6F69B4-E18B-46B7-A0E2-D2075344D77B}" name="Column3237"/>
    <tableColumn id="3241" xr3:uid="{E3611CD8-6CEC-4E50-B4CF-22D3C9CFC9A2}" name="Column3238"/>
    <tableColumn id="3242" xr3:uid="{C250BBE1-C95B-4E0F-8FE7-5151AD4B1789}" name="Column3239"/>
    <tableColumn id="3243" xr3:uid="{D6FABA71-E212-475E-BB7D-8A4322F54852}" name="Column3240"/>
    <tableColumn id="3244" xr3:uid="{E81501AC-5A5D-469F-BD17-06CC5C14ADC6}" name="Column3241"/>
    <tableColumn id="3245" xr3:uid="{94D65C4E-99FC-43FD-A2A6-AD07214154D1}" name="Column3242"/>
    <tableColumn id="3246" xr3:uid="{F27C9B62-B692-424D-A190-5CECFEB1491E}" name="Column3243"/>
    <tableColumn id="3247" xr3:uid="{D57F4FCA-29B5-4B0C-8305-BCCA30CA7DDC}" name="Column3244"/>
    <tableColumn id="3248" xr3:uid="{F86FC6BE-F52C-4185-9160-5667B6223752}" name="Column3245"/>
    <tableColumn id="3249" xr3:uid="{7C803A6B-00E3-43AD-A3EE-E62A46F05BCF}" name="Column3246"/>
    <tableColumn id="3250" xr3:uid="{1BFFC713-7748-445C-A1A5-21F83CE91E8C}" name="Column3247"/>
    <tableColumn id="3251" xr3:uid="{DD58F59A-6484-4DB6-AD09-77F6D06F62EE}" name="Column3248"/>
    <tableColumn id="3252" xr3:uid="{0C78D2CD-D918-49C3-9504-6FF5D26EE7EA}" name="Column3249"/>
    <tableColumn id="3253" xr3:uid="{53422ACF-B946-4E97-92E1-94DEFF1084C3}" name="Column3250"/>
    <tableColumn id="3254" xr3:uid="{D082D6E1-C56C-415A-AB34-B475CBB53EF5}" name="Column3251"/>
    <tableColumn id="3255" xr3:uid="{1D5E813E-57B3-4849-9351-D50D44C31EB2}" name="Column3252"/>
    <tableColumn id="3256" xr3:uid="{FCE2396F-E167-4A8C-A71E-DC9C00E8E31A}" name="Column3253"/>
    <tableColumn id="3257" xr3:uid="{CD58FF96-59A0-4CAA-8094-C834A0A6293A}" name="Column3254"/>
    <tableColumn id="3258" xr3:uid="{6F0BEB12-80E9-4AC6-8653-0E473C04E917}" name="Column3255"/>
    <tableColumn id="3259" xr3:uid="{494B9B2A-72A8-4F0C-B2D8-0FE062880983}" name="Column3256"/>
    <tableColumn id="3260" xr3:uid="{2A1CBD2D-1909-4EB7-B001-FC85EA8E60C4}" name="Column3257"/>
    <tableColumn id="3261" xr3:uid="{1A9B0353-F6B2-443C-A0FF-AF4018F7C9AD}" name="Column3258"/>
    <tableColumn id="3262" xr3:uid="{C512B183-0AC0-4974-A8D4-F54FE06C0BD5}" name="Column3259"/>
    <tableColumn id="3263" xr3:uid="{717440E0-9544-4191-8B9D-CA1A58C7A308}" name="Column3260"/>
    <tableColumn id="3264" xr3:uid="{A43ACE37-AA16-4C6C-983C-837FAB43E9E1}" name="Column3261"/>
    <tableColumn id="3265" xr3:uid="{A0F464D7-2000-4554-9B4C-4003888C8D80}" name="Column3262"/>
    <tableColumn id="3266" xr3:uid="{63C28501-51B5-453E-9A67-D65AD0C1FBAA}" name="Column3263"/>
    <tableColumn id="3267" xr3:uid="{9940BFF9-10D7-44BB-A9BB-3467CD8CAAB1}" name="Column3264"/>
    <tableColumn id="3268" xr3:uid="{D6F00DB4-603D-4BB1-B3E1-BFAD2854CAC0}" name="Column3265"/>
    <tableColumn id="3269" xr3:uid="{AF8697EB-8947-4518-8B03-67C25DDECB51}" name="Column3266"/>
    <tableColumn id="3270" xr3:uid="{CB7FDED6-5919-4CAA-A2BF-BF714FA84CC3}" name="Column3267"/>
    <tableColumn id="3271" xr3:uid="{B23A83B6-E6CA-41C1-AF94-6A4E7D4902D8}" name="Column3268"/>
    <tableColumn id="3272" xr3:uid="{CC59016F-81F5-4012-BB98-C618A4578A93}" name="Column3269"/>
    <tableColumn id="3273" xr3:uid="{152FDEFA-4544-495D-AA86-6C00CDE6E4FC}" name="Column3270"/>
    <tableColumn id="3274" xr3:uid="{4CA888BF-08ED-4EF6-908F-64E1E674D53A}" name="Column3271"/>
    <tableColumn id="3275" xr3:uid="{61489CBC-CEA9-4FDC-B8A3-4BBDAC3562B9}" name="Column3272"/>
    <tableColumn id="3276" xr3:uid="{42914349-A0D5-4B95-9538-17B0AB8DF8E6}" name="Column3273"/>
    <tableColumn id="3277" xr3:uid="{85FDDAC4-2D45-4A62-A9AC-4216A4A7ED2A}" name="Column3274"/>
    <tableColumn id="3278" xr3:uid="{E6920A7E-7D65-4FCA-9D5C-22B577A9AAE0}" name="Column3275"/>
    <tableColumn id="3279" xr3:uid="{488953E1-28BA-4BEE-9D24-09E14B76F611}" name="Column3276"/>
    <tableColumn id="3280" xr3:uid="{8FFEEF49-F3DC-43EB-AB45-FE349083814C}" name="Column3277"/>
    <tableColumn id="3281" xr3:uid="{079E34A8-AAE2-4D2F-8372-922C8A3D0D73}" name="Column3278"/>
    <tableColumn id="3282" xr3:uid="{605E9A66-A12E-49AB-874E-47EBBA7E3350}" name="Column3279"/>
    <tableColumn id="3283" xr3:uid="{1D9458FA-B126-47B1-AD5E-FBAACF4CA488}" name="Column3280"/>
    <tableColumn id="3284" xr3:uid="{9F32FCC0-2640-49FA-9641-48803293F44C}" name="Column3281"/>
    <tableColumn id="3285" xr3:uid="{2C8797FD-7E71-41C1-9E1C-F34CF802E029}" name="Column3282"/>
    <tableColumn id="3286" xr3:uid="{1062EF09-67C2-4AAD-855F-4EDC98B57B27}" name="Column3283"/>
    <tableColumn id="3287" xr3:uid="{22998AEE-B9F9-4F32-973A-F4E65BAB2F88}" name="Column3284"/>
    <tableColumn id="3288" xr3:uid="{C2B761A8-B097-4570-A3D6-EE1010A5CA98}" name="Column3285"/>
    <tableColumn id="3289" xr3:uid="{6A304393-B894-4700-A2C7-CCD12F7CDFD0}" name="Column3286"/>
    <tableColumn id="3290" xr3:uid="{3C6DB0FB-2CF2-4865-8C3A-D544234113AA}" name="Column3287"/>
    <tableColumn id="3291" xr3:uid="{3092723D-B5FE-4597-9063-2BD9518FC0DC}" name="Column3288"/>
    <tableColumn id="3292" xr3:uid="{904767D4-C2F8-41B5-9659-B9C697DBC057}" name="Column3289"/>
    <tableColumn id="3293" xr3:uid="{9E966678-7EEB-497D-9A0C-2CA2F7F20C6D}" name="Column3290"/>
    <tableColumn id="3294" xr3:uid="{D4D976F6-BEFC-434E-8696-86877B2D7EB4}" name="Column3291"/>
    <tableColumn id="3295" xr3:uid="{C4D317FF-5D91-448E-8397-F4B1BC34F2D8}" name="Column3292"/>
    <tableColumn id="3296" xr3:uid="{1E3EF227-B06D-492E-BB53-DA3899FCE3A0}" name="Column3293"/>
    <tableColumn id="3297" xr3:uid="{0C9DBE10-466A-454C-ACF7-7D413E0CA288}" name="Column3294"/>
    <tableColumn id="3298" xr3:uid="{0E0B90BF-A43E-4FFC-B3B2-6054ED6374AF}" name="Column3295"/>
    <tableColumn id="3299" xr3:uid="{3D394A5E-35A6-424D-84B0-C6852CDD04FA}" name="Column3296"/>
    <tableColumn id="3300" xr3:uid="{125557FD-13D2-4A1E-8A26-B46029ED094D}" name="Column3297"/>
    <tableColumn id="3301" xr3:uid="{B6D45A1B-4109-4D91-AF0E-38E764F40341}" name="Column3298"/>
    <tableColumn id="3302" xr3:uid="{2A0E2501-3430-43AB-817B-923CE028621B}" name="Column3299"/>
    <tableColumn id="3303" xr3:uid="{E157BF82-47A3-44C0-8FA8-79D0852B7494}" name="Column3300"/>
    <tableColumn id="3304" xr3:uid="{FE58FB45-FD7A-4AE2-97A4-A12114EAB08C}" name="Column3301"/>
    <tableColumn id="3305" xr3:uid="{64114E44-4836-4B9C-8653-C5F8342344E7}" name="Column3302"/>
    <tableColumn id="3306" xr3:uid="{0B5928C4-016F-4E38-AF53-908F88AF1960}" name="Column3303"/>
    <tableColumn id="3307" xr3:uid="{F88DCB74-CC1B-4555-85DC-B21DDEB907F4}" name="Column3304"/>
    <tableColumn id="3308" xr3:uid="{42E7C798-2C49-4BEF-8C3A-E527E80884F6}" name="Column3305"/>
    <tableColumn id="3309" xr3:uid="{61359406-8747-414B-9AAD-01DE87452C6F}" name="Column3306"/>
    <tableColumn id="3310" xr3:uid="{98F06826-2D37-476C-9E98-D7EFE724B91E}" name="Column3307"/>
    <tableColumn id="3311" xr3:uid="{037BFF65-E0C0-4A98-9905-0D9E03285747}" name="Column3308"/>
    <tableColumn id="3312" xr3:uid="{CF07D8FB-47CC-4D4F-BC35-55BE8E18E6DC}" name="Column3309"/>
    <tableColumn id="3313" xr3:uid="{A61A0720-46E2-48D3-B842-4EF6F2E83507}" name="Column3310"/>
    <tableColumn id="3314" xr3:uid="{6291DC94-EA52-4383-8DA3-32440F9A56B0}" name="Column3311"/>
    <tableColumn id="3315" xr3:uid="{E38F07E1-8FC6-4BAF-B430-ACEF32A5A501}" name="Column3312"/>
    <tableColumn id="3316" xr3:uid="{C949B344-8EAB-4ABB-9FA1-89801E43EF98}" name="Column3313"/>
    <tableColumn id="3317" xr3:uid="{B06C33D8-95EA-40FE-B050-BD4289D2A921}" name="Column3314"/>
    <tableColumn id="3318" xr3:uid="{F1FCE089-4BBC-49E3-ACDC-8B5D1054C9C9}" name="Column3315"/>
    <tableColumn id="3319" xr3:uid="{C3AC7E97-28C9-49DF-B99C-EE232575EB65}" name="Column3316"/>
    <tableColumn id="3320" xr3:uid="{8DEA7613-3F7D-4806-89C7-E06592A865DE}" name="Column3317"/>
    <tableColumn id="3321" xr3:uid="{E69B8690-5EA8-492F-8BD5-C4C2876DF5FE}" name="Column3318"/>
    <tableColumn id="3322" xr3:uid="{6BFF79C5-F927-4D42-929E-A4D5C1C7058A}" name="Column3319"/>
    <tableColumn id="3323" xr3:uid="{7FA774FA-2327-4840-8FDD-CA00FAC3A24C}" name="Column3320"/>
    <tableColumn id="3324" xr3:uid="{AA2FC1FB-3038-4997-92C1-0AA06406C80B}" name="Column3321"/>
    <tableColumn id="3325" xr3:uid="{7EFE943F-DC95-4AB6-9975-3B279E64A906}" name="Column3322"/>
    <tableColumn id="3326" xr3:uid="{194FB282-B16C-4618-98A2-2B4134BBC212}" name="Column3323"/>
    <tableColumn id="3327" xr3:uid="{2C80E06E-4450-4B76-BF59-5F5CD6A8D1FB}" name="Column3324"/>
    <tableColumn id="3328" xr3:uid="{81ACBEFB-1410-4B2F-A468-8B87A4BB1A82}" name="Column3325"/>
    <tableColumn id="3329" xr3:uid="{FD2AA80D-230F-4D62-B5F7-04A6DC6338D2}" name="Column3326"/>
    <tableColumn id="3330" xr3:uid="{16EC4B46-8EC0-4463-BF02-D346C0D01057}" name="Column3327"/>
    <tableColumn id="3331" xr3:uid="{EFF8157F-4528-4545-9BB5-2F5F126DD42C}" name="Column3328"/>
    <tableColumn id="3332" xr3:uid="{9B57B179-E11C-478B-AC7F-7F646341EB97}" name="Column3329"/>
    <tableColumn id="3333" xr3:uid="{EBB5B09C-4955-4C4D-B4C2-DFAD6C8D2640}" name="Column3330"/>
    <tableColumn id="3334" xr3:uid="{45491E6D-15F9-416A-8607-9E93AA2575CE}" name="Column3331"/>
    <tableColumn id="3335" xr3:uid="{2D5DC29C-94D4-40BF-AB92-8AB6D252D3D9}" name="Column3332"/>
    <tableColumn id="3336" xr3:uid="{C7F749EC-D4AE-4852-A5F6-A596F29EF27E}" name="Column3333"/>
    <tableColumn id="3337" xr3:uid="{F9B621E3-1A2B-49FD-B431-165ABD39C11F}" name="Column3334"/>
    <tableColumn id="3338" xr3:uid="{63EA50C9-EA77-4B6F-B92D-4251F7304CD7}" name="Column3335"/>
    <tableColumn id="3339" xr3:uid="{FB5F9DB1-FABD-4DBA-8E3C-D76828DD8A07}" name="Column3336"/>
    <tableColumn id="3340" xr3:uid="{AA081D16-EDEA-478D-BF86-88D30EE770CA}" name="Column3337"/>
    <tableColumn id="3341" xr3:uid="{0124AC4F-1542-40C2-94CC-964D29F412E5}" name="Column3338"/>
    <tableColumn id="3342" xr3:uid="{AC191010-88EF-4F68-917F-B4F31D796512}" name="Column3339"/>
    <tableColumn id="3343" xr3:uid="{69BF72F3-1DCB-4923-AF7B-432E67C11F48}" name="Column3340"/>
    <tableColumn id="3344" xr3:uid="{81DC1341-3D7A-4334-9C27-F1659B50886B}" name="Column3341"/>
    <tableColumn id="3345" xr3:uid="{DE3A6B33-0197-4D61-A195-3E1301BF7964}" name="Column3342"/>
    <tableColumn id="3346" xr3:uid="{6EA00E55-75FB-4E8F-9D71-7BB7F28CD4EF}" name="Column3343"/>
    <tableColumn id="3347" xr3:uid="{B319C662-3A3F-4DFD-BFF0-785A078E4447}" name="Column3344"/>
    <tableColumn id="3348" xr3:uid="{52FF43FC-068A-4999-864E-B37089A5DD0D}" name="Column3345"/>
    <tableColumn id="3349" xr3:uid="{1DCCFB27-D294-4040-AB95-3106699E1541}" name="Column3346"/>
    <tableColumn id="3350" xr3:uid="{A90D9C50-B14E-41D1-9C74-EAA503EE165F}" name="Column3347"/>
    <tableColumn id="3351" xr3:uid="{BFD6F16C-295F-4DA1-B165-F61FC86D3A31}" name="Column3348"/>
    <tableColumn id="3352" xr3:uid="{CB0CB33C-8BD2-442F-BE9E-009D5F9BC764}" name="Column3349"/>
    <tableColumn id="3353" xr3:uid="{10F65188-4085-4BB7-B7B3-EF00E6E9D4E2}" name="Column3350"/>
    <tableColumn id="3354" xr3:uid="{DECEF8EF-73F2-42AE-A3CF-B1FE1EAEBA06}" name="Column3351"/>
    <tableColumn id="3355" xr3:uid="{A0CEC45C-FC32-468C-946B-370E95D5963B}" name="Column3352"/>
    <tableColumn id="3356" xr3:uid="{785B34BD-0830-4F8E-A4AB-DC05D24D1364}" name="Column3353"/>
    <tableColumn id="3357" xr3:uid="{FF008413-5A99-49D4-BA18-7B021141D22B}" name="Column3354"/>
    <tableColumn id="3358" xr3:uid="{3D0E366B-D2FC-44E1-AC15-8C37626386B0}" name="Column3355"/>
    <tableColumn id="3359" xr3:uid="{9BDC7ABC-0A66-4A90-B79D-83F0F5D6E7DF}" name="Column3356"/>
    <tableColumn id="3360" xr3:uid="{AEA723C6-A31E-43DE-ABAE-D7C39CD45378}" name="Column3357"/>
    <tableColumn id="3361" xr3:uid="{DD938B71-5EBA-46B2-90E0-1334FD17D5EB}" name="Column3358"/>
    <tableColumn id="3362" xr3:uid="{E7954C1A-A2EE-4576-8FEF-7F17DC7D4E3D}" name="Column3359"/>
    <tableColumn id="3363" xr3:uid="{62BB142E-39C3-4A17-BF5D-E083D82437A4}" name="Column3360"/>
    <tableColumn id="3364" xr3:uid="{FA341F40-B1C3-43C3-806E-130DADCDA51E}" name="Column3361"/>
    <tableColumn id="3365" xr3:uid="{0E97B75B-AE66-4409-823C-84DF517B8E7D}" name="Column3362"/>
    <tableColumn id="3366" xr3:uid="{F76EE007-2958-4FFB-8DCF-702FFAB439E3}" name="Column3363"/>
    <tableColumn id="3367" xr3:uid="{FDD09E0D-D3AB-4C70-AB14-2337DD02A55E}" name="Column3364"/>
    <tableColumn id="3368" xr3:uid="{36F847F3-BDF5-4CE2-A4FD-C53C43EBA814}" name="Column3365"/>
    <tableColumn id="3369" xr3:uid="{9A595719-A255-4820-A675-1737598F1BEB}" name="Column3366"/>
    <tableColumn id="3370" xr3:uid="{816BEC56-556E-44CE-9802-70F765FA7AF0}" name="Column3367"/>
    <tableColumn id="3371" xr3:uid="{B9C8F867-31FA-4C79-93FF-2DAD41256E9E}" name="Column3368"/>
    <tableColumn id="3372" xr3:uid="{3CA8D5CF-EE93-4175-8061-FC78AD5E6E77}" name="Column3369"/>
    <tableColumn id="3373" xr3:uid="{E4378819-5CC8-4FCB-94B0-4C1D2021F1C8}" name="Column3370"/>
    <tableColumn id="3374" xr3:uid="{13D671B8-DAA0-474C-ACF3-C1DE89E96B25}" name="Column3371"/>
    <tableColumn id="3375" xr3:uid="{FFE9B201-6077-4BC3-AC1C-FFB72ED3E9D1}" name="Column3372"/>
    <tableColumn id="3376" xr3:uid="{1491EB45-68A4-4617-B572-DF7A53C50188}" name="Column3373"/>
    <tableColumn id="3377" xr3:uid="{A221E0CE-3495-4DB7-B9B1-1B8E01E2E696}" name="Column3374"/>
    <tableColumn id="3378" xr3:uid="{DF7F30F1-1004-4952-8853-13D36719D6D4}" name="Column3375"/>
    <tableColumn id="3379" xr3:uid="{5F299E8B-C0A3-4959-9D05-C40F945E37A7}" name="Column3376"/>
    <tableColumn id="3380" xr3:uid="{34514789-10C6-4EB5-9B6D-AC713EC825E0}" name="Column3377"/>
    <tableColumn id="3381" xr3:uid="{39027105-1844-46EB-8227-6398F95A1ED4}" name="Column3378"/>
    <tableColumn id="3382" xr3:uid="{38FA4450-3B96-4B28-8F62-D443819D920C}" name="Column3379"/>
    <tableColumn id="3383" xr3:uid="{ED855DCD-5824-4C18-B6C1-A338411ED86D}" name="Column3380"/>
    <tableColumn id="3384" xr3:uid="{99041210-B71B-476D-ACEA-758280461766}" name="Column3381"/>
    <tableColumn id="3385" xr3:uid="{AD280E93-B270-4113-99FD-D8B46AA95F2B}" name="Column3382"/>
    <tableColumn id="3386" xr3:uid="{59ED0F2F-F03C-45F1-8335-9387FE8DEF22}" name="Column3383"/>
    <tableColumn id="3387" xr3:uid="{3384831D-D438-42FC-808F-21FE47F67FFE}" name="Column3384"/>
    <tableColumn id="3388" xr3:uid="{98366627-20CF-4C3E-B66B-F6B6431BB002}" name="Column3385"/>
    <tableColumn id="3389" xr3:uid="{E06A30F7-4F29-4707-99D3-DC14A4FE1226}" name="Column3386"/>
    <tableColumn id="3390" xr3:uid="{E0E8179D-B4FD-4A57-A71B-C9107EC06258}" name="Column3387"/>
    <tableColumn id="3391" xr3:uid="{0E61CA9F-439D-4B93-8A7F-BC4D9E6C8E81}" name="Column3388"/>
    <tableColumn id="3392" xr3:uid="{3146FE92-6C1D-4984-9783-DCCFBFAD5F73}" name="Column3389"/>
    <tableColumn id="3393" xr3:uid="{E90964F0-AD11-41AA-A4E4-40BEE8DEA6EF}" name="Column3390"/>
    <tableColumn id="3394" xr3:uid="{FC618E5F-30C3-455F-BDBC-856D344FC652}" name="Column3391"/>
    <tableColumn id="3395" xr3:uid="{9BB6F3EF-BD9B-4085-A678-23B5D9C0A616}" name="Column3392"/>
    <tableColumn id="3396" xr3:uid="{BBFD5022-E178-4B8D-B2D5-A8AA0669C168}" name="Column3393"/>
    <tableColumn id="3397" xr3:uid="{A7D696D1-4EB5-4A2F-8B85-E8B20D98C8DE}" name="Column3394"/>
    <tableColumn id="3398" xr3:uid="{6FA6678E-D0D3-4B49-B759-6D324450EEED}" name="Column3395"/>
    <tableColumn id="3399" xr3:uid="{F1D88A8F-1697-4D3F-B10E-B0EA13DA679F}" name="Column3396"/>
    <tableColumn id="3400" xr3:uid="{9D21CAE7-794B-4963-865C-E4F6F6A57632}" name="Column3397"/>
    <tableColumn id="3401" xr3:uid="{BD3499D0-C2A5-4641-B674-4732D01419F3}" name="Column3398"/>
    <tableColumn id="3402" xr3:uid="{79F7F92B-A8BD-414F-8B27-258EB50D67D1}" name="Column3399"/>
    <tableColumn id="3403" xr3:uid="{D912FD73-E225-40BA-861D-83D8D5C6D59E}" name="Column3400"/>
    <tableColumn id="3404" xr3:uid="{7E4E1A8C-8CB3-4419-B673-CC18A56F5EB0}" name="Column3401"/>
    <tableColumn id="3405" xr3:uid="{CEBBF471-D0DD-430C-AEE5-DBEA61C50E63}" name="Column3402"/>
    <tableColumn id="3406" xr3:uid="{C867CB52-1132-4B9D-8885-435ABEDCE38B}" name="Column3403"/>
    <tableColumn id="3407" xr3:uid="{A11AD883-4D66-4B93-B883-8FF3284326D0}" name="Column3404"/>
    <tableColumn id="3408" xr3:uid="{738E597F-4724-4FA1-9988-80D68CB89603}" name="Column3405"/>
    <tableColumn id="3409" xr3:uid="{A88FD079-7B67-4E38-B6AC-565D4725F6D2}" name="Column3406"/>
    <tableColumn id="3410" xr3:uid="{08B72282-E624-4AE8-B6DB-FD8EC0339DC9}" name="Column3407"/>
    <tableColumn id="3411" xr3:uid="{441346CB-6285-445A-BA65-CCFD7959CA57}" name="Column3408"/>
    <tableColumn id="3412" xr3:uid="{D45C676B-6393-4D6F-97D2-B13F9CABB2D4}" name="Column3409"/>
    <tableColumn id="3413" xr3:uid="{2C440799-354D-4C31-BC80-F17898FFD9AE}" name="Column3410"/>
    <tableColumn id="3414" xr3:uid="{544334A6-1D65-4E44-83B5-47D26798D5F4}" name="Column3411"/>
    <tableColumn id="3415" xr3:uid="{E6209CF1-05DD-4689-B029-AB3933596EF2}" name="Column3412"/>
    <tableColumn id="3416" xr3:uid="{5E49D017-728D-4C9B-848E-4649AD87B66E}" name="Column3413"/>
    <tableColumn id="3417" xr3:uid="{7BA011ED-6973-4323-BCE9-5779643B82B3}" name="Column3414"/>
    <tableColumn id="3418" xr3:uid="{33A1F4CA-17F2-42E4-871F-5E1ED5F7E7DD}" name="Column3415"/>
    <tableColumn id="3419" xr3:uid="{BBF53352-3122-4345-8692-C0C8958C5C13}" name="Column3416"/>
    <tableColumn id="3420" xr3:uid="{DD1D75F1-A084-456F-A1DF-40D81DDC21CA}" name="Column3417"/>
    <tableColumn id="3421" xr3:uid="{FFDA2425-1BFB-453F-982F-B4BF4B0F1D69}" name="Column3418"/>
    <tableColumn id="3422" xr3:uid="{C7C68182-7725-4F17-94C6-9183D4D2209C}" name="Column3419"/>
    <tableColumn id="3423" xr3:uid="{785BE24D-503F-4B04-8B57-D1E9234B1333}" name="Column3420"/>
    <tableColumn id="3424" xr3:uid="{332B8D37-BE12-4017-AA63-BE4E154D424E}" name="Column3421"/>
    <tableColumn id="3425" xr3:uid="{540D4F17-DF09-45B0-9358-23B7A15B383E}" name="Column3422"/>
    <tableColumn id="3426" xr3:uid="{FB2F8074-CF3C-43CD-9009-84C1A7F38D2E}" name="Column3423"/>
    <tableColumn id="3427" xr3:uid="{7168BD9A-E730-4DB8-B389-CCB6A5FEBF57}" name="Column3424"/>
    <tableColumn id="3428" xr3:uid="{A94BE60B-BBCE-46AE-87C8-AA5A70B503A2}" name="Column3425"/>
    <tableColumn id="3429" xr3:uid="{E8EC4135-77BC-444E-BCFF-BD91736610F2}" name="Column3426"/>
    <tableColumn id="3430" xr3:uid="{227B6394-409F-44A3-8830-B7F9B60473C7}" name="Column3427"/>
    <tableColumn id="3431" xr3:uid="{2D1291C6-3A62-4E5C-BC7D-066A906B1BCD}" name="Column3428"/>
    <tableColumn id="3432" xr3:uid="{5A664B0E-7A63-438F-BC18-8A5715D1B0B6}" name="Column3429"/>
    <tableColumn id="3433" xr3:uid="{014906F0-A498-4890-952A-3197C8EADBFD}" name="Column3430"/>
    <tableColumn id="3434" xr3:uid="{BD292DB4-A15F-4234-9973-F8CD9CC7FABF}" name="Column3431"/>
    <tableColumn id="3435" xr3:uid="{1951A53E-A801-4ACC-AD50-BDBB1B5786CA}" name="Column3432"/>
    <tableColumn id="3436" xr3:uid="{747D3045-07CB-459F-9369-851E3DC8C255}" name="Column3433"/>
    <tableColumn id="3437" xr3:uid="{A73D8D18-15FD-48DC-ADD6-8F2DCDF03A9F}" name="Column3434"/>
    <tableColumn id="3438" xr3:uid="{8DE113D5-3781-489A-A668-EACB96A428A7}" name="Column3435"/>
    <tableColumn id="3439" xr3:uid="{CB51C68B-D9CD-446E-903A-1AFA0BA1F76A}" name="Column3436"/>
    <tableColumn id="3440" xr3:uid="{AE96FF49-E625-4AC2-B40B-71D2C733E849}" name="Column3437"/>
    <tableColumn id="3441" xr3:uid="{6285D1F4-5507-4DBE-BB77-B64E27BC4795}" name="Column3438"/>
    <tableColumn id="3442" xr3:uid="{57DFD3B1-B682-4565-AABC-21ED8AFCAE24}" name="Column3439"/>
    <tableColumn id="3443" xr3:uid="{D5FDBACA-7FF2-4449-BD58-A728582BB0D1}" name="Column3440"/>
    <tableColumn id="3444" xr3:uid="{AF438C92-C4D6-4EAC-B7A1-D17220814D79}" name="Column3441"/>
    <tableColumn id="3445" xr3:uid="{D7534A5F-93D5-4954-BF61-4D8F0BD38B8C}" name="Column3442"/>
    <tableColumn id="3446" xr3:uid="{7F91426D-C194-4502-AB01-19E81D72AEBC}" name="Column3443"/>
    <tableColumn id="3447" xr3:uid="{0C2EC6DC-4636-4FB7-B92F-9C34E57A6A32}" name="Column3444"/>
    <tableColumn id="3448" xr3:uid="{AB42F9B9-B2D3-4A8F-A977-A051FE89483A}" name="Column3445"/>
    <tableColumn id="3449" xr3:uid="{09CFFC46-BBDC-465D-81D4-83056CC25E22}" name="Column3446"/>
    <tableColumn id="3450" xr3:uid="{29EB5014-A668-4161-A1BC-4E0F39EE42F2}" name="Column3447"/>
    <tableColumn id="3451" xr3:uid="{E1FAF296-8CF6-4141-97C6-C320754C6A4F}" name="Column3448"/>
    <tableColumn id="3452" xr3:uid="{EDB94FD9-94D0-4F00-85AD-86A679C3DC51}" name="Column3449"/>
    <tableColumn id="3453" xr3:uid="{A3A94E50-95E2-497F-9E03-49297E58024B}" name="Column3450"/>
    <tableColumn id="3454" xr3:uid="{AFDD6235-71DE-48C6-945E-7F9FBD91735F}" name="Column3451"/>
    <tableColumn id="3455" xr3:uid="{C7E8588B-63E6-4928-B3A4-14F19F77C88A}" name="Column3452"/>
    <tableColumn id="3456" xr3:uid="{E8D3010A-CE7D-4593-8E6A-6615D1D44BCA}" name="Column3453"/>
    <tableColumn id="3457" xr3:uid="{4B33E0D5-6FDC-4CD2-A743-1D4EE97EC25D}" name="Column3454"/>
    <tableColumn id="3458" xr3:uid="{67A5FE98-F762-4BA8-A660-34EFC5083A2B}" name="Column3455"/>
    <tableColumn id="3459" xr3:uid="{42C9C24F-DA28-4EDE-9C61-BC869182F1B0}" name="Column3456"/>
    <tableColumn id="3460" xr3:uid="{97295130-80A7-4DC7-9E6C-700AA87AD86F}" name="Column3457"/>
    <tableColumn id="3461" xr3:uid="{3D587DBD-2552-492A-B641-77397E2DE241}" name="Column3458"/>
    <tableColumn id="3462" xr3:uid="{036B7903-ECED-4BB5-BBF3-57EE66A9C75F}" name="Column3459"/>
    <tableColumn id="3463" xr3:uid="{846953B6-0C3B-47EC-9EF6-3CB47F58311E}" name="Column3460"/>
    <tableColumn id="3464" xr3:uid="{D5B89BF3-B9BF-456F-B2B9-DE31CB317B19}" name="Column3461"/>
    <tableColumn id="3465" xr3:uid="{F5C3C443-4EAA-4660-B820-C6B635F938B7}" name="Column3462"/>
    <tableColumn id="3466" xr3:uid="{CBA7B0B6-3932-439A-ADA6-8F132A170159}" name="Column3463"/>
    <tableColumn id="3467" xr3:uid="{2D32D869-BCCB-465F-8DDE-745FD6EEDBB1}" name="Column3464"/>
    <tableColumn id="3468" xr3:uid="{EE208119-4DDD-4B78-8605-FD6F9A6B616D}" name="Column3465"/>
    <tableColumn id="3469" xr3:uid="{29BBFE98-47B7-4BFE-99CD-0DB7556CB2BA}" name="Column3466"/>
    <tableColumn id="3470" xr3:uid="{F9E5D11A-2F12-4DE9-8BE0-527BFF7C59F9}" name="Column3467"/>
    <tableColumn id="3471" xr3:uid="{C5C0F211-E222-47B0-A15C-0443E77272E0}" name="Column3468"/>
    <tableColumn id="3472" xr3:uid="{4162E979-F71A-462D-A49C-593FDCA0BFFD}" name="Column3469"/>
    <tableColumn id="3473" xr3:uid="{F66D3BFC-C929-4396-9C59-2F7C59ADA909}" name="Column3470"/>
    <tableColumn id="3474" xr3:uid="{DF535438-A1BA-4099-ABF1-A50B385811A2}" name="Column3471"/>
    <tableColumn id="3475" xr3:uid="{9E30EE4D-F58B-4E5B-8BAD-1469C0C9E828}" name="Column3472"/>
    <tableColumn id="3476" xr3:uid="{70BD94DE-CFA8-41F4-ACD8-60C6AA207A14}" name="Column3473"/>
    <tableColumn id="3477" xr3:uid="{0B1239FC-CE20-407A-9B81-C029DBD3C939}" name="Column3474"/>
    <tableColumn id="3478" xr3:uid="{4B7704D3-C7DE-4F4D-B952-CF6797D4343F}" name="Column3475"/>
    <tableColumn id="3479" xr3:uid="{C9B559A9-35BD-4861-9BB8-DC5AA5F6D83E}" name="Column3476"/>
    <tableColumn id="3480" xr3:uid="{6B0ED95A-8135-4A9E-B44D-3CA16D162333}" name="Column3477"/>
    <tableColumn id="3481" xr3:uid="{3E0DECEB-0E0E-4988-A443-AFBD530B8F6F}" name="Column3478"/>
    <tableColumn id="3482" xr3:uid="{02DBF389-87CD-4987-B88F-210CD328E79D}" name="Column3479"/>
    <tableColumn id="3483" xr3:uid="{84ED2D13-9091-4A43-8555-29120CE89492}" name="Column3480"/>
    <tableColumn id="3484" xr3:uid="{8B66CA9D-A460-434E-844B-D068AADA17A4}" name="Column3481"/>
    <tableColumn id="3485" xr3:uid="{C1764DA8-E72A-4596-80B7-E50B06D7B677}" name="Column3482"/>
    <tableColumn id="3486" xr3:uid="{CD6322AA-8604-4665-B23E-EC09968FFE2C}" name="Column3483"/>
    <tableColumn id="3487" xr3:uid="{E519288B-CF99-4D13-BF0C-5A86DE6AC47F}" name="Column3484"/>
    <tableColumn id="3488" xr3:uid="{9F9193A0-EF9E-4DD2-AE79-27CBE8DC9372}" name="Column3485"/>
    <tableColumn id="3489" xr3:uid="{3A18C418-D8C6-4B8C-B2EE-F82347086E5C}" name="Column3486"/>
    <tableColumn id="3490" xr3:uid="{C9CB2E19-37D4-4543-86E4-88F19DEF1512}" name="Column3487"/>
    <tableColumn id="3491" xr3:uid="{4C1AF148-D66F-4F0D-80DB-DA3B0C173AF8}" name="Column3488"/>
    <tableColumn id="3492" xr3:uid="{5B4A65AD-E447-406C-BCF0-E273F78F80A6}" name="Column3489"/>
    <tableColumn id="3493" xr3:uid="{2A301CE5-6399-4A7B-8502-A67079AE9E43}" name="Column3490"/>
    <tableColumn id="3494" xr3:uid="{F583E683-89C7-42B8-B5DA-B1B763C478A4}" name="Column3491"/>
    <tableColumn id="3495" xr3:uid="{D1BC6527-FCCF-4141-8E2B-88D555BB0097}" name="Column3492"/>
    <tableColumn id="3496" xr3:uid="{804F0BB9-5CD2-454A-97C5-0D0AE55474EA}" name="Column3493"/>
    <tableColumn id="3497" xr3:uid="{35543616-4E1B-4923-83E7-42B33ED294FB}" name="Column3494"/>
    <tableColumn id="3498" xr3:uid="{F1D71F40-0382-44EB-B46D-989B6D2C260E}" name="Column3495"/>
    <tableColumn id="3499" xr3:uid="{6ABCB08E-1E73-420D-98FE-2D4EB7041BC9}" name="Column3496"/>
    <tableColumn id="3500" xr3:uid="{5E897C43-8A6D-46DD-B42C-8979B4613975}" name="Column3497"/>
    <tableColumn id="3501" xr3:uid="{B8E3F334-10F6-4F3F-A7AD-1A5AC89AD5F6}" name="Column3498"/>
    <tableColumn id="3502" xr3:uid="{89772D86-694C-4FCB-842A-32B6BA48B3ED}" name="Column3499"/>
    <tableColumn id="3503" xr3:uid="{A4EF7B9D-54EC-42D0-886A-6940E49F5C62}" name="Column3500"/>
    <tableColumn id="3504" xr3:uid="{97564D60-B594-4B4C-B18E-03F03761A27B}" name="Column3501"/>
    <tableColumn id="3505" xr3:uid="{BE46687A-1CF6-412A-ADF9-3EE298C3F800}" name="Column3502"/>
    <tableColumn id="3506" xr3:uid="{87CDBF94-F1B7-45FB-BB54-CCE6CA23B72B}" name="Column3503"/>
    <tableColumn id="3507" xr3:uid="{96759B57-756D-4E4D-8201-E7EBA5C6EDFA}" name="Column3504"/>
    <tableColumn id="3508" xr3:uid="{17CD3B4B-8D98-4E26-BE83-BF2505F9F619}" name="Column3505"/>
    <tableColumn id="3509" xr3:uid="{F9C2CFB3-F013-43F5-9647-4056234E8B75}" name="Column3506"/>
    <tableColumn id="3510" xr3:uid="{489B7816-A862-4E0E-B31D-CECD5FD726B7}" name="Column3507"/>
    <tableColumn id="3511" xr3:uid="{28CB37E8-9D50-4A09-8EB5-C007F3A68511}" name="Column3508"/>
    <tableColumn id="3512" xr3:uid="{860D9535-4BB5-4570-9DD9-4C087ED09437}" name="Column3509"/>
    <tableColumn id="3513" xr3:uid="{538FCE1B-D1EC-41D4-B065-E327811B24F4}" name="Column3510"/>
    <tableColumn id="3514" xr3:uid="{FA8A1201-3863-4039-8322-302BC4952423}" name="Column3511"/>
    <tableColumn id="3515" xr3:uid="{4C6CFE72-D8DD-4AC3-9534-593859796372}" name="Column3512"/>
    <tableColumn id="3516" xr3:uid="{9EBF5857-3388-41F2-BEB5-ED38C91157D4}" name="Column3513"/>
    <tableColumn id="3517" xr3:uid="{7E155E1B-888C-432C-8712-EB3CF41CD8C1}" name="Column3514"/>
    <tableColumn id="3518" xr3:uid="{F0E83C0E-D3CE-40BE-B7F0-00D338D89226}" name="Column3515"/>
    <tableColumn id="3519" xr3:uid="{32AD9B53-4CF4-4F7C-8C3C-24F7826872A7}" name="Column3516"/>
    <tableColumn id="3520" xr3:uid="{29D20703-732D-4928-8B3D-82501CEA9447}" name="Column3517"/>
    <tableColumn id="3521" xr3:uid="{C886BD60-52BE-459A-9B2C-2E3F13647408}" name="Column3518"/>
    <tableColumn id="3522" xr3:uid="{E11D5831-03C7-4D7E-8895-4738DE60E907}" name="Column3519"/>
    <tableColumn id="3523" xr3:uid="{C45161B7-2FC1-4FEB-A505-580900519FA2}" name="Column3520"/>
    <tableColumn id="3524" xr3:uid="{D07F6B25-BBF6-4CE6-8F2E-101527AE3452}" name="Column3521"/>
    <tableColumn id="3525" xr3:uid="{1BA18DC6-6618-471A-A0C3-18218627FB33}" name="Column3522"/>
    <tableColumn id="3526" xr3:uid="{E94257C2-1DE2-4E56-99E2-04A10D095D49}" name="Column3523"/>
    <tableColumn id="3527" xr3:uid="{3201380C-B13A-4C9C-8D15-78FE70941ACF}" name="Column3524"/>
    <tableColumn id="3528" xr3:uid="{BD2935FA-92BF-45D5-8B64-6E96CB7A7203}" name="Column3525"/>
    <tableColumn id="3529" xr3:uid="{080509CA-45A0-4585-AAB8-AA86CDCC1D83}" name="Column3526"/>
    <tableColumn id="3530" xr3:uid="{C2A4FF49-776E-42C7-80A7-B4098557C6C9}" name="Column3527"/>
    <tableColumn id="3531" xr3:uid="{F974AE90-0D85-41C7-832F-0503273EF91C}" name="Column3528"/>
    <tableColumn id="3532" xr3:uid="{7F4B6840-C73E-4BA1-A7D0-9D3FB322A1B5}" name="Column3529"/>
    <tableColumn id="3533" xr3:uid="{F4C59665-DD92-453A-AA4D-34F3604142A4}" name="Column3530"/>
    <tableColumn id="3534" xr3:uid="{92B02F0D-464A-4733-801C-495D659A8BFC}" name="Column3531"/>
    <tableColumn id="3535" xr3:uid="{F5F78181-E77A-44DB-8549-E764A245C23B}" name="Column3532"/>
    <tableColumn id="3536" xr3:uid="{E6ED249C-22C2-46DB-879A-EE2DC1597478}" name="Column3533"/>
    <tableColumn id="3537" xr3:uid="{62FB4851-72F8-440C-9CC6-BD918376E5BC}" name="Column3534"/>
    <tableColumn id="3538" xr3:uid="{C3F7B886-87C9-40AF-9033-3FDC1D3F931A}" name="Column3535"/>
    <tableColumn id="3539" xr3:uid="{7308592D-7463-422B-9EA8-3815449EA631}" name="Column3536"/>
    <tableColumn id="3540" xr3:uid="{3CABB400-EF27-488F-AC81-A11626820D4F}" name="Column3537"/>
    <tableColumn id="3541" xr3:uid="{C406517A-8042-44D3-A1EB-3333907BAFA0}" name="Column3538"/>
    <tableColumn id="3542" xr3:uid="{E2DA8663-B7DE-438F-8A01-060EF75D1530}" name="Column3539"/>
    <tableColumn id="3543" xr3:uid="{8B9209E2-F28D-449F-AF22-DC5F80D49223}" name="Column3540"/>
    <tableColumn id="3544" xr3:uid="{5D838476-688B-4144-A53E-3600DBD76D2D}" name="Column3541"/>
    <tableColumn id="3545" xr3:uid="{668FB811-894B-44E4-8B22-0AF22B23A2A0}" name="Column3542"/>
    <tableColumn id="3546" xr3:uid="{B996BDC4-9111-47FA-8060-EB98DFD21956}" name="Column3543"/>
    <tableColumn id="3547" xr3:uid="{7B083513-5585-414D-AD2A-778F0CE7B54E}" name="Column3544"/>
    <tableColumn id="3548" xr3:uid="{C0F6BFFF-5E20-45F1-9F4C-931156B31682}" name="Column3545"/>
    <tableColumn id="3549" xr3:uid="{1F629F92-FBFB-4E10-8631-F3E98699B05A}" name="Column3546"/>
    <tableColumn id="3550" xr3:uid="{AB814B66-B16B-40B7-BE2E-F384081C5202}" name="Column3547"/>
    <tableColumn id="3551" xr3:uid="{3A0E1215-36D0-4127-B4B3-FB3EF9E1B603}" name="Column3548"/>
    <tableColumn id="3552" xr3:uid="{517C779C-45B9-4A4D-A220-E1BD4C326F5A}" name="Column3549"/>
    <tableColumn id="3553" xr3:uid="{2EC50BEF-4E19-48C9-AC8E-723A52882930}" name="Column3550"/>
    <tableColumn id="3554" xr3:uid="{3C6D03EA-DAB0-43D0-86EC-1EF2A931812E}" name="Column3551"/>
    <tableColumn id="3555" xr3:uid="{91414425-D077-428E-9B9D-9A23F62270DD}" name="Column3552"/>
    <tableColumn id="3556" xr3:uid="{6DD2EB73-69EE-4A8A-9988-75132047B2B6}" name="Column3553"/>
    <tableColumn id="3557" xr3:uid="{6E04AEEC-88E4-4752-AADB-6D779101C358}" name="Column3554"/>
    <tableColumn id="3558" xr3:uid="{AC3F38C3-0CFA-4BB3-8AD1-1BC1A006FEA0}" name="Column3555"/>
    <tableColumn id="3559" xr3:uid="{B7666863-C823-4DF8-B2E4-3A7E859130DB}" name="Column3556"/>
    <tableColumn id="3560" xr3:uid="{DEC50775-788C-47D1-A59A-0609FBF97227}" name="Column3557"/>
    <tableColumn id="3561" xr3:uid="{8D500E28-DD8F-4E52-80AB-044BB72FD054}" name="Column3558"/>
    <tableColumn id="3562" xr3:uid="{7F115B24-C6DC-42F3-8807-0ABDC640AEB4}" name="Column3559"/>
    <tableColumn id="3563" xr3:uid="{160C1CF7-5AF0-4A1A-BCBA-891C7A4BA962}" name="Column3560"/>
    <tableColumn id="3564" xr3:uid="{6AA8E2E5-5F89-42BE-80CE-F3ECBF29D29A}" name="Column3561"/>
    <tableColumn id="3565" xr3:uid="{F3B59FE0-3218-4EDB-9D09-EDD4E227EF19}" name="Column3562"/>
    <tableColumn id="3566" xr3:uid="{53F0D246-E8F9-4AB5-BB85-4C22BAC53DB1}" name="Column3563"/>
    <tableColumn id="3567" xr3:uid="{73B32AED-6A99-47B6-818F-DC24C03574A3}" name="Column3564"/>
    <tableColumn id="3568" xr3:uid="{B2297BF5-AF12-4807-86ED-F498764951CB}" name="Column3565"/>
    <tableColumn id="3569" xr3:uid="{DC07BF91-1A92-4063-839A-B855B8EFE2B7}" name="Column3566"/>
    <tableColumn id="3570" xr3:uid="{DD667384-05E2-4A4C-919F-A63D7E0C4626}" name="Column3567"/>
    <tableColumn id="3571" xr3:uid="{B9B29DF0-E845-47F0-95AA-8E040F82F7B3}" name="Column3568"/>
    <tableColumn id="3572" xr3:uid="{BFE7C32A-5703-48B3-9D39-7034A144FBD8}" name="Column3569"/>
    <tableColumn id="3573" xr3:uid="{AF52CCE7-B882-4887-9F25-668FCC49AF28}" name="Column3570"/>
    <tableColumn id="3574" xr3:uid="{4471F4DF-97E8-4ECC-9D03-6B3F159B40EC}" name="Column3571"/>
    <tableColumn id="3575" xr3:uid="{48A5D97B-82CF-4E8C-9CC2-E688FF14BEB3}" name="Column3572"/>
    <tableColumn id="3576" xr3:uid="{F8AC70EA-2D99-49FF-94F9-387561F9A17A}" name="Column3573"/>
    <tableColumn id="3577" xr3:uid="{041C94F4-BAD7-4B07-94AA-D449C66E3E2A}" name="Column3574"/>
    <tableColumn id="3578" xr3:uid="{6460E066-3FA5-44D5-B5D4-162DD8235C63}" name="Column3575"/>
    <tableColumn id="3579" xr3:uid="{23F6BED6-E28C-436E-8D5A-A62EE7929122}" name="Column3576"/>
    <tableColumn id="3580" xr3:uid="{53BDDABA-93AC-418E-B908-CD5576D29925}" name="Column3577"/>
    <tableColumn id="3581" xr3:uid="{81EB2631-14D5-4634-9471-FEA0829C36C3}" name="Column3578"/>
    <tableColumn id="3582" xr3:uid="{9A4E8937-EB12-4F0D-990A-ADA85F112EF0}" name="Column3579"/>
    <tableColumn id="3583" xr3:uid="{FE711F06-B41F-459C-89F3-3D9CAB662F78}" name="Column3580"/>
    <tableColumn id="3584" xr3:uid="{5CADC0A5-6C40-465D-B740-AB034D957719}" name="Column3581"/>
    <tableColumn id="3585" xr3:uid="{F3493C02-242A-440E-972C-612864F7DA12}" name="Column3582"/>
    <tableColumn id="3586" xr3:uid="{2769FF1D-1CDB-4A55-8198-FA49A65121EB}" name="Column3583"/>
    <tableColumn id="3587" xr3:uid="{71EB43A4-6B4B-4C7F-867D-BB02667F8ABE}" name="Column3584"/>
    <tableColumn id="3588" xr3:uid="{DAA2802C-0EFD-49E3-B0E8-9C7D5F5556E9}" name="Column3585"/>
    <tableColumn id="3589" xr3:uid="{9A78B867-2278-4FAD-AEFB-827114F8EA77}" name="Column3586"/>
    <tableColumn id="3590" xr3:uid="{B8D77FCE-4D4F-4BBA-B13C-D8A3E50990A3}" name="Column3587"/>
    <tableColumn id="3591" xr3:uid="{AE2C6098-8EDB-4EF2-9247-91D566E765FD}" name="Column3588"/>
    <tableColumn id="3592" xr3:uid="{365B0FCE-24BA-47D4-A804-7A91F1A87373}" name="Column3589"/>
    <tableColumn id="3593" xr3:uid="{C6B29C7A-A40C-4E33-9D68-4851167B2949}" name="Column3590"/>
    <tableColumn id="3594" xr3:uid="{923C0363-BA7B-4C58-A9A2-4A5527A7E293}" name="Column3591"/>
    <tableColumn id="3595" xr3:uid="{FBE232FF-7DB9-4E5C-9876-7A8B26355A57}" name="Column3592"/>
    <tableColumn id="3596" xr3:uid="{7409527B-CA10-4658-BB07-191743D5C9A7}" name="Column3593"/>
    <tableColumn id="3597" xr3:uid="{D8C5276C-4B08-43A0-AA2E-866B3E9B8763}" name="Column3594"/>
    <tableColumn id="3598" xr3:uid="{B6F62DCF-7257-4914-99AE-6A5834FBF89D}" name="Column3595"/>
    <tableColumn id="3599" xr3:uid="{33F33808-2AC7-4438-B4AB-B9DE6DAD06DC}" name="Column3596"/>
    <tableColumn id="3600" xr3:uid="{4D1E8CBB-077E-4306-ABFB-F6A35430D2CF}" name="Column3597"/>
    <tableColumn id="3601" xr3:uid="{34547DB9-BD54-4A6F-8455-A805D1E66188}" name="Column3598"/>
    <tableColumn id="3602" xr3:uid="{5ECAA496-29F9-4A61-8BA5-F25628E51154}" name="Column3599"/>
    <tableColumn id="3603" xr3:uid="{A574EE07-7403-4E71-A9B7-B851DA436A52}" name="Column3600"/>
    <tableColumn id="3604" xr3:uid="{EE57196A-EA0E-46AD-9BAD-8BC17FB53D0A}" name="Column3601"/>
    <tableColumn id="3605" xr3:uid="{9514A4EF-020B-4A7A-B79A-B92ED75E8F6C}" name="Column3602"/>
    <tableColumn id="3606" xr3:uid="{267F6522-94B9-4EEC-8445-675078BCF679}" name="Column3603"/>
    <tableColumn id="3607" xr3:uid="{1BE469F4-B65C-47D1-BD95-61A14EA9ECB9}" name="Column3604"/>
    <tableColumn id="3608" xr3:uid="{FE9B3241-B00A-4A5C-8AA6-03BE02741EF7}" name="Column3605"/>
    <tableColumn id="3609" xr3:uid="{32C51C95-91FC-4027-91A6-0C9DD5BC8B0D}" name="Column3606"/>
    <tableColumn id="3610" xr3:uid="{AFCB8217-6CA6-4287-8D55-1AE74D998EBA}" name="Column3607"/>
    <tableColumn id="3611" xr3:uid="{5FF351BC-62BD-4974-B559-0DD4A5AB686F}" name="Column3608"/>
    <tableColumn id="3612" xr3:uid="{5865EAEB-3CC6-4665-86E6-4935263BE3C3}" name="Column3609"/>
    <tableColumn id="3613" xr3:uid="{598C03CA-5F03-4A87-8994-3BA10F370F58}" name="Column3610"/>
    <tableColumn id="3614" xr3:uid="{5C945AA0-4B0B-45AD-A590-D154745EDE9F}" name="Column3611"/>
    <tableColumn id="3615" xr3:uid="{EEB1A3CF-659B-4610-86E4-10BFCE8C4E20}" name="Column3612"/>
    <tableColumn id="3616" xr3:uid="{71F4CD51-161A-4584-8DBA-305FDEBA036D}" name="Column3613"/>
    <tableColumn id="3617" xr3:uid="{1B436BB7-CBEA-4837-BED7-5878F1C11D0C}" name="Column3614"/>
    <tableColumn id="3618" xr3:uid="{85DB5F9C-5D05-4289-A8F1-F88F28B3FA8E}" name="Column3615"/>
    <tableColumn id="3619" xr3:uid="{BAD74102-A0D8-4BF7-A33C-045BAB9F8F92}" name="Column3616"/>
    <tableColumn id="3620" xr3:uid="{FAE86CA7-080C-4001-8945-44C7BA469AA1}" name="Column3617"/>
    <tableColumn id="3621" xr3:uid="{DB59C516-4705-43DD-B450-60BA1A358439}" name="Column3618"/>
    <tableColumn id="3622" xr3:uid="{7CA2A10F-BC07-4CA9-A87D-C606A9B2DCD8}" name="Column3619"/>
    <tableColumn id="3623" xr3:uid="{6BD2A0A7-4150-4630-BE46-969FA81056E5}" name="Column3620"/>
    <tableColumn id="3624" xr3:uid="{333CF171-686F-437B-AD53-80F97845A96E}" name="Column3621"/>
    <tableColumn id="3625" xr3:uid="{B4B49F49-9FE9-4FD3-9ABE-2364BD4D2720}" name="Column3622"/>
    <tableColumn id="3626" xr3:uid="{BAA08A05-2A3F-4C7C-8FA7-B0F3D7979146}" name="Column3623"/>
    <tableColumn id="3627" xr3:uid="{E0AFB122-0C83-45A5-9F04-B3ECF0E41A2A}" name="Column3624"/>
    <tableColumn id="3628" xr3:uid="{6FF3F8CF-1C32-433B-AF49-6FDE1D0E878C}" name="Column3625"/>
    <tableColumn id="3629" xr3:uid="{AD8E52CB-ACD0-4374-9CB1-298E8DC232CD}" name="Column3626"/>
    <tableColumn id="3630" xr3:uid="{8925478A-5AFA-4780-8B0F-BEE4C8814EC7}" name="Column3627"/>
    <tableColumn id="3631" xr3:uid="{31A3DF91-7C87-4BD2-B32E-D7DBF169EA43}" name="Column3628"/>
    <tableColumn id="3632" xr3:uid="{8BD9183D-375C-4525-9C2D-D07081D4642E}" name="Column3629"/>
    <tableColumn id="3633" xr3:uid="{BDC042B9-74EB-4E64-ACB2-159D7E432E0B}" name="Column3630"/>
    <tableColumn id="3634" xr3:uid="{5EADB4EF-8F87-454D-AA6D-8BAC0BAFB4C8}" name="Column3631"/>
    <tableColumn id="3635" xr3:uid="{E156FC86-38F9-461A-A207-E4D1A34C1C5A}" name="Column3632"/>
    <tableColumn id="3636" xr3:uid="{D720A504-2462-402A-92CD-98D9D68C19DA}" name="Column3633"/>
    <tableColumn id="3637" xr3:uid="{47AFA75E-73EB-4F12-B911-C3647D20F44B}" name="Column3634"/>
    <tableColumn id="3638" xr3:uid="{E7CD862B-6AC4-485A-95C0-49185FCF96FF}" name="Column3635"/>
    <tableColumn id="3639" xr3:uid="{7C75E399-95A9-4FF8-8C45-3AB461B17076}" name="Column3636"/>
    <tableColumn id="3640" xr3:uid="{33F0DA96-089A-4266-AEC6-FF90E1F8DD7A}" name="Column3637"/>
    <tableColumn id="3641" xr3:uid="{E1CA6406-5715-4DB1-907F-E40BD16C05E5}" name="Column3638"/>
    <tableColumn id="3642" xr3:uid="{12DADCBB-BF3F-4489-927B-21AFC357DDA6}" name="Column3639"/>
    <tableColumn id="3643" xr3:uid="{03BB3B11-C5BF-4ECB-A33C-675755BE2B1F}" name="Column3640"/>
    <tableColumn id="3644" xr3:uid="{5E07AC8D-22D2-4BEC-9719-B94CF2375693}" name="Column3641"/>
    <tableColumn id="3645" xr3:uid="{72AFA712-43B8-4F06-825C-E2523A0D9B3A}" name="Column3642"/>
    <tableColumn id="3646" xr3:uid="{D3AB1058-1882-4379-BE63-BFD89E11A696}" name="Column3643"/>
    <tableColumn id="3647" xr3:uid="{E4B416B1-7BAA-4B39-B9E1-EC64D17AF171}" name="Column3644"/>
    <tableColumn id="3648" xr3:uid="{EDF89D00-3670-47E8-AE47-165327259DB6}" name="Column3645"/>
    <tableColumn id="3649" xr3:uid="{263E59F4-257D-4C0C-A742-0BDD4028E858}" name="Column3646"/>
    <tableColumn id="3650" xr3:uid="{6CA535FF-7888-462F-BD30-D52C7C10A4AE}" name="Column3647"/>
    <tableColumn id="3651" xr3:uid="{972ED975-4494-4A22-B831-FDB31CCD124C}" name="Column3648"/>
    <tableColumn id="3652" xr3:uid="{E42BAD1F-8D27-4C32-AEDD-71D213482680}" name="Column3649"/>
    <tableColumn id="3653" xr3:uid="{1B1754B0-746A-4772-A6F6-5033E92333F4}" name="Column3650"/>
    <tableColumn id="3654" xr3:uid="{B2225132-4EC0-42E4-AD04-A9D0E6F4B063}" name="Column3651"/>
    <tableColumn id="3655" xr3:uid="{AF0FDF87-DA29-461A-8BB7-CD8B78E2D1A9}" name="Column3652"/>
    <tableColumn id="3656" xr3:uid="{F3CCFCDC-0690-46AB-92A8-93ED9448ADED}" name="Column3653"/>
    <tableColumn id="3657" xr3:uid="{4A71E1FF-FE47-4BDD-9F44-DD8B8D6057E4}" name="Column3654"/>
    <tableColumn id="3658" xr3:uid="{978A21AB-FCE8-4AA3-B9ED-DAD5067F3D01}" name="Column3655"/>
    <tableColumn id="3659" xr3:uid="{229563A3-76B9-40D5-A47A-AC4879D8CA76}" name="Column3656"/>
    <tableColumn id="3660" xr3:uid="{C7FFBDFB-0532-4F5E-AEA3-45B7E7F216BD}" name="Column3657"/>
    <tableColumn id="3661" xr3:uid="{015BF7B8-39A5-4ECE-814F-A96520204523}" name="Column3658"/>
    <tableColumn id="3662" xr3:uid="{07291129-10C6-4562-9402-C6FAEECC11D8}" name="Column3659"/>
    <tableColumn id="3663" xr3:uid="{F1E85198-865B-4AA7-A3CF-4354BEC1C156}" name="Column3660"/>
    <tableColumn id="3664" xr3:uid="{470780C4-F7FB-4C39-BC23-C2C9770A154C}" name="Column3661"/>
    <tableColumn id="3665" xr3:uid="{F008A1A9-8DD5-44B0-9EDE-4210913848A3}" name="Column3662"/>
    <tableColumn id="3666" xr3:uid="{797A1015-8D93-42A9-B0D0-61F5AC7378BD}" name="Column3663"/>
    <tableColumn id="3667" xr3:uid="{42030F40-DB61-4EB5-A313-222D0743ED7E}" name="Column3664"/>
    <tableColumn id="3668" xr3:uid="{5FC16C28-A9F2-4B32-9AEE-9B197A4AA0B5}" name="Column3665"/>
    <tableColumn id="3669" xr3:uid="{19E4046E-BBA6-42A5-A711-AB3A26D107BF}" name="Column3666"/>
    <tableColumn id="3670" xr3:uid="{092472A5-5828-4502-B9BF-A946B0307FEC}" name="Column3667"/>
    <tableColumn id="3671" xr3:uid="{E0FC56A8-26D4-4CF0-9402-502F0834E3C2}" name="Column3668"/>
    <tableColumn id="3672" xr3:uid="{976DA811-1D33-4C20-8E2E-C06836EC94EF}" name="Column3669"/>
    <tableColumn id="3673" xr3:uid="{C4041C87-5005-4BC8-884A-E3B0BCF5C8CC}" name="Column3670"/>
    <tableColumn id="3674" xr3:uid="{F618F663-C7D1-463E-B58C-4F5582B67FD5}" name="Column3671"/>
    <tableColumn id="3675" xr3:uid="{0D49A4E5-9C6C-4D87-9207-499EE266783F}" name="Column3672"/>
    <tableColumn id="3676" xr3:uid="{AA06F102-6B3D-48E6-AB8D-973D07FBCF97}" name="Column3673"/>
    <tableColumn id="3677" xr3:uid="{169A0821-4265-45E0-98AD-B4A0E72C263B}" name="Column3674"/>
    <tableColumn id="3678" xr3:uid="{C64425AB-A0D7-4679-A935-61C0B74507F1}" name="Column3675"/>
    <tableColumn id="3679" xr3:uid="{58DD99A3-142D-4D85-A31E-33AF02E84131}" name="Column3676"/>
    <tableColumn id="3680" xr3:uid="{9ED89DD3-669E-4696-879E-4657CBAF3E61}" name="Column3677"/>
    <tableColumn id="3681" xr3:uid="{0B7E3C5E-4C36-4097-AA59-8DACF65A7982}" name="Column3678"/>
    <tableColumn id="3682" xr3:uid="{97156BAB-F9F0-44C8-8251-DB7BD3B823F8}" name="Column3679"/>
    <tableColumn id="3683" xr3:uid="{C9BD58E4-1E23-4CC5-8AB6-1AC38E648763}" name="Column3680"/>
    <tableColumn id="3684" xr3:uid="{25D8B715-6336-49BE-B9D7-9B6CC5D486EF}" name="Column3681"/>
    <tableColumn id="3685" xr3:uid="{4E122A6F-CF7D-446F-9719-8EEBF8FE8672}" name="Column3682"/>
    <tableColumn id="3686" xr3:uid="{A07B4A0B-6AB4-40C4-967F-4C849F99F598}" name="Column3683"/>
    <tableColumn id="3687" xr3:uid="{84BD2ABC-B5AF-4346-8718-5295623C41E5}" name="Column3684"/>
    <tableColumn id="3688" xr3:uid="{1B5E96F1-AF9F-491B-8980-C895E66FC647}" name="Column3685"/>
    <tableColumn id="3689" xr3:uid="{EDBA6DD5-6140-4B3C-948E-2DAF9BBBC7C0}" name="Column3686"/>
    <tableColumn id="3690" xr3:uid="{0BDF4800-6D53-469F-9633-CFBBCE529EE6}" name="Column3687"/>
    <tableColumn id="3691" xr3:uid="{8F975DBF-92E1-4E37-819A-99D522085ADE}" name="Column3688"/>
    <tableColumn id="3692" xr3:uid="{96728795-2ED0-49D5-BA41-711FC1AD4306}" name="Column3689"/>
    <tableColumn id="3693" xr3:uid="{7DFAACFD-AC97-41BA-8C3D-A714C3A21136}" name="Column3690"/>
    <tableColumn id="3694" xr3:uid="{A00525B4-5D8C-4029-9943-AABC2C96312E}" name="Column3691"/>
    <tableColumn id="3695" xr3:uid="{1FE6346F-80FE-4185-9976-1264AB3B80A3}" name="Column3692"/>
    <tableColumn id="3696" xr3:uid="{EA581F8C-E9E0-4B86-887A-009E80A845F1}" name="Column3693"/>
    <tableColumn id="3697" xr3:uid="{1E0018FC-373A-4498-858E-62E292988629}" name="Column3694"/>
    <tableColumn id="3698" xr3:uid="{36E5A104-9054-4D6E-B9D5-E26B5977107E}" name="Column3695"/>
    <tableColumn id="3699" xr3:uid="{0BB97826-CCA3-4C3D-9308-31797A5EAAD4}" name="Column3696"/>
    <tableColumn id="3700" xr3:uid="{1F27FE45-53AC-4064-911D-7FF3FF2DC23C}" name="Column3697"/>
    <tableColumn id="3701" xr3:uid="{03CDB40C-64A7-4251-B80A-305D71255CFF}" name="Column3698"/>
    <tableColumn id="3702" xr3:uid="{5BE29BAA-D95B-4841-A4EA-D5985885A2D7}" name="Column3699"/>
    <tableColumn id="3703" xr3:uid="{95C34DDF-896F-43DF-814D-D326A63CE76C}" name="Column3700"/>
    <tableColumn id="3704" xr3:uid="{4214BDDD-1C5D-44FD-83CE-A4B27891C921}" name="Column3701"/>
    <tableColumn id="3705" xr3:uid="{A70ED20E-9436-46FA-AF7C-B0B0A3503518}" name="Column3702"/>
    <tableColumn id="3706" xr3:uid="{7620FC4D-3FEB-4A84-B242-78227A727B87}" name="Column3703"/>
    <tableColumn id="3707" xr3:uid="{81BACD19-36A0-4F98-B5C9-A7988A40362F}" name="Column3704"/>
    <tableColumn id="3708" xr3:uid="{6B425B29-D562-42B4-BAEC-A15483E96CAF}" name="Column3705"/>
    <tableColumn id="3709" xr3:uid="{FEA5FF6B-5EB1-46F6-A978-8B8E5380312F}" name="Column3706"/>
    <tableColumn id="3710" xr3:uid="{B8B62631-B86E-4550-B65C-D9BA28787D8C}" name="Column3707"/>
    <tableColumn id="3711" xr3:uid="{DFABC50B-E5F2-49F5-B340-7F5D0DB1C712}" name="Column3708"/>
    <tableColumn id="3712" xr3:uid="{6EBE85D6-9B5B-440F-A901-487DAF342D8B}" name="Column3709"/>
    <tableColumn id="3713" xr3:uid="{6BE86FB8-BF29-48AA-8477-80871747ECB9}" name="Column3710"/>
    <tableColumn id="3714" xr3:uid="{42790593-9563-409D-81BE-5C4DA2239BF2}" name="Column3711"/>
    <tableColumn id="3715" xr3:uid="{B53E4308-A76B-4695-8C39-A69542E8F7B2}" name="Column3712"/>
    <tableColumn id="3716" xr3:uid="{7200CCBD-B70D-4A99-9644-1161169E30B5}" name="Column3713"/>
    <tableColumn id="3717" xr3:uid="{6AA5324E-CB94-4088-B306-9EC41A093418}" name="Column3714"/>
    <tableColumn id="3718" xr3:uid="{3968D717-4DA0-4DAC-A02E-B31C91244ABE}" name="Column3715"/>
    <tableColumn id="3719" xr3:uid="{BFAC0C62-F16A-4EE9-B7F8-9546F5E80C84}" name="Column3716"/>
    <tableColumn id="3720" xr3:uid="{8DF6A036-B4B9-46D8-AAB5-71F1EAC62458}" name="Column3717"/>
    <tableColumn id="3721" xr3:uid="{BAA9CA73-1D17-4942-A864-6C44E94CA6D5}" name="Column3718"/>
    <tableColumn id="3722" xr3:uid="{CF46E06F-84A2-4491-8565-3B2D87E9D0E6}" name="Column3719"/>
    <tableColumn id="3723" xr3:uid="{131B423B-9EA4-4863-A65E-3067A442F5A2}" name="Column3720"/>
    <tableColumn id="3724" xr3:uid="{58AD656E-DD08-4953-A4C2-6EC450EA1EE0}" name="Column3721"/>
    <tableColumn id="3725" xr3:uid="{AA3CFE9A-E44C-48E9-A8F5-111BB4178DAD}" name="Column3722"/>
    <tableColumn id="3726" xr3:uid="{3771D701-2F81-4565-A353-2BD32A1B0691}" name="Column3723"/>
    <tableColumn id="3727" xr3:uid="{1F3B9645-6488-40D3-AD68-0252DB4DE477}" name="Column3724"/>
    <tableColumn id="3728" xr3:uid="{61343F5B-D9EB-453B-9CB1-F5B065097EC5}" name="Column3725"/>
    <tableColumn id="3729" xr3:uid="{DC51E21A-CC80-4720-AA7C-B2DC667A4490}" name="Column3726"/>
    <tableColumn id="3730" xr3:uid="{B16B375D-16D1-4E08-8049-2F2E3E6E51CA}" name="Column3727"/>
    <tableColumn id="3731" xr3:uid="{FC9CC6B2-C963-4828-B345-6DC69AA268C6}" name="Column3728"/>
    <tableColumn id="3732" xr3:uid="{B5B11B91-E4CF-4F6A-B230-D2050DA65705}" name="Column3729"/>
    <tableColumn id="3733" xr3:uid="{0C2D2F5D-235D-438A-BE5D-6C8F1D9EDB99}" name="Column3730"/>
    <tableColumn id="3734" xr3:uid="{57756476-9D9A-4695-87AB-73712A9BF386}" name="Column3731"/>
    <tableColumn id="3735" xr3:uid="{CB0B7867-4471-48C5-96EC-9A622673B26B}" name="Column3732"/>
    <tableColumn id="3736" xr3:uid="{C1F4A485-F7FE-4EDB-B1D6-EA8A22B10429}" name="Column3733"/>
    <tableColumn id="3737" xr3:uid="{C2779A73-2F82-46DD-B453-B66E916CF638}" name="Column3734"/>
    <tableColumn id="3738" xr3:uid="{4070EEDB-83F0-4F0A-8ED6-D46EFD2C3235}" name="Column3735"/>
    <tableColumn id="3739" xr3:uid="{074B5DAE-B38F-4DD0-87A0-7295EA9141CB}" name="Column3736"/>
    <tableColumn id="3740" xr3:uid="{FCBE7A6F-48F3-4357-B576-65A9D071B1EF}" name="Column3737"/>
    <tableColumn id="3741" xr3:uid="{B9ED31CC-53ED-47D7-85FE-BE6381B8A8CB}" name="Column3738"/>
    <tableColumn id="3742" xr3:uid="{9F523E48-1C95-44CC-B450-F4BD26398887}" name="Column3739"/>
    <tableColumn id="3743" xr3:uid="{5A676AF7-583F-4505-B26A-10189DC4ED78}" name="Column3740"/>
    <tableColumn id="3744" xr3:uid="{4D63994C-32F9-48AC-B800-CCEB4EA8239F}" name="Column3741"/>
    <tableColumn id="3745" xr3:uid="{89A7B4A9-1E00-4147-9F12-FCCF8A3BD388}" name="Column3742"/>
    <tableColumn id="3746" xr3:uid="{DC047651-CE4F-4411-83FF-25821AFC113E}" name="Column3743"/>
    <tableColumn id="3747" xr3:uid="{38210498-2860-4ADF-957D-299D3C3251F5}" name="Column3744"/>
    <tableColumn id="3748" xr3:uid="{2DB736D7-4924-403E-BE75-9C7B5592DDAB}" name="Column3745"/>
    <tableColumn id="3749" xr3:uid="{FACF08FD-150D-4268-BEE7-BF4AFFF351F8}" name="Column3746"/>
    <tableColumn id="3750" xr3:uid="{42EA453F-A85C-420A-8A9C-0B66C9A4AB0C}" name="Column3747"/>
    <tableColumn id="3751" xr3:uid="{023F5506-C6A6-46DA-A01C-E12ACCB28897}" name="Column3748"/>
    <tableColumn id="3752" xr3:uid="{DE133236-F91C-4B4A-B2D0-372941BC1DCA}" name="Column3749"/>
    <tableColumn id="3753" xr3:uid="{E8DC9754-96EC-4247-A531-B69C9FA8B45D}" name="Column3750"/>
    <tableColumn id="3754" xr3:uid="{87908FF2-805C-42AD-B729-7159B51B654A}" name="Column3751"/>
    <tableColumn id="3755" xr3:uid="{BFCE3500-F183-4385-BB88-7295B169E933}" name="Column3752"/>
    <tableColumn id="3756" xr3:uid="{929CA2DA-591E-4700-9367-D28521E506DB}" name="Column3753"/>
    <tableColumn id="3757" xr3:uid="{D660687F-6593-4DCB-B130-0501D130199B}" name="Column3754"/>
    <tableColumn id="3758" xr3:uid="{57CDE988-82C2-4365-9DFD-72B5BFC33218}" name="Column3755"/>
    <tableColumn id="3759" xr3:uid="{CB8D2140-41FF-46DB-80CC-45501B791DAA}" name="Column3756"/>
    <tableColumn id="3760" xr3:uid="{B2334B2E-4608-4D1A-9C2E-2289B0744023}" name="Column3757"/>
    <tableColumn id="3761" xr3:uid="{47A3DBCE-1ADC-4B69-8C06-6440BCEDA901}" name="Column3758"/>
    <tableColumn id="3762" xr3:uid="{EAD6EAC4-B0C5-4C9B-9AC6-80275FF30564}" name="Column3759"/>
    <tableColumn id="3763" xr3:uid="{1F4C23C8-0FAE-4F0C-94B8-0F0F481DC6B0}" name="Column3760"/>
    <tableColumn id="3764" xr3:uid="{59F5311B-ED8B-4FAA-801C-CD90C0EF36CB}" name="Column3761"/>
    <tableColumn id="3765" xr3:uid="{D51A05D4-06A7-4CFA-9540-2731A2DB16E2}" name="Column3762"/>
    <tableColumn id="3766" xr3:uid="{77A2F277-9E64-4B5D-9687-94D0ADEACEC4}" name="Column3763"/>
    <tableColumn id="3767" xr3:uid="{4C402DAD-1B85-42B8-803D-63CD6320FC00}" name="Column3764"/>
    <tableColumn id="3768" xr3:uid="{4CD78982-AC48-4DD4-8FE8-776CFAE92C93}" name="Column3765"/>
    <tableColumn id="3769" xr3:uid="{F7A755F3-24D7-4B80-888F-278FC1878ACA}" name="Column3766"/>
    <tableColumn id="3770" xr3:uid="{B1F0394B-A7F9-4F64-A280-FFE468B3CEC1}" name="Column3767"/>
    <tableColumn id="3771" xr3:uid="{7D8ABC3E-B76C-4483-BAF4-DB76E48B7F8D}" name="Column3768"/>
    <tableColumn id="3772" xr3:uid="{2DD77176-1017-489F-8153-431B1C3D06BE}" name="Column3769"/>
    <tableColumn id="3773" xr3:uid="{34CF0332-F86A-45A1-A738-A1B146F5DC18}" name="Column3770"/>
    <tableColumn id="3774" xr3:uid="{32F882EB-E05C-4795-9BC1-327D260617B1}" name="Column3771"/>
    <tableColumn id="3775" xr3:uid="{F8606193-A41A-4394-A879-70293FA3802B}" name="Column3772"/>
    <tableColumn id="3776" xr3:uid="{75EC5B25-B91F-4E1E-8A00-079E026E3A4F}" name="Column3773"/>
    <tableColumn id="3777" xr3:uid="{A414CA77-3C3A-46B0-9B35-C85DD3E3109E}" name="Column3774"/>
    <tableColumn id="3778" xr3:uid="{E3B3B174-DCFD-42C5-A36E-E3AE58CCB69B}" name="Column3775"/>
    <tableColumn id="3779" xr3:uid="{43151A7E-6556-4578-9143-C8010C4C6AA6}" name="Column3776"/>
    <tableColumn id="3780" xr3:uid="{E32C7917-FB58-47E9-8A8F-280F707695B8}" name="Column3777"/>
    <tableColumn id="3781" xr3:uid="{CD4FF9D7-0D08-4658-A00C-7DEC7F60D04D}" name="Column3778"/>
    <tableColumn id="3782" xr3:uid="{23404A8B-CCDF-4F0F-A75C-DBF2734ADAE0}" name="Column3779"/>
    <tableColumn id="3783" xr3:uid="{49C57DC5-C720-40D4-BA1E-A05FE7ED20BF}" name="Column3780"/>
    <tableColumn id="3784" xr3:uid="{A9468A30-C1F6-4B16-8DFA-574C4BEE84B7}" name="Column3781"/>
    <tableColumn id="3785" xr3:uid="{57573239-457F-4E64-878A-216B08CD3B7B}" name="Column3782"/>
    <tableColumn id="3786" xr3:uid="{596D94E1-44F8-4EC0-9F76-618936199CD0}" name="Column3783"/>
    <tableColumn id="3787" xr3:uid="{F283FC8E-89FD-454F-A559-24DD144D27F5}" name="Column3784"/>
    <tableColumn id="3788" xr3:uid="{536E4835-5B17-4D9D-86E0-64F29B545305}" name="Column3785"/>
    <tableColumn id="3789" xr3:uid="{91F4F9A0-1ECC-458F-AB25-5792B455722D}" name="Column3786"/>
    <tableColumn id="3790" xr3:uid="{436530AF-902C-4921-BB54-063CBB1D0493}" name="Column3787"/>
    <tableColumn id="3791" xr3:uid="{EFAB7D5F-0D6F-4B3A-AD46-35FE3AFB8003}" name="Column3788"/>
    <tableColumn id="3792" xr3:uid="{CC905222-101B-44C3-AC57-2ADABA5F7598}" name="Column3789"/>
    <tableColumn id="3793" xr3:uid="{2220E774-84CD-48A8-8186-ADFC1B0F2330}" name="Column3790"/>
    <tableColumn id="3794" xr3:uid="{F44885EF-5560-41A6-BEB0-9912D1400E93}" name="Column3791"/>
    <tableColumn id="3795" xr3:uid="{93AB450E-E59B-47D5-8F95-572312872332}" name="Column3792"/>
    <tableColumn id="3796" xr3:uid="{59ED92E0-6963-4B0E-AB33-51DEDAF3DEB7}" name="Column3793"/>
    <tableColumn id="3797" xr3:uid="{BDB5D82A-8EFE-496C-97DD-4BE03A469682}" name="Column3794"/>
    <tableColumn id="3798" xr3:uid="{026F0F55-1B2E-4CD5-8E14-E1D5B187F12D}" name="Column3795"/>
    <tableColumn id="3799" xr3:uid="{0EE5700E-42ED-4EE1-988C-E24D11EDFBDD}" name="Column3796"/>
    <tableColumn id="3800" xr3:uid="{46E194D9-50E3-42E5-9096-3D0AFFDC2D9E}" name="Column3797"/>
    <tableColumn id="3801" xr3:uid="{5DEBF21B-17D1-4CF4-A277-C053AA8C916E}" name="Column3798"/>
    <tableColumn id="3802" xr3:uid="{4CA8BC82-A59F-4247-9B02-A94A33371915}" name="Column3799"/>
    <tableColumn id="3803" xr3:uid="{D4761CCC-BAD9-4EF4-9252-49E5F8335BDF}" name="Column3800"/>
    <tableColumn id="3804" xr3:uid="{0AD0D4CF-3816-4CDB-B05E-F8AF6333C2EC}" name="Column3801"/>
    <tableColumn id="3805" xr3:uid="{77A31899-D1B1-4EB9-B737-EDA511ADC91F}" name="Column3802"/>
    <tableColumn id="3806" xr3:uid="{17B94578-5C8F-4309-B120-9E453AD4CC2A}" name="Column3803"/>
    <tableColumn id="3807" xr3:uid="{441D8BBD-06E8-499A-8BD1-36CC2C1301AD}" name="Column3804"/>
    <tableColumn id="3808" xr3:uid="{4EF4AE4E-1989-4395-A924-4C3EFAFA18AF}" name="Column3805"/>
    <tableColumn id="3809" xr3:uid="{D58297A1-3063-4698-A015-F5D1A496F1AD}" name="Column3806"/>
    <tableColumn id="3810" xr3:uid="{C15FCE80-35D6-4333-ABE3-FD6C4E222CC6}" name="Column3807"/>
    <tableColumn id="3811" xr3:uid="{062A2B42-DC09-47F9-8C01-F12534F639CD}" name="Column3808"/>
    <tableColumn id="3812" xr3:uid="{68661A5F-90D1-47FA-B16D-81C7E840F0E8}" name="Column3809"/>
    <tableColumn id="3813" xr3:uid="{49E3EAE5-2063-4DB0-A455-E419BC04DD8D}" name="Column3810"/>
    <tableColumn id="3814" xr3:uid="{97A98164-1F48-4A85-810E-E9302A8825F8}" name="Column3811"/>
    <tableColumn id="3815" xr3:uid="{0E685EE9-428E-4B07-9AE3-46942DDB58F1}" name="Column3812"/>
    <tableColumn id="3816" xr3:uid="{9E54DC24-1541-4135-BC09-07D972258487}" name="Column3813"/>
    <tableColumn id="3817" xr3:uid="{A48CB436-C002-45F7-98FE-5CBBBED58371}" name="Column3814"/>
    <tableColumn id="3818" xr3:uid="{2E0FEDF6-0D4C-447A-88CC-4337299DAF43}" name="Column3815"/>
    <tableColumn id="3819" xr3:uid="{0E708994-6D2F-41D4-99E7-81631431BBB6}" name="Column3816"/>
    <tableColumn id="3820" xr3:uid="{A0633226-477E-42E7-937C-CACEB9A0FF97}" name="Column3817"/>
    <tableColumn id="3821" xr3:uid="{3479AE80-C7F4-4270-AADA-804A214F4A59}" name="Column3818"/>
    <tableColumn id="3822" xr3:uid="{CEB38C39-7C54-4D97-87F1-23BE2DE79E7C}" name="Column3819"/>
    <tableColumn id="3823" xr3:uid="{82731883-442C-4015-85AC-A887420612FC}" name="Column3820"/>
    <tableColumn id="3824" xr3:uid="{A5E95B12-9A6E-4FAF-8CCC-97B535FFEFDA}" name="Column3821"/>
    <tableColumn id="3825" xr3:uid="{C10E8A51-8F96-4A76-B19C-63A0EBBE172D}" name="Column3822"/>
    <tableColumn id="3826" xr3:uid="{139A7F46-FC69-4ACE-A99D-A5F85923D158}" name="Column3823"/>
    <tableColumn id="3827" xr3:uid="{248EAFA2-7754-4478-A371-6DB3EE3C8998}" name="Column3824"/>
    <tableColumn id="3828" xr3:uid="{1AD948B9-0FAA-485C-9FAC-F9BF7EA262BC}" name="Column3825"/>
    <tableColumn id="3829" xr3:uid="{662E8AB6-9232-4FA2-96F2-743AA094C09B}" name="Column3826"/>
    <tableColumn id="3830" xr3:uid="{BB9338A9-B584-47BF-98BC-829B91355355}" name="Column3827"/>
    <tableColumn id="3831" xr3:uid="{47EB3DD3-8494-4755-8BD0-91682EA0FA74}" name="Column3828"/>
    <tableColumn id="3832" xr3:uid="{73FC4984-7E15-46A0-B3BA-01E0DEE2FCCB}" name="Column3829"/>
    <tableColumn id="3833" xr3:uid="{495892EF-34FE-44A5-8355-0FF2D7F75830}" name="Column3830"/>
    <tableColumn id="3834" xr3:uid="{D5D4382E-11B7-4480-97C3-1B15CED27EB0}" name="Column3831"/>
    <tableColumn id="3835" xr3:uid="{F65094AC-5F82-49D4-A67E-24EEFABF954A}" name="Column3832"/>
    <tableColumn id="3836" xr3:uid="{13BFCCE2-948C-4708-862C-4FD70465C7B7}" name="Column3833"/>
    <tableColumn id="3837" xr3:uid="{6D3C38E4-56CA-4D9E-8B63-3ADFDACD3011}" name="Column3834"/>
    <tableColumn id="3838" xr3:uid="{2F20DB95-EFBB-4E3F-ABA8-160C5993C07E}" name="Column3835"/>
    <tableColumn id="3839" xr3:uid="{B62EFF34-D96F-4C7A-9989-21FE082B0D73}" name="Column3836"/>
    <tableColumn id="3840" xr3:uid="{B4756753-C611-4AB7-92CB-87187C7DF27F}" name="Column3837"/>
    <tableColumn id="3841" xr3:uid="{3507F784-AE07-4DBE-9ECA-EB767221F183}" name="Column3838"/>
    <tableColumn id="3842" xr3:uid="{65611011-97DB-4879-9D95-91988EF55FEB}" name="Column3839"/>
    <tableColumn id="3843" xr3:uid="{E3625B59-9D0C-4D9C-81CA-10AF05439290}" name="Column3840"/>
    <tableColumn id="3844" xr3:uid="{56569D27-BC71-473C-9254-2F405108C0E3}" name="Column3841"/>
    <tableColumn id="3845" xr3:uid="{C6BACD8F-AC14-4A19-B57F-263EDA43617A}" name="Column3842"/>
    <tableColumn id="3846" xr3:uid="{6F2D5853-F6CC-4960-A8D3-FBE7C06341FB}" name="Column3843"/>
    <tableColumn id="3847" xr3:uid="{785E8B48-1ABF-4A9D-94B4-9668F0CB354A}" name="Column3844"/>
    <tableColumn id="3848" xr3:uid="{9C69D6A4-1E2A-4675-A342-9F08815C0815}" name="Column3845"/>
    <tableColumn id="3849" xr3:uid="{884094D5-B204-42D7-B0EA-AAEE1EB864CE}" name="Column3846"/>
    <tableColumn id="3850" xr3:uid="{93B75DF2-B2D9-43BB-B53C-E4C5DA96F7CF}" name="Column3847"/>
    <tableColumn id="3851" xr3:uid="{CDE343C7-CD69-409F-907A-C521259BDF07}" name="Column3848"/>
    <tableColumn id="3852" xr3:uid="{AF75868D-668D-4A86-B8B5-6C28B5C3D7B5}" name="Column3849"/>
    <tableColumn id="3853" xr3:uid="{A45C89AF-5EE1-45B1-84FC-9FF83E84F543}" name="Column3850"/>
    <tableColumn id="3854" xr3:uid="{E9707418-4D59-4975-B513-5FF830E1B48D}" name="Column3851"/>
    <tableColumn id="3855" xr3:uid="{290362CC-34D4-4986-9603-2AFACD6708FF}" name="Column3852"/>
    <tableColumn id="3856" xr3:uid="{EFB0BF97-B8B4-4165-94DE-2ADA5EE984EF}" name="Column3853"/>
    <tableColumn id="3857" xr3:uid="{E47312CF-5EBE-4721-8498-1F1F341FD61E}" name="Column3854"/>
    <tableColumn id="3858" xr3:uid="{DEC8A69C-C048-481E-A6CE-F4D1E2AAE770}" name="Column3855"/>
    <tableColumn id="3859" xr3:uid="{80FC17C5-886A-466E-AA60-29E0BDC8315D}" name="Column3856"/>
    <tableColumn id="3860" xr3:uid="{B40A11C4-9F91-48D4-B6B1-B810BDA40D5F}" name="Column3857"/>
    <tableColumn id="3861" xr3:uid="{4351A57A-F7A0-4C8F-ABC3-848D64A1E03F}" name="Column3858"/>
    <tableColumn id="3862" xr3:uid="{313DE8AA-E1E0-4B07-94EF-F9B4CCF53027}" name="Column3859"/>
    <tableColumn id="3863" xr3:uid="{798F4848-EED3-41B0-88BD-1125E5497070}" name="Column3860"/>
    <tableColumn id="3864" xr3:uid="{245F71B7-EBA0-4056-B67F-BC442EA45916}" name="Column3861"/>
    <tableColumn id="3865" xr3:uid="{99597D1A-8AF4-45CD-9C6E-B4BE3643D32C}" name="Column3862"/>
    <tableColumn id="3866" xr3:uid="{D09D0216-9B7E-4391-83FF-A0FB2ABFBA0F}" name="Column3863"/>
    <tableColumn id="3867" xr3:uid="{0D18AC0A-ED32-49C7-9FB9-BF32C23BD715}" name="Column3864"/>
    <tableColumn id="3868" xr3:uid="{DC8DEB1E-8DCB-460E-991D-8F6CBDADAA90}" name="Column3865"/>
    <tableColumn id="3869" xr3:uid="{8663D886-4E81-4947-9190-3B5B10B32F09}" name="Column3866"/>
    <tableColumn id="3870" xr3:uid="{3E832353-A073-452B-95DD-6907E8FF2C73}" name="Column3867"/>
    <tableColumn id="3871" xr3:uid="{3AC39FC5-C56E-409B-A5C4-93549236486E}" name="Column3868"/>
    <tableColumn id="3872" xr3:uid="{723A5074-93B7-4C4B-9901-0F97A8C90C38}" name="Column3869"/>
    <tableColumn id="3873" xr3:uid="{095903B6-CDE2-418B-AEFE-D3204BA996E8}" name="Column3870"/>
    <tableColumn id="3874" xr3:uid="{A0E0FAA0-5A3B-459B-BD1F-39C848408E8D}" name="Column3871"/>
    <tableColumn id="3875" xr3:uid="{B8DF3BA2-A659-4DBA-BF2D-CF200B35A55D}" name="Column3872"/>
    <tableColumn id="3876" xr3:uid="{810656F7-9C8D-40A5-A238-F969899B2156}" name="Column3873"/>
    <tableColumn id="3877" xr3:uid="{AA47743A-2530-4C1F-9F14-B0DFCD6D7B9E}" name="Column3874"/>
    <tableColumn id="3878" xr3:uid="{26B96150-7FCA-4582-B460-B77C8B71B26B}" name="Column3875"/>
    <tableColumn id="3879" xr3:uid="{42D038EA-C66D-4411-AA00-D33E736991E7}" name="Column3876"/>
    <tableColumn id="3880" xr3:uid="{CA370DA2-5BF0-4700-86E3-A50EBD75D45B}" name="Column3877"/>
    <tableColumn id="3881" xr3:uid="{7BF23FBD-DF79-4BFD-A8B9-162D07F60DE0}" name="Column3878"/>
    <tableColumn id="3882" xr3:uid="{3A333B80-1CDD-48AE-917B-357F8B652085}" name="Column3879"/>
    <tableColumn id="3883" xr3:uid="{46291E35-7E26-4755-8BA0-603805926B6A}" name="Column3880"/>
    <tableColumn id="3884" xr3:uid="{405134A1-4281-4DB2-B7BA-9CD62B8173D1}" name="Column3881"/>
    <tableColumn id="3885" xr3:uid="{CAA5B9C6-7610-494C-BFB8-7B405B981A8C}" name="Column3882"/>
    <tableColumn id="3886" xr3:uid="{12425EB8-FB4B-48C5-9B7B-1A4FCD3D0F4C}" name="Column3883"/>
    <tableColumn id="3887" xr3:uid="{5382F6AF-8C67-421C-A764-2FE5E0D4E2B5}" name="Column3884"/>
    <tableColumn id="3888" xr3:uid="{BDAA7C11-935E-49CB-A9CD-845B3E20E248}" name="Column3885"/>
    <tableColumn id="3889" xr3:uid="{1BD24004-F498-42CD-9DD0-5612022C2ED4}" name="Column3886"/>
    <tableColumn id="3890" xr3:uid="{B4D64D75-3C50-46C0-B9D0-935A24A732DB}" name="Column3887"/>
    <tableColumn id="3891" xr3:uid="{09955502-8594-4F6E-BAEC-841EE88167CF}" name="Column3888"/>
    <tableColumn id="3892" xr3:uid="{DC2D47EF-2D57-49E9-8909-972759F23228}" name="Column3889"/>
    <tableColumn id="3893" xr3:uid="{0E341AE4-6D93-43AD-87B6-E5C43701345E}" name="Column3890"/>
    <tableColumn id="3894" xr3:uid="{34A85943-C273-45D3-82DA-948B12186800}" name="Column3891"/>
    <tableColumn id="3895" xr3:uid="{8648C126-52DC-4E3C-B6F5-12E47FBB6292}" name="Column3892"/>
    <tableColumn id="3896" xr3:uid="{10D50724-C62B-4EE4-80EE-94D031CC6C99}" name="Column3893"/>
    <tableColumn id="3897" xr3:uid="{E3471462-BE95-4541-A579-AECF1F371123}" name="Column3894"/>
    <tableColumn id="3898" xr3:uid="{80810483-0988-4B0B-9760-01D491A65CE2}" name="Column3895"/>
    <tableColumn id="3899" xr3:uid="{5832E051-EEBD-4845-9362-1D42642C764E}" name="Column3896"/>
    <tableColumn id="3900" xr3:uid="{2970C5F7-44EC-485F-9222-BD785FC0EA9C}" name="Column3897"/>
    <tableColumn id="3901" xr3:uid="{47627719-16E4-4125-9F9C-C1D3D4CEFA16}" name="Column3898"/>
    <tableColumn id="3902" xr3:uid="{C7D29396-B4A4-4A9B-8E8B-D90BE76C69FC}" name="Column3899"/>
    <tableColumn id="3903" xr3:uid="{7617E211-4EF0-4FFE-BBFF-5771F29AC9B5}" name="Column3900"/>
    <tableColumn id="3904" xr3:uid="{DDDB7664-ABF9-48A3-8AF3-1C1BA1EDECA6}" name="Column3901"/>
    <tableColumn id="3905" xr3:uid="{1CE9DD38-3705-467A-B33E-47DD1E7FD4FD}" name="Column3902"/>
    <tableColumn id="3906" xr3:uid="{C9DC9482-0599-494A-96DD-5255A5505107}" name="Column3903"/>
    <tableColumn id="3907" xr3:uid="{99DCFFA0-6138-4A4D-B189-F484163052AE}" name="Column3904"/>
    <tableColumn id="3908" xr3:uid="{020F7283-5555-4A57-A6C6-A6CA32DF4CD8}" name="Column3905"/>
    <tableColumn id="3909" xr3:uid="{77C44713-90A8-470B-9086-DBD3200FEED3}" name="Column3906"/>
    <tableColumn id="3910" xr3:uid="{B2809179-3F2A-462B-B0AD-CD3E99F0792A}" name="Column3907"/>
    <tableColumn id="3911" xr3:uid="{E99059CD-BBAE-4386-A5DD-4F0E29065F10}" name="Column3908"/>
    <tableColumn id="3912" xr3:uid="{9235E9EE-96BD-4364-8EBF-1AE200D570D0}" name="Column3909"/>
    <tableColumn id="3913" xr3:uid="{E4CCB063-32F0-43E6-9E40-E439D6075BD0}" name="Column3910"/>
    <tableColumn id="3914" xr3:uid="{D6A1D295-8501-48F3-B374-8736574C67EB}" name="Column3911"/>
    <tableColumn id="3915" xr3:uid="{35A47358-26CF-4DDB-9A2B-71C69797FFEF}" name="Column3912"/>
    <tableColumn id="3916" xr3:uid="{A12635C9-1B8D-47D3-A4C5-C9DA68A2C3AC}" name="Column3913"/>
    <tableColumn id="3917" xr3:uid="{A89FBBFF-203A-498E-B0C1-08527EEB2D08}" name="Column3914"/>
    <tableColumn id="3918" xr3:uid="{6A7882A7-370A-45C3-9BAC-67C106EC7756}" name="Column3915"/>
    <tableColumn id="3919" xr3:uid="{6B2FBAB5-DC74-49F1-AD66-4204876784C0}" name="Column3916"/>
    <tableColumn id="3920" xr3:uid="{4F56090E-C18A-4512-82F6-252E6EA42FE6}" name="Column3917"/>
    <tableColumn id="3921" xr3:uid="{2E1580B2-56DE-4EEA-8F83-2858CF6CC81E}" name="Column3918"/>
    <tableColumn id="3922" xr3:uid="{44382504-6D94-4878-A88C-9747DCFA332F}" name="Column3919"/>
    <tableColumn id="3923" xr3:uid="{17303D2F-E31B-40EB-AC4E-B8DB648E4667}" name="Column3920"/>
    <tableColumn id="3924" xr3:uid="{57DC3BD3-B390-4906-82EE-12E063DE3B4F}" name="Column3921"/>
    <tableColumn id="3925" xr3:uid="{CC776E66-ED45-4F3B-9FB1-188F62144A00}" name="Column3922"/>
    <tableColumn id="3926" xr3:uid="{81A82F61-A450-4BD5-B4D0-6C0748F2B39C}" name="Column3923"/>
    <tableColumn id="3927" xr3:uid="{69266D51-F54D-4320-9345-E17149EE8FBE}" name="Column3924"/>
    <tableColumn id="3928" xr3:uid="{0FC636EE-4F4D-4EAE-89DA-DBA8D38D070A}" name="Column3925"/>
    <tableColumn id="3929" xr3:uid="{47CC8BA1-2D1B-4621-880D-3A277D718BC2}" name="Column3926"/>
    <tableColumn id="3930" xr3:uid="{DF96BAB6-D892-447C-86AD-4A20290A909A}" name="Column3927"/>
    <tableColumn id="3931" xr3:uid="{B7E57DFD-B96E-4E1C-A056-0825407278CE}" name="Column3928"/>
    <tableColumn id="3932" xr3:uid="{026F8834-3C27-4B90-A8AC-EFBA9EF6ECFC}" name="Column3929"/>
    <tableColumn id="3933" xr3:uid="{11F5342E-6F5B-44C1-B566-BE35E5F9C6C4}" name="Column3930"/>
    <tableColumn id="3934" xr3:uid="{1DB5F3ED-10C6-4AC3-B963-4790118D91B0}" name="Column3931"/>
    <tableColumn id="3935" xr3:uid="{FF0051E4-373C-4F00-B99B-70D9170B7841}" name="Column3932"/>
    <tableColumn id="3936" xr3:uid="{5CBDC095-1010-4A29-BC0E-B75FD8F6EC06}" name="Column3933"/>
    <tableColumn id="3937" xr3:uid="{0BBD1865-FEEE-42DF-89F8-67740953E703}" name="Column3934"/>
    <tableColumn id="3938" xr3:uid="{90DCAAF8-D1AD-4C77-A763-AE46A5F068EB}" name="Column3935"/>
    <tableColumn id="3939" xr3:uid="{A4DE2A70-4AB7-4DAD-8F90-F507932CE768}" name="Column3936"/>
    <tableColumn id="3940" xr3:uid="{68D8AE11-70BF-464A-9A23-00EB1444D7E7}" name="Column3937"/>
    <tableColumn id="3941" xr3:uid="{9C5D38CE-C4CB-4197-805D-3F988F6F6E92}" name="Column3938"/>
    <tableColumn id="3942" xr3:uid="{89366EFA-9D41-4F0E-ABA3-7B012D914ACB}" name="Column3939"/>
    <tableColumn id="3943" xr3:uid="{13426E76-4117-4C8B-BF64-BCCA989B437A}" name="Column3940"/>
    <tableColumn id="3944" xr3:uid="{2CE223E0-F849-4BBD-8296-226FE46A8A43}" name="Column3941"/>
    <tableColumn id="3945" xr3:uid="{D2C0DBAA-DE29-48EA-8DC8-A94F4ABB26BB}" name="Column3942"/>
    <tableColumn id="3946" xr3:uid="{F9988D6C-964E-405E-B327-88BC43FBEBE7}" name="Column3943"/>
    <tableColumn id="3947" xr3:uid="{4EFA0E39-C793-4E96-9C21-030F93410E3E}" name="Column3944"/>
    <tableColumn id="3948" xr3:uid="{B2100630-46C5-4950-B0CF-0ABBA3FADECD}" name="Column3945"/>
    <tableColumn id="3949" xr3:uid="{7C1E5E89-701A-4381-A52A-682B5A4C7D76}" name="Column3946"/>
    <tableColumn id="3950" xr3:uid="{FA53843E-C43B-4DBB-BE06-0E7EA38EB01E}" name="Column3947"/>
    <tableColumn id="3951" xr3:uid="{2973838A-3DDF-4207-BCDA-8AEEA46DC6A4}" name="Column3948"/>
    <tableColumn id="3952" xr3:uid="{03B00DC7-98C7-4B53-9F94-19D3BB071402}" name="Column3949"/>
    <tableColumn id="3953" xr3:uid="{EC295355-AE90-44F5-A392-087DAD164F82}" name="Column3950"/>
    <tableColumn id="3954" xr3:uid="{09C90E70-A3A9-4C5C-9F91-3297AEEC7A7A}" name="Column3951"/>
    <tableColumn id="3955" xr3:uid="{092471D4-39E7-4E08-857F-05003C3B5BEC}" name="Column3952"/>
    <tableColumn id="3956" xr3:uid="{7ABA3305-80D5-4015-A29E-15C8503A6ACC}" name="Column3953"/>
    <tableColumn id="3957" xr3:uid="{75DDCD7A-3111-44DA-A4F5-35BBA1321709}" name="Column3954"/>
    <tableColumn id="3958" xr3:uid="{385B2AF7-39FE-4714-B0AE-BA731FC2384E}" name="Column3955"/>
    <tableColumn id="3959" xr3:uid="{7BB59CD9-3035-47B0-BA40-079A062DB680}" name="Column3956"/>
    <tableColumn id="3960" xr3:uid="{BB1A9240-11A2-401D-A08D-5FBF30094646}" name="Column3957"/>
    <tableColumn id="3961" xr3:uid="{7DB8C806-6D7A-47F0-A8A6-C8D466F4712E}" name="Column3958"/>
    <tableColumn id="3962" xr3:uid="{BD1C4743-F410-45D7-BFD2-AF1380A17C1B}" name="Column3959"/>
    <tableColumn id="3963" xr3:uid="{E7851831-50DB-4593-A1AA-8E9271E553A6}" name="Column3960"/>
    <tableColumn id="3964" xr3:uid="{4FFB5118-83DD-4B7F-A56B-DECE095D10BE}" name="Column3961"/>
    <tableColumn id="3965" xr3:uid="{60E0EED3-C826-476F-A466-BEABEDCEFDD6}" name="Column3962"/>
    <tableColumn id="3966" xr3:uid="{FA4AAA90-2A3E-4749-AEE6-C5FDBBC71395}" name="Column3963"/>
    <tableColumn id="3967" xr3:uid="{F529360D-84B0-47DC-A59B-D5CBFD46E972}" name="Column3964"/>
    <tableColumn id="3968" xr3:uid="{3E89AC48-DE08-490C-A0F2-8623A0874FB8}" name="Column3965"/>
    <tableColumn id="3969" xr3:uid="{B28D2F85-EEEE-4C1A-B0CF-0CF2B1FD34A9}" name="Column3966"/>
    <tableColumn id="3970" xr3:uid="{EFF90BA3-DAAD-43DE-A4EE-FF4DEDD9D48D}" name="Column3967"/>
    <tableColumn id="3971" xr3:uid="{7B6227D9-2D9A-455A-955A-4860FB5F1F11}" name="Column3968"/>
    <tableColumn id="3972" xr3:uid="{C55A78E0-33CF-4EFB-8D3E-E7512B2F9DE3}" name="Column3969"/>
    <tableColumn id="3973" xr3:uid="{FAEC3B6E-8636-41C5-9121-9A09685DDD7A}" name="Column3970"/>
    <tableColumn id="3974" xr3:uid="{0F4CF560-B3D8-4406-9014-30344E6404F6}" name="Column3971"/>
    <tableColumn id="3975" xr3:uid="{37B8D1CB-0F22-4B45-A10C-2938BFA9D470}" name="Column3972"/>
    <tableColumn id="3976" xr3:uid="{4B53C751-E96B-47EE-8551-FEA05F432FBC}" name="Column3973"/>
    <tableColumn id="3977" xr3:uid="{08012F1E-FB9E-4774-94B5-4A8F3C6338A6}" name="Column3974"/>
    <tableColumn id="3978" xr3:uid="{8640A8A9-F371-45F0-8AC6-805A86DBF38C}" name="Column3975"/>
    <tableColumn id="3979" xr3:uid="{1CB953EE-A0AD-44E2-8F95-97A1C499DD0D}" name="Column3976"/>
    <tableColumn id="3980" xr3:uid="{3B128DF7-E3B2-4922-B678-998D86443222}" name="Column3977"/>
    <tableColumn id="3981" xr3:uid="{5124E074-A6AA-4069-949E-FBD1856E75DF}" name="Column3978"/>
    <tableColumn id="3982" xr3:uid="{70A81B52-2EA7-4DB1-BA97-59E03D957501}" name="Column3979"/>
    <tableColumn id="3983" xr3:uid="{B89E0A9C-7A54-4F70-AD36-C75035064219}" name="Column3980"/>
    <tableColumn id="3984" xr3:uid="{BAE24954-1736-44EE-AECF-EC7639C1B07A}" name="Column3981"/>
    <tableColumn id="3985" xr3:uid="{533F5DA4-B48A-49B5-886A-CD523E9398AA}" name="Column3982"/>
    <tableColumn id="3986" xr3:uid="{9691DCD3-925A-448D-AB07-B76B34A8FBD3}" name="Column3983"/>
    <tableColumn id="3987" xr3:uid="{8825B433-04C3-4AA1-9F8F-9696B81F3910}" name="Column3984"/>
    <tableColumn id="3988" xr3:uid="{20319793-99E8-4397-80C7-C46CFABBCB75}" name="Column3985"/>
    <tableColumn id="3989" xr3:uid="{EDC835B9-752B-4366-BBFA-365729D0964A}" name="Column3986"/>
    <tableColumn id="3990" xr3:uid="{060D1F59-C848-457F-AE75-8D13D88DE5DE}" name="Column3987"/>
    <tableColumn id="3991" xr3:uid="{FEFF1F87-8120-4AA8-BB58-58C451F40FDA}" name="Column3988"/>
    <tableColumn id="3992" xr3:uid="{7ADEEF3F-8017-4C34-97BC-C8004BA9F264}" name="Column3989"/>
    <tableColumn id="3993" xr3:uid="{3EEB751E-9AFA-4006-B957-0769F4F0F2E7}" name="Column3990"/>
    <tableColumn id="3994" xr3:uid="{4605FE97-B348-4BCC-A86D-CC80D5D5D50F}" name="Column3991"/>
    <tableColumn id="3995" xr3:uid="{E789AA17-5076-47F1-ACF2-D964DEACFB6C}" name="Column3992"/>
    <tableColumn id="3996" xr3:uid="{594DE7E5-3D1C-4F5B-921C-F4301468C7F9}" name="Column3993"/>
    <tableColumn id="3997" xr3:uid="{9DD7A195-FE14-4C8F-9A61-A94401460B8B}" name="Column3994"/>
    <tableColumn id="3998" xr3:uid="{1BA9EC67-2B4D-4206-9660-8396F6B935B8}" name="Column3995"/>
    <tableColumn id="3999" xr3:uid="{F81D41F6-FBFD-476F-9EB2-2DA7E28C7FF8}" name="Column3996"/>
    <tableColumn id="4000" xr3:uid="{49B8500F-E3D2-49DA-991A-51AD42128C14}" name="Column3997"/>
    <tableColumn id="4001" xr3:uid="{C4AC43E8-4675-40B0-8D82-64E03A946329}" name="Column3998"/>
    <tableColumn id="4002" xr3:uid="{B75AC20D-D076-4984-8E38-B8A04DCB1B58}" name="Column3999"/>
    <tableColumn id="4003" xr3:uid="{C84F599A-F690-4D4E-A1FF-60BDA2FADF1F}" name="Column4000"/>
    <tableColumn id="4004" xr3:uid="{545ABD3B-57C0-4EF8-9D64-EE898AC22527}" name="Column4001"/>
    <tableColumn id="4005" xr3:uid="{58C3C1A0-F4F3-4629-975C-2B09B6263B21}" name="Column4002"/>
    <tableColumn id="4006" xr3:uid="{87A9A081-855E-40B2-BDF3-DB63ADF9C0C9}" name="Column4003"/>
    <tableColumn id="4007" xr3:uid="{1DB93F30-9B3D-4F20-9985-787ADD49D489}" name="Column4004"/>
    <tableColumn id="4008" xr3:uid="{FB53BCC3-678D-4ACE-8A76-D14A77DF6D7C}" name="Column4005"/>
    <tableColumn id="4009" xr3:uid="{5E18B458-C06A-44F1-ABB9-A8FE59A157C6}" name="Column4006"/>
    <tableColumn id="4010" xr3:uid="{BA41E990-BAD3-4C5D-8B79-510F903BD0D1}" name="Column4007"/>
    <tableColumn id="4011" xr3:uid="{3BBB29ED-3B58-49EF-843E-C83E633A4D55}" name="Column4008"/>
    <tableColumn id="4012" xr3:uid="{14B6D07E-BCDF-4C99-85E1-44D88C4292D6}" name="Column4009"/>
    <tableColumn id="4013" xr3:uid="{A5FE95A1-E9EA-48EE-87B4-8F66743C701F}" name="Column4010"/>
    <tableColumn id="4014" xr3:uid="{13E89504-FC7A-4F61-B1D5-3E40E5480D87}" name="Column4011"/>
    <tableColumn id="4015" xr3:uid="{7F5B1194-273F-4CBF-9919-8C129A676AF6}" name="Column4012"/>
    <tableColumn id="4016" xr3:uid="{E2466107-B0B0-4D9B-A450-BB83CC50FF89}" name="Column4013"/>
    <tableColumn id="4017" xr3:uid="{2B32AC3E-6BA0-4727-821D-DA31D1B7BA44}" name="Column4014"/>
    <tableColumn id="4018" xr3:uid="{3AE9DE51-0967-40D3-99EE-37E98271286C}" name="Column4015"/>
    <tableColumn id="4019" xr3:uid="{795AC553-B5CD-433E-ABEB-0697174A8B7D}" name="Column4016"/>
    <tableColumn id="4020" xr3:uid="{85D453EB-D984-45E3-ACBA-90C5C8C8D80D}" name="Column4017"/>
    <tableColumn id="4021" xr3:uid="{4FCA56D7-4482-4CEC-BFD6-96DDCB4222EC}" name="Column4018"/>
    <tableColumn id="4022" xr3:uid="{D49A204C-9BC8-4875-840B-813419CB55C5}" name="Column4019"/>
    <tableColumn id="4023" xr3:uid="{6F63B459-5C8D-4617-BE25-2EA55361C018}" name="Column4020"/>
    <tableColumn id="4024" xr3:uid="{8ED9CA88-25A5-4889-BC98-1BDAC6509C21}" name="Column4021"/>
    <tableColumn id="4025" xr3:uid="{73780E29-E4AC-44EF-867C-5BB0426CB04D}" name="Column4022"/>
    <tableColumn id="4026" xr3:uid="{6C35E0A4-9CB0-45DF-B99F-689974E2F588}" name="Column4023"/>
    <tableColumn id="4027" xr3:uid="{22A6FA78-F020-4A44-A3AE-F5D8D74B1790}" name="Column4024"/>
    <tableColumn id="4028" xr3:uid="{8179EAB3-5687-4C10-9045-E8D9AD1D5243}" name="Column4025"/>
    <tableColumn id="4029" xr3:uid="{0D6DCB2A-4677-4C05-979D-4C9E9BA72BC4}" name="Column4026"/>
    <tableColumn id="4030" xr3:uid="{9DA286BE-8EDA-4588-B0C4-42BF79D4E5D6}" name="Column4027"/>
    <tableColumn id="4031" xr3:uid="{8C2E26D5-7AAB-4930-BFFE-1641990B0848}" name="Column4028"/>
    <tableColumn id="4032" xr3:uid="{8DD4C8FF-3D3E-410F-B9D9-6AE08D2D2C21}" name="Column4029"/>
    <tableColumn id="4033" xr3:uid="{1A2013E8-CAFA-42D2-84F6-8C1CFC6AE238}" name="Column4030"/>
    <tableColumn id="4034" xr3:uid="{05528CC8-EE56-409E-A593-3928CFED46FF}" name="Column4031"/>
    <tableColumn id="4035" xr3:uid="{30D3C24F-DE3D-464B-93F2-7A65D6D98919}" name="Column4032"/>
    <tableColumn id="4036" xr3:uid="{A1B6A018-BB89-479A-9268-B4B6D4D99AB5}" name="Column4033"/>
    <tableColumn id="4037" xr3:uid="{52836292-3AA6-4C0B-9C75-9C32F8EB4696}" name="Column4034"/>
    <tableColumn id="4038" xr3:uid="{874DBD67-F510-42E8-8708-F6372CE645E7}" name="Column4035"/>
    <tableColumn id="4039" xr3:uid="{B809FB80-219F-4734-BE09-310D9F4879D4}" name="Column4036"/>
    <tableColumn id="4040" xr3:uid="{9C7ABA4B-D7D5-435F-BA9D-9F9764C2C847}" name="Column4037"/>
    <tableColumn id="4041" xr3:uid="{009FD874-7FD4-4F92-AA62-9420B286D930}" name="Column4038"/>
    <tableColumn id="4042" xr3:uid="{0141DA67-0133-4457-A2C6-3DF8BBA67F07}" name="Column4039"/>
    <tableColumn id="4043" xr3:uid="{3B42953D-7CC1-4337-8C6C-BA4B5EFEF5C2}" name="Column4040"/>
    <tableColumn id="4044" xr3:uid="{48D0FA0B-05E5-4116-BD25-C29A186431E6}" name="Column4041"/>
    <tableColumn id="4045" xr3:uid="{BFA4AB0F-B7CE-4604-8424-542E70EB3EF1}" name="Column4042"/>
    <tableColumn id="4046" xr3:uid="{153B0EF0-EA5A-45EE-8D1F-F44D1CEDE574}" name="Column4043"/>
    <tableColumn id="4047" xr3:uid="{1F7319A2-E33F-44C4-8AE9-E28BD69782D1}" name="Column4044"/>
    <tableColumn id="4048" xr3:uid="{424964F1-F03A-4EC3-AFD4-01E09C6453CB}" name="Column4045"/>
    <tableColumn id="4049" xr3:uid="{FE2C31E3-973E-41E6-AE7A-A32325A53280}" name="Column4046"/>
    <tableColumn id="4050" xr3:uid="{D5FB3C23-0417-4E58-9949-DB0AC9BC710F}" name="Column4047"/>
    <tableColumn id="4051" xr3:uid="{C012E4FF-6525-40D0-A177-55B6F39F756B}" name="Column4048"/>
    <tableColumn id="4052" xr3:uid="{CC8C811C-DF34-43D5-8F1A-71D9E3662EF5}" name="Column4049"/>
    <tableColumn id="4053" xr3:uid="{7B57A1DA-965D-483E-B45D-87E5D8676304}" name="Column4050"/>
    <tableColumn id="4054" xr3:uid="{9F3EC0DC-18EA-4997-B6FA-A8C6C438B634}" name="Column4051"/>
    <tableColumn id="4055" xr3:uid="{FDA1BC29-9433-4B28-BBC3-C435C44384B9}" name="Column4052"/>
    <tableColumn id="4056" xr3:uid="{478F9999-9DB3-43ED-A784-F58016BBA8CD}" name="Column4053"/>
    <tableColumn id="4057" xr3:uid="{831BD50D-BD51-4C82-A939-D5934C694BC5}" name="Column4054"/>
    <tableColumn id="4058" xr3:uid="{D750C026-19BC-4242-9D0A-7C8C7308D4D8}" name="Column4055"/>
    <tableColumn id="4059" xr3:uid="{8F5CCDE4-CD17-4581-9FD5-10AF3FB51D74}" name="Column4056"/>
    <tableColumn id="4060" xr3:uid="{0A8C53B4-B63B-49ED-BD36-20B2159E76DC}" name="Column4057"/>
    <tableColumn id="4061" xr3:uid="{8C260933-6E2D-4B6B-B7F7-E69C04ACDBC5}" name="Column4058"/>
    <tableColumn id="4062" xr3:uid="{7096DAFC-3349-4EE9-9A0A-333C2CE82BBF}" name="Column4059"/>
    <tableColumn id="4063" xr3:uid="{CD0B08E0-5DE3-48ED-B620-93B2CB7BD187}" name="Column4060"/>
    <tableColumn id="4064" xr3:uid="{2B97044A-FA71-412C-A90B-21D5838B3FB1}" name="Column4061"/>
    <tableColumn id="4065" xr3:uid="{DD4B674D-1F38-41A7-A673-F08A7E51EE30}" name="Column4062"/>
    <tableColumn id="4066" xr3:uid="{07966980-7CCB-4E3C-9E59-B16E6CBC6F5D}" name="Column4063"/>
    <tableColumn id="4067" xr3:uid="{AFD9C455-A642-46F5-9269-3817CC34715D}" name="Column4064"/>
    <tableColumn id="4068" xr3:uid="{6383F582-295B-45A9-90C5-5E00AE9EA37D}" name="Column4065"/>
    <tableColumn id="4069" xr3:uid="{F119E3E0-E810-431C-97C8-704B7555BCFF}" name="Column4066"/>
    <tableColumn id="4070" xr3:uid="{C12E1010-5A97-4B10-8200-A1423243D3B7}" name="Column4067"/>
    <tableColumn id="4071" xr3:uid="{BB9020E8-3A33-430D-A4B7-CB4A40D3EB3E}" name="Column4068"/>
    <tableColumn id="4072" xr3:uid="{374C2757-BE84-44E6-B923-1216D91419D9}" name="Column4069"/>
    <tableColumn id="4073" xr3:uid="{A298A667-08B0-4FA0-BF6E-26FD353C31EE}" name="Column4070"/>
    <tableColumn id="4074" xr3:uid="{1504ED61-28B9-418B-9915-6A9EEA2F33D1}" name="Column4071"/>
    <tableColumn id="4075" xr3:uid="{D5E4BAAA-0482-492D-88FE-67839B39DEC1}" name="Column4072"/>
    <tableColumn id="4076" xr3:uid="{57C820F5-F1BC-4EC9-9191-01AD62F60138}" name="Column4073"/>
    <tableColumn id="4077" xr3:uid="{C6E9C3C9-3844-49F4-BFA9-F44CADE07886}" name="Column4074"/>
    <tableColumn id="4078" xr3:uid="{26E72228-170B-4636-B11C-C0E7AE065F34}" name="Column4075"/>
    <tableColumn id="4079" xr3:uid="{F558E52B-F47A-46AE-BF86-B6CC9D40FEA3}" name="Column4076"/>
    <tableColumn id="4080" xr3:uid="{BFE381DC-12C8-4B05-A4E5-E7458EFC5212}" name="Column4077"/>
    <tableColumn id="4081" xr3:uid="{593317F1-FEB3-4007-9BC5-6C946A3E53C9}" name="Column4078"/>
    <tableColumn id="4082" xr3:uid="{32B16525-262C-45A5-9121-B3F49122F67C}" name="Column4079"/>
    <tableColumn id="4083" xr3:uid="{A9DA592A-EF06-4CEE-9CDB-843A1BA59115}" name="Column4080"/>
    <tableColumn id="4084" xr3:uid="{CB5E12D7-1557-41A9-86E2-1628A5F05AFF}" name="Column4081"/>
    <tableColumn id="4085" xr3:uid="{6C269FB4-9429-4D14-AAAE-3024C15AC093}" name="Column4082"/>
    <tableColumn id="4086" xr3:uid="{5ABEF91D-9A70-4441-8201-89C2DE48F668}" name="Column4083"/>
    <tableColumn id="4087" xr3:uid="{3F54908F-FE7C-415F-9ECE-0A5C9380A671}" name="Column4084"/>
    <tableColumn id="4088" xr3:uid="{77BF5954-649E-4B63-9892-76E5B28C9A9F}" name="Column4085"/>
    <tableColumn id="4089" xr3:uid="{8D06BD28-6F2B-4047-80D3-EE9F31EF9C10}" name="Column4086"/>
    <tableColumn id="4090" xr3:uid="{013A1AA1-4C40-4617-B495-B37044FFA3B4}" name="Column4087"/>
    <tableColumn id="4091" xr3:uid="{5878D80C-EF76-4FDF-AEA3-FB0F77A0CFB9}" name="Column4088"/>
    <tableColumn id="4092" xr3:uid="{A94EAF0A-6430-4479-A06D-D6956D6513B4}" name="Column4089"/>
    <tableColumn id="4093" xr3:uid="{A2FB9CC0-33B7-4E80-81E9-3B50569C9355}" name="Column4090"/>
    <tableColumn id="4094" xr3:uid="{B24E5953-0FFE-4C54-8717-A44184BD14B8}" name="Column4091"/>
    <tableColumn id="4095" xr3:uid="{F4862AB9-BB8D-41B9-80F6-5EAEE1F58852}" name="Column4092"/>
    <tableColumn id="4096" xr3:uid="{CAE8881A-061B-422F-ABF7-A5B6CD0E8673}" name="Column4093"/>
    <tableColumn id="4097" xr3:uid="{F28D6987-94F1-4DAA-B0B2-0EBD9AA77675}" name="Column4094"/>
    <tableColumn id="4098" xr3:uid="{C5001737-BDC1-43BC-9DDF-FED068F2BF9C}" name="Column4095"/>
    <tableColumn id="4099" xr3:uid="{ECC69A5A-6363-4306-8333-BC1BB78F428D}" name="Column4096"/>
    <tableColumn id="4100" xr3:uid="{4989C292-7C11-4D79-A7B6-952808CF484D}" name="Column4097"/>
    <tableColumn id="4101" xr3:uid="{E37D45C4-CF6C-4C62-B3F7-2D75B876C11F}" name="Column4098"/>
    <tableColumn id="4102" xr3:uid="{72DA426E-5B9A-48D7-9F76-EB8119385A75}" name="Column4099"/>
    <tableColumn id="4103" xr3:uid="{D7535AF1-DA99-4E60-81B1-A0C962C9F691}" name="Column4100"/>
    <tableColumn id="4104" xr3:uid="{578D3C6A-D729-4B8A-A4F0-CA97C5EA119C}" name="Column4101"/>
    <tableColumn id="4105" xr3:uid="{BCD04EC8-D54B-4A09-BE1F-BDAED367990D}" name="Column4102"/>
    <tableColumn id="4106" xr3:uid="{2024EAB9-EAF2-4530-8501-C85C05BB2D5D}" name="Column4103"/>
    <tableColumn id="4107" xr3:uid="{BE22BA82-A392-43C4-9A2F-E38849171AB1}" name="Column4104"/>
    <tableColumn id="4108" xr3:uid="{4EE13092-D9FE-4B29-82FB-A55EBA7C9CAA}" name="Column4105"/>
    <tableColumn id="4109" xr3:uid="{F3682931-843C-4909-A7A7-42F7B7A37AA0}" name="Column4106"/>
    <tableColumn id="4110" xr3:uid="{E95C2ED6-CA6F-4005-A5D2-BBD1B8902B7C}" name="Column4107"/>
    <tableColumn id="4111" xr3:uid="{8CD409D5-4E23-4DD1-8324-4C7560A4BE79}" name="Column4108"/>
    <tableColumn id="4112" xr3:uid="{03073263-BE18-4E10-954C-B63CF50355C6}" name="Column4109"/>
    <tableColumn id="4113" xr3:uid="{D6432A19-9876-4D1C-B2F8-F83BD1295DE9}" name="Column4110"/>
    <tableColumn id="4114" xr3:uid="{3EFA7DB6-A65A-40C0-A790-BA3F3B65C4A8}" name="Column4111"/>
    <tableColumn id="4115" xr3:uid="{AC3025F2-2C6C-4F80-95DE-7742F43C6E5E}" name="Column4112"/>
    <tableColumn id="4116" xr3:uid="{53E7EAF6-F242-4A40-A389-40A3F1151878}" name="Column4113"/>
    <tableColumn id="4117" xr3:uid="{552D131E-AE71-4CC6-A2BB-72C2F3532B32}" name="Column4114"/>
    <tableColumn id="4118" xr3:uid="{5732BFE5-F869-4053-97D5-A80184409F39}" name="Column4115"/>
    <tableColumn id="4119" xr3:uid="{6026CCDD-F932-45B8-8FD1-000FC36D1036}" name="Column4116"/>
    <tableColumn id="4120" xr3:uid="{0916E924-F58B-4D45-B096-8313C9A51288}" name="Column4117"/>
    <tableColumn id="4121" xr3:uid="{767E7E05-3E71-47BA-84F4-174631D3978B}" name="Column4118"/>
    <tableColumn id="4122" xr3:uid="{AD8CE687-8FB7-4540-89E7-E43A3D74B670}" name="Column4119"/>
    <tableColumn id="4123" xr3:uid="{20C81D43-A22E-48CB-94AB-34B3D5466259}" name="Column4120"/>
    <tableColumn id="4124" xr3:uid="{EAFBA816-38E9-4420-A046-62B57637CB43}" name="Column4121"/>
    <tableColumn id="4125" xr3:uid="{3EDB01AE-5047-476A-BE4E-7F058D5DF83A}" name="Column4122"/>
    <tableColumn id="4126" xr3:uid="{A214F004-1F1B-4DAD-8319-4D560DED1B3F}" name="Column4123"/>
    <tableColumn id="4127" xr3:uid="{DE6F6995-EC98-4A77-9387-6386E6981725}" name="Column4124"/>
    <tableColumn id="4128" xr3:uid="{86C7EF24-6DDF-44FE-8F2B-37B289755586}" name="Column4125"/>
    <tableColumn id="4129" xr3:uid="{2C1B58B9-401C-4FAE-A090-EE5364A2976C}" name="Column4126"/>
    <tableColumn id="4130" xr3:uid="{E32CE139-E051-4210-9A8B-CAF20CF56A9F}" name="Column4127"/>
    <tableColumn id="4131" xr3:uid="{E938EDD7-C2CC-4F99-A262-E876027CCA7D}" name="Column4128"/>
    <tableColumn id="4132" xr3:uid="{2361A23F-DE62-4BA8-9474-2B1C73B3867A}" name="Column4129"/>
    <tableColumn id="4133" xr3:uid="{3AD8F6B0-ECA6-4FD9-B3AF-D9F767FDF441}" name="Column4130"/>
    <tableColumn id="4134" xr3:uid="{0A0BB713-D647-4B26-B937-DB9D7B30458D}" name="Column4131"/>
    <tableColumn id="4135" xr3:uid="{0E74AF0E-933C-4475-A57B-BAFCDAFB379A}" name="Column4132"/>
    <tableColumn id="4136" xr3:uid="{B40CF77E-7195-4D8A-A260-72F8D504D53B}" name="Column4133"/>
    <tableColumn id="4137" xr3:uid="{465A949C-65AB-4757-A76D-05A49A50DF51}" name="Column4134"/>
    <tableColumn id="4138" xr3:uid="{3201BC96-F177-4D92-9FD8-B15D3163C13E}" name="Column4135"/>
    <tableColumn id="4139" xr3:uid="{079C8757-F144-4569-AD5E-6956724D2A8D}" name="Column4136"/>
    <tableColumn id="4140" xr3:uid="{83EFE20D-98D1-4216-AEFC-E6DC01456745}" name="Column4137"/>
    <tableColumn id="4141" xr3:uid="{0B082CA8-73FD-427F-844F-6051CA2F0906}" name="Column4138"/>
    <tableColumn id="4142" xr3:uid="{5DED449F-E05F-4B6F-AE48-C580AC53D572}" name="Column4139"/>
    <tableColumn id="4143" xr3:uid="{ADE96788-CBBA-4970-BCE3-706ECAA64B2D}" name="Column4140"/>
    <tableColumn id="4144" xr3:uid="{2EDCAA4F-8F58-406A-B611-074DC31F6D7E}" name="Column4141"/>
    <tableColumn id="4145" xr3:uid="{8C370C8D-2C61-45C6-B135-6BCFDDF75A85}" name="Column4142"/>
    <tableColumn id="4146" xr3:uid="{D4FB2DFA-8480-40B6-9306-06044D14D5DB}" name="Column4143"/>
    <tableColumn id="4147" xr3:uid="{94B47BA9-D52A-4F98-B76C-EB0F4BAAD2F8}" name="Column4144"/>
    <tableColumn id="4148" xr3:uid="{AFB605DE-E131-4392-A63B-113E6E4ADB7D}" name="Column4145"/>
    <tableColumn id="4149" xr3:uid="{57CD551D-5C55-4014-952D-C70DAA57990E}" name="Column4146"/>
    <tableColumn id="4150" xr3:uid="{505206CD-6FD7-49DE-9F4E-1ED5A0D88EEF}" name="Column4147"/>
    <tableColumn id="4151" xr3:uid="{554E8EB0-72C3-4BD3-9F83-19E2CD7AE8F2}" name="Column4148"/>
    <tableColumn id="4152" xr3:uid="{2B866965-EB54-433E-ACB2-652382A14D3D}" name="Column4149"/>
    <tableColumn id="4153" xr3:uid="{E298A0AB-08EF-4681-83CE-44C0EAD44E15}" name="Column4150"/>
    <tableColumn id="4154" xr3:uid="{15D27ACD-FCA6-4627-A893-7731DB4E06B3}" name="Column4151"/>
    <tableColumn id="4155" xr3:uid="{6475D43A-BF65-4B2C-8257-224DF550DBFC}" name="Column4152"/>
    <tableColumn id="4156" xr3:uid="{94B2C9A2-250F-478E-A78F-63702751765D}" name="Column4153"/>
    <tableColumn id="4157" xr3:uid="{D4E0A7C2-726C-4FCD-BA70-BA8ED5B075D7}" name="Column4154"/>
    <tableColumn id="4158" xr3:uid="{E051D948-2239-4D4E-8C34-9246EEAC8481}" name="Column4155"/>
    <tableColumn id="4159" xr3:uid="{2BC36E97-1282-45B2-8278-AE3B464E5D11}" name="Column4156"/>
    <tableColumn id="4160" xr3:uid="{025F6C3F-0647-43CB-9682-D2D29EDD4947}" name="Column4157"/>
    <tableColumn id="4161" xr3:uid="{0A87F044-57F0-46C8-9C3F-B578751198C3}" name="Column4158"/>
    <tableColumn id="4162" xr3:uid="{B0597ACF-F7A2-4BBD-819A-6626C840EF79}" name="Column4159"/>
    <tableColumn id="4163" xr3:uid="{0CC49710-916A-4D76-B3F5-A3E60752D7D3}" name="Column4160"/>
    <tableColumn id="4164" xr3:uid="{C6E7FD6D-3B38-44B5-9EC5-FAC60738C6B4}" name="Column4161"/>
    <tableColumn id="4165" xr3:uid="{58F99114-EDC8-4A31-9AD7-C69C5E1D02F6}" name="Column4162"/>
    <tableColumn id="4166" xr3:uid="{9FB1BBCC-44F4-490A-B781-E6182CB22ACE}" name="Column4163"/>
    <tableColumn id="4167" xr3:uid="{D2F45284-5A63-4563-948F-AA108560AE09}" name="Column4164"/>
    <tableColumn id="4168" xr3:uid="{9E268E0F-0E5F-42D0-B0D8-6EFFF2413096}" name="Column4165"/>
    <tableColumn id="4169" xr3:uid="{A691DC06-2FC8-4BBD-9E0C-19EFE3725A55}" name="Column4166"/>
    <tableColumn id="4170" xr3:uid="{59F44C71-5FFE-4FB2-96CC-DE32BBB0617D}" name="Column4167"/>
    <tableColumn id="4171" xr3:uid="{1FB67E8E-27C9-46B5-96CF-B654C8539A68}" name="Column4168"/>
    <tableColumn id="4172" xr3:uid="{DB1161FE-DEA4-4E42-A617-C1B6C5D1D1E4}" name="Column4169"/>
    <tableColumn id="4173" xr3:uid="{76B449EE-278E-440F-BFE4-E19C4F293380}" name="Column4170"/>
    <tableColumn id="4174" xr3:uid="{49464C10-3F30-4A5F-A5E4-AF390296AD0F}" name="Column4171"/>
    <tableColumn id="4175" xr3:uid="{A18E9FE6-571D-4C56-BDE8-F8652779A46D}" name="Column4172"/>
    <tableColumn id="4176" xr3:uid="{E83F6DE8-CBBC-4F59-862D-8C8C08807479}" name="Column4173"/>
    <tableColumn id="4177" xr3:uid="{779E2C8B-3DDC-48F7-9713-ED5422E9D610}" name="Column4174"/>
    <tableColumn id="4178" xr3:uid="{033AD011-B023-4757-83C0-74039442B9C1}" name="Column4175"/>
    <tableColumn id="4179" xr3:uid="{847F3B89-14A5-47FC-999C-DD786434C2CE}" name="Column4176"/>
    <tableColumn id="4180" xr3:uid="{AF50B4BD-EFB6-485F-A15A-9634878F1F81}" name="Column4177"/>
    <tableColumn id="4181" xr3:uid="{6341BC85-DBDB-46C1-80D7-90FB3B44E619}" name="Column4178"/>
    <tableColumn id="4182" xr3:uid="{FEA4568D-B887-4EBB-9CEC-9686EAB36A60}" name="Column4179"/>
    <tableColumn id="4183" xr3:uid="{B45850A6-8CAA-4507-955E-9D6FAAD11632}" name="Column4180"/>
    <tableColumn id="4184" xr3:uid="{73F15744-237C-4C3F-B4D3-30FFD0D69CCA}" name="Column4181"/>
    <tableColumn id="4185" xr3:uid="{7BCD21C1-D1C3-494B-9410-A093233AE3D9}" name="Column4182"/>
    <tableColumn id="4186" xr3:uid="{13DC8058-B630-4800-9EDB-A6FC9779F248}" name="Column4183"/>
    <tableColumn id="4187" xr3:uid="{F4F24F13-767B-41DE-AECE-8522D9FF9A89}" name="Column4184"/>
    <tableColumn id="4188" xr3:uid="{9CD22436-6CE5-453C-8B16-0B083CB0C65E}" name="Column4185"/>
    <tableColumn id="4189" xr3:uid="{1E10DB6F-E41F-4200-AB07-2305DA2C427A}" name="Column4186"/>
    <tableColumn id="4190" xr3:uid="{8F8E075B-9952-44FB-AB6B-15591255B1A4}" name="Column4187"/>
    <tableColumn id="4191" xr3:uid="{AC870C90-7C9A-4664-B48A-7C126C0081EA}" name="Column4188"/>
    <tableColumn id="4192" xr3:uid="{7FD960D5-61C0-4A78-9EDB-52CAF415FCE5}" name="Column4189"/>
    <tableColumn id="4193" xr3:uid="{E0631BCD-E91C-4FDB-80C6-E4BAC9C5182A}" name="Column4190"/>
    <tableColumn id="4194" xr3:uid="{DB721C38-9ACA-4EDB-A9C5-5A048BEED6E4}" name="Column4191"/>
    <tableColumn id="4195" xr3:uid="{EFB14588-6A40-403B-B7F0-C63ADC8926D9}" name="Column4192"/>
    <tableColumn id="4196" xr3:uid="{70679A97-5DD9-49C2-A2BA-B25F8FE943D8}" name="Column4193"/>
    <tableColumn id="4197" xr3:uid="{91011D39-12F2-43C4-9D20-0C74B97B586F}" name="Column4194"/>
    <tableColumn id="4198" xr3:uid="{ECBFCE71-4269-476A-9DB2-06C33A74A3DF}" name="Column4195"/>
    <tableColumn id="4199" xr3:uid="{4FA9676D-6730-491D-B9D2-FD70847A6A7C}" name="Column4196"/>
    <tableColumn id="4200" xr3:uid="{FBDE1D77-6611-428A-8196-690D0D9702CD}" name="Column4197"/>
    <tableColumn id="4201" xr3:uid="{D3F97E9E-741F-4854-9E31-109CBADA0E88}" name="Column4198"/>
    <tableColumn id="4202" xr3:uid="{4C921EF7-750F-4675-8885-682E396E936A}" name="Column4199"/>
    <tableColumn id="4203" xr3:uid="{E0E24410-0797-42EB-A21A-DAF637A5F1ED}" name="Column4200"/>
    <tableColumn id="4204" xr3:uid="{62475E60-2497-4E94-B213-2C67C26E1372}" name="Column4201"/>
    <tableColumn id="4205" xr3:uid="{13F19267-144A-4D3D-BB0F-21B3E128FF6F}" name="Column4202"/>
    <tableColumn id="4206" xr3:uid="{6E080935-597A-46CC-B9BE-8AE598305E1C}" name="Column4203"/>
    <tableColumn id="4207" xr3:uid="{8E78E2D1-92EA-4F8E-812A-ABB7A954613A}" name="Column4204"/>
    <tableColumn id="4208" xr3:uid="{6EF770F0-4F88-42B6-95E9-3DCCE23605C1}" name="Column4205"/>
    <tableColumn id="4209" xr3:uid="{145E5B48-2E6C-4CE3-9F56-1F9E2A1E0033}" name="Column4206"/>
    <tableColumn id="4210" xr3:uid="{BA198349-BCC9-413D-B11D-C4ABD5E2B043}" name="Column4207"/>
    <tableColumn id="4211" xr3:uid="{8BA9229E-3F54-46CB-9B43-954373D1352F}" name="Column4208"/>
    <tableColumn id="4212" xr3:uid="{6135B36B-48EE-4D60-A595-035E3FBE02CF}" name="Column4209"/>
    <tableColumn id="4213" xr3:uid="{A06D60DB-85A3-4E96-BF97-3B28F90AC462}" name="Column4210"/>
    <tableColumn id="4214" xr3:uid="{E6AC2965-5F8C-4F8D-88D3-879E017E4EC6}" name="Column4211"/>
    <tableColumn id="4215" xr3:uid="{C4343494-6220-42F0-BD03-F49EEB47DE42}" name="Column4212"/>
    <tableColumn id="4216" xr3:uid="{0FCEC038-ED4A-47FE-9A25-EF4C2429DC22}" name="Column4213"/>
    <tableColumn id="4217" xr3:uid="{2B048FFD-847B-4243-9C2A-776501D57CFD}" name="Column4214"/>
    <tableColumn id="4218" xr3:uid="{D77A42D7-8649-47F2-894B-717A4913F20A}" name="Column4215"/>
    <tableColumn id="4219" xr3:uid="{F46295F7-8CB4-4987-BCBB-54B862C9DE41}" name="Column4216"/>
    <tableColumn id="4220" xr3:uid="{DB1C7D62-6C34-4999-A1E0-AB344E7570DA}" name="Column4217"/>
    <tableColumn id="4221" xr3:uid="{1ED591AB-D16B-4FCD-AEE9-333E2334E7D6}" name="Column4218"/>
    <tableColumn id="4222" xr3:uid="{08282011-81D6-443C-8B84-4612786EFC90}" name="Column4219"/>
    <tableColumn id="4223" xr3:uid="{7ECFDC64-BD2F-4E9C-AAF5-CED3FA1A5160}" name="Column4220"/>
    <tableColumn id="4224" xr3:uid="{F69CD962-ED79-47A7-BF2D-5D8072293468}" name="Column4221"/>
    <tableColumn id="4225" xr3:uid="{A3250C08-DF69-42B6-A974-27E73D79104C}" name="Column4222"/>
    <tableColumn id="4226" xr3:uid="{8ECD6995-4FAA-4A94-80E8-24305376927E}" name="Column4223"/>
    <tableColumn id="4227" xr3:uid="{2F6B22BB-AF53-419C-B6DB-5CAE9244F3D3}" name="Column4224"/>
    <tableColumn id="4228" xr3:uid="{9F49E5FA-4428-4FFE-8C15-6487C1B62495}" name="Column4225"/>
    <tableColumn id="4229" xr3:uid="{78194ABB-E7BF-432D-86C0-7EB161C307C0}" name="Column4226"/>
    <tableColumn id="4230" xr3:uid="{BAA87907-55C5-4015-A613-59A13CAB323E}" name="Column4227"/>
    <tableColumn id="4231" xr3:uid="{4EF0134E-A618-4440-BF71-FFA19C8F29CC}" name="Column4228"/>
    <tableColumn id="4232" xr3:uid="{0A66A278-77AE-4DF5-80C7-B6ED11D2563E}" name="Column4229"/>
    <tableColumn id="4233" xr3:uid="{582C4A61-5C32-4908-9B1B-697BB7D73FF9}" name="Column4230"/>
    <tableColumn id="4234" xr3:uid="{D778664D-F1FD-4DD5-BCB9-A8FEE1F55CB5}" name="Column4231"/>
    <tableColumn id="4235" xr3:uid="{1B52F404-0D4A-4E53-A0AC-34690FAE8ABD}" name="Column4232"/>
    <tableColumn id="4236" xr3:uid="{23AF6E9A-A1E3-4F96-BBE6-778C313597C6}" name="Column4233"/>
    <tableColumn id="4237" xr3:uid="{1F33B8B2-BAA5-4385-BD98-B5202C4A8B76}" name="Column4234"/>
    <tableColumn id="4238" xr3:uid="{8220E469-B429-4112-8D47-B19477E71468}" name="Column4235"/>
    <tableColumn id="4239" xr3:uid="{4BF24B5E-773F-4538-AFA6-7B8FA526E2E8}" name="Column4236"/>
    <tableColumn id="4240" xr3:uid="{8B6FB0CE-CD2B-4D50-B9D5-7FD363BA55C3}" name="Column4237"/>
    <tableColumn id="4241" xr3:uid="{2F05CABB-C144-4FB3-ACDB-0D96E845EE30}" name="Column4238"/>
    <tableColumn id="4242" xr3:uid="{04AB5AC5-0753-48B4-ADDA-AB155B2C1476}" name="Column4239"/>
    <tableColumn id="4243" xr3:uid="{9D558A91-B710-466D-ACA0-85CC3F884F00}" name="Column4240"/>
    <tableColumn id="4244" xr3:uid="{71414F3E-CD38-4AA7-A23E-EF666B3321A7}" name="Column4241"/>
    <tableColumn id="4245" xr3:uid="{42A4A332-F82B-4889-BC13-B0F85132075D}" name="Column4242"/>
    <tableColumn id="4246" xr3:uid="{0F707856-188B-4E3E-8512-4D85550E6586}" name="Column4243"/>
    <tableColumn id="4247" xr3:uid="{534E6B35-DF07-40CA-9283-D23C6A3BA105}" name="Column4244"/>
    <tableColumn id="4248" xr3:uid="{0066D172-5335-4497-86E0-798B791A1176}" name="Column4245"/>
    <tableColumn id="4249" xr3:uid="{34E3244B-0302-400D-9DC8-8E08C2D99F55}" name="Column4246"/>
    <tableColumn id="4250" xr3:uid="{C25A57AA-CF60-4BF6-B1FB-E3948653A243}" name="Column4247"/>
    <tableColumn id="4251" xr3:uid="{F67D60A7-8371-4B78-9104-46F26103CFD0}" name="Column4248"/>
    <tableColumn id="4252" xr3:uid="{19567C73-E8D1-46E6-AA45-D467293F9AED}" name="Column4249"/>
    <tableColumn id="4253" xr3:uid="{97A8D3FF-10A9-45BC-9AA8-CDDBB1ECE405}" name="Column4250"/>
    <tableColumn id="4254" xr3:uid="{1ACD47D2-D54C-4C5E-A88D-DA6E1A491961}" name="Column4251"/>
    <tableColumn id="4255" xr3:uid="{A41E6866-55C6-4EE1-8DA1-6D9792F56903}" name="Column4252"/>
    <tableColumn id="4256" xr3:uid="{C74C8CFB-470D-421C-833C-8D24E9D0FE68}" name="Column4253"/>
    <tableColumn id="4257" xr3:uid="{F1FC9B61-97E5-416F-BDA2-E2F4B0244887}" name="Column4254"/>
    <tableColumn id="4258" xr3:uid="{D34E3930-54BC-4ABD-8BE6-F89E8144859A}" name="Column4255"/>
    <tableColumn id="4259" xr3:uid="{0DCD9EF2-DF9F-40DF-BC37-9AA924F0534D}" name="Column4256"/>
    <tableColumn id="4260" xr3:uid="{BFAE023C-D4F9-4146-BC5B-5CCA024DDBF3}" name="Column4257"/>
    <tableColumn id="4261" xr3:uid="{AE1BCA87-7408-4B32-B1C5-D4192924E9F9}" name="Column4258"/>
    <tableColumn id="4262" xr3:uid="{8B206225-264D-47EF-B5A6-54E110204F73}" name="Column4259"/>
    <tableColumn id="4263" xr3:uid="{C7DD603A-D28A-4D34-AC7B-71E3D3F1CCCE}" name="Column4260"/>
    <tableColumn id="4264" xr3:uid="{1934FDD5-3BD3-445C-B93F-83F6554447BB}" name="Column4261"/>
    <tableColumn id="4265" xr3:uid="{179F703F-AF57-4EE0-9783-C70FF1778DBF}" name="Column4262"/>
    <tableColumn id="4266" xr3:uid="{4CD3968B-C0A6-4FCC-956A-FC5525E07B43}" name="Column4263"/>
    <tableColumn id="4267" xr3:uid="{12C957B2-73CA-41F2-A472-C84CF0708DAA}" name="Column4264"/>
    <tableColumn id="4268" xr3:uid="{0395E0FD-5308-4B13-A8CE-963EEC99D49B}" name="Column4265"/>
    <tableColumn id="4269" xr3:uid="{BA46453E-64E7-4B89-ADDB-8A210B6C800C}" name="Column4266"/>
    <tableColumn id="4270" xr3:uid="{9731D9B7-ABDA-4422-A856-5D09E1A283C8}" name="Column4267"/>
    <tableColumn id="4271" xr3:uid="{90338ACA-C779-4DC6-8799-1433F3AC59AC}" name="Column4268"/>
    <tableColumn id="4272" xr3:uid="{3CFC5D81-8ED8-4FE8-9055-77DEF5AEF9C3}" name="Column4269"/>
    <tableColumn id="4273" xr3:uid="{73129C62-2D7B-41F8-901A-A99D7EAF2A9E}" name="Column4270"/>
    <tableColumn id="4274" xr3:uid="{9ADE0CCE-F778-4F7F-8F9E-C5662AC688CC}" name="Column4271"/>
    <tableColumn id="4275" xr3:uid="{B3634C35-EBFE-45BF-B2B9-D8911AF59441}" name="Column4272"/>
    <tableColumn id="4276" xr3:uid="{06B3B0F9-C486-4C26-97A7-14E5535DC0E7}" name="Column4273"/>
    <tableColumn id="4277" xr3:uid="{8349C4B8-76ED-47E3-9807-EFC75B0B7460}" name="Column4274"/>
    <tableColumn id="4278" xr3:uid="{63319248-499F-4223-A99F-40782AD34786}" name="Column4275"/>
    <tableColumn id="4279" xr3:uid="{54FDA517-3696-4FB6-9B15-E0869386B501}" name="Column4276"/>
    <tableColumn id="4280" xr3:uid="{83C89876-C02E-4758-B667-EBBBEEDFB7AB}" name="Column4277"/>
    <tableColumn id="4281" xr3:uid="{9A7228DF-A876-4862-A182-89229A8F6483}" name="Column4278"/>
    <tableColumn id="4282" xr3:uid="{41A981AE-398A-42F6-B82A-F47592373231}" name="Column4279"/>
    <tableColumn id="4283" xr3:uid="{661E7716-DB20-44B9-8298-AA0C3A197AB9}" name="Column4280"/>
    <tableColumn id="4284" xr3:uid="{DD169D84-E929-46BA-997E-2DB9175A015B}" name="Column4281"/>
    <tableColumn id="4285" xr3:uid="{98EB65E6-96C1-4626-AD07-6F2B2F2C2A3F}" name="Column4282"/>
    <tableColumn id="4286" xr3:uid="{7A5E2837-DA51-4DC0-BCF9-0086F8F3099E}" name="Column4283"/>
    <tableColumn id="4287" xr3:uid="{52341A8E-722A-46DB-B510-F3FAA00F4283}" name="Column4284"/>
    <tableColumn id="4288" xr3:uid="{FF4C8398-AA68-43A5-B6BD-B47F8A0BF38A}" name="Column4285"/>
    <tableColumn id="4289" xr3:uid="{FFE40796-7F5C-41FD-9749-E9204ABCB839}" name="Column4286"/>
    <tableColumn id="4290" xr3:uid="{20F9AFD0-2946-4DD6-BBE5-CDE1971F0368}" name="Column4287"/>
    <tableColumn id="4291" xr3:uid="{6B294CCC-D469-4DAF-B6F0-B7345F7E5879}" name="Column4288"/>
    <tableColumn id="4292" xr3:uid="{0266F835-580A-45EA-B076-E142FBCA0D39}" name="Column4289"/>
    <tableColumn id="4293" xr3:uid="{EFE7D90F-DF7F-40BD-8D8C-1A0932538F22}" name="Column4290"/>
    <tableColumn id="4294" xr3:uid="{A4CAA48C-92A2-4AFE-AC29-B73C8D29EF11}" name="Column4291"/>
    <tableColumn id="4295" xr3:uid="{575A3B75-AEBE-48EE-A63B-EC71B1640DFD}" name="Column4292"/>
    <tableColumn id="4296" xr3:uid="{3400672E-9833-4F56-88A8-4BFF0CA77472}" name="Column4293"/>
    <tableColumn id="4297" xr3:uid="{5B3C2156-D799-4A37-AF76-ABB8750E84B4}" name="Column4294"/>
    <tableColumn id="4298" xr3:uid="{30E45B93-2634-4EF2-B3B7-A4911251BE03}" name="Column4295"/>
    <tableColumn id="4299" xr3:uid="{F60830BF-143D-4303-9198-00A563CB159A}" name="Column4296"/>
    <tableColumn id="4300" xr3:uid="{6C5D2471-27DB-43FE-A47D-1E18E1432DCA}" name="Column4297"/>
    <tableColumn id="4301" xr3:uid="{DC17D3D3-EB1D-4BC3-A8FA-6B1C713077B0}" name="Column4298"/>
    <tableColumn id="4302" xr3:uid="{132441C0-5DF3-48A7-8D40-29673EA34491}" name="Column4299"/>
    <tableColumn id="4303" xr3:uid="{0AF3C794-AAC4-4A87-98A8-4480216AA69B}" name="Column4300"/>
    <tableColumn id="4304" xr3:uid="{703340AA-1179-46B3-89C5-265C5DC01565}" name="Column4301"/>
    <tableColumn id="4305" xr3:uid="{5B154F20-B0B3-427A-9415-6EBDFA59199E}" name="Column4302"/>
    <tableColumn id="4306" xr3:uid="{EF5D4405-7B50-4AA9-B83F-CA7FB048E583}" name="Column4303"/>
    <tableColumn id="4307" xr3:uid="{A35E5992-1AF0-4813-9465-CE21A4E83C83}" name="Column4304"/>
    <tableColumn id="4308" xr3:uid="{489597ED-EAE5-4076-B6E6-8119DDFCD0C9}" name="Column4305"/>
    <tableColumn id="4309" xr3:uid="{85FC075E-5BA5-4E6A-BB24-685656429539}" name="Column4306"/>
    <tableColumn id="4310" xr3:uid="{D9A0C2EA-4D88-4838-8392-899BED3E0196}" name="Column4307"/>
    <tableColumn id="4311" xr3:uid="{FCDC49E3-1580-4F6F-8F66-14793DAFD89C}" name="Column4308"/>
    <tableColumn id="4312" xr3:uid="{99228CA3-740C-4332-8963-BF0879BF75F3}" name="Column4309"/>
    <tableColumn id="4313" xr3:uid="{7246EB37-BE5D-44FB-A0AA-A2B551163228}" name="Column4310"/>
    <tableColumn id="4314" xr3:uid="{855A483D-213D-4216-BDA6-C306DBE3B1DA}" name="Column4311"/>
    <tableColumn id="4315" xr3:uid="{8BD75CCB-4233-4040-A742-47352BAF4618}" name="Column4312"/>
    <tableColumn id="4316" xr3:uid="{DAC089D7-E5CB-46DE-99C7-3FDF610ECF8F}" name="Column4313"/>
    <tableColumn id="4317" xr3:uid="{D5AE3035-58C1-4F48-9F78-1B11F9F6DB08}" name="Column4314"/>
    <tableColumn id="4318" xr3:uid="{C4D834A9-DF21-4E9A-81ED-148BD0B5778F}" name="Column4315"/>
    <tableColumn id="4319" xr3:uid="{00C1C2DA-E2E7-4B08-B32B-7A11C946FEC1}" name="Column4316"/>
    <tableColumn id="4320" xr3:uid="{5DAFDCA0-EBB6-41E8-8B18-D36FE1945780}" name="Column4317"/>
    <tableColumn id="4321" xr3:uid="{122A3227-5FCC-4B37-B5CD-44A93794B41D}" name="Column4318"/>
    <tableColumn id="4322" xr3:uid="{25BE2322-42F3-49EA-9035-3E531C17D4CA}" name="Column4319"/>
    <tableColumn id="4323" xr3:uid="{F12ADE51-44A3-4269-B08F-F41924328E1D}" name="Column4320"/>
    <tableColumn id="4324" xr3:uid="{233D3C0E-97F4-426E-8613-CC696A703DB6}" name="Column4321"/>
    <tableColumn id="4325" xr3:uid="{96FAD7D6-ADD1-4462-8193-87285F350D2A}" name="Column4322"/>
    <tableColumn id="4326" xr3:uid="{A8C6984D-1E33-41F7-902D-1702ABB4FE7A}" name="Column4323"/>
    <tableColumn id="4327" xr3:uid="{B9F95885-39C6-4D6C-B24F-EEF4EB6C29E2}" name="Column4324"/>
    <tableColumn id="4328" xr3:uid="{F5020CC8-624C-4DAB-985C-E7A972EE6A15}" name="Column4325"/>
    <tableColumn id="4329" xr3:uid="{85CEDE4B-B950-4A18-AFE6-39E9BAAD83BC}" name="Column4326"/>
    <tableColumn id="4330" xr3:uid="{8751AE29-92A3-4086-910E-567F82B91F9B}" name="Column4327"/>
    <tableColumn id="4331" xr3:uid="{EDEE9C78-EAAB-47DF-8C07-7BB2AADF143B}" name="Column4328"/>
    <tableColumn id="4332" xr3:uid="{413C5ECB-141B-448A-9681-4595E2C3EB1C}" name="Column4329"/>
    <tableColumn id="4333" xr3:uid="{ED65595D-C5E0-4ACB-9DAB-4C7C1AD3AFC2}" name="Column4330"/>
    <tableColumn id="4334" xr3:uid="{D205F790-CBED-419B-A92A-9CBAAD505436}" name="Column4331"/>
    <tableColumn id="4335" xr3:uid="{7F502789-2DB7-47D0-9C55-5A786E55F8B8}" name="Column4332"/>
    <tableColumn id="4336" xr3:uid="{CBD4839A-8C7C-4EC1-A63F-F86B2A91F6E5}" name="Column4333"/>
    <tableColumn id="4337" xr3:uid="{611D757A-6558-48B0-8F8C-7B1FC8E3E306}" name="Column4334"/>
    <tableColumn id="4338" xr3:uid="{3C44521B-1C2A-4688-9FBD-A7136CDCC527}" name="Column4335"/>
    <tableColumn id="4339" xr3:uid="{1B256B8E-CF83-4366-B970-1D9AC624D0B6}" name="Column4336"/>
    <tableColumn id="4340" xr3:uid="{4D1C1AAA-F867-4280-8DBC-878C340BB15E}" name="Column4337"/>
    <tableColumn id="4341" xr3:uid="{1DD2628D-E213-4919-98C8-1722D9E6DE31}" name="Column4338"/>
    <tableColumn id="4342" xr3:uid="{B1FE9691-DFA5-407F-A151-C01C88C70D32}" name="Column4339"/>
    <tableColumn id="4343" xr3:uid="{DA933C5C-A904-40F2-81C7-288980DCD6E3}" name="Column4340"/>
    <tableColumn id="4344" xr3:uid="{C392FB48-7C63-42EF-A4D2-6E364F6A9381}" name="Column4341"/>
    <tableColumn id="4345" xr3:uid="{B2AE2C55-6191-4EE4-B9C7-A395203C3F6E}" name="Column4342"/>
    <tableColumn id="4346" xr3:uid="{1E21AF53-DD8F-46D7-86A5-D47BF2FB65DB}" name="Column4343"/>
    <tableColumn id="4347" xr3:uid="{5FA6846C-845A-4FB2-A743-668821DE77CF}" name="Column4344"/>
    <tableColumn id="4348" xr3:uid="{ED20401D-4B31-4BB0-A6AB-40FA48D362CB}" name="Column4345"/>
    <tableColumn id="4349" xr3:uid="{B6268301-8B3F-474F-AED7-71D8F21083BD}" name="Column4346"/>
    <tableColumn id="4350" xr3:uid="{4173D35E-A0D6-4D47-A5F6-304F7AF97F9C}" name="Column4347"/>
    <tableColumn id="4351" xr3:uid="{CF34F69A-BCE4-4BA1-B8F7-3F05B1B2EAE2}" name="Column4348"/>
    <tableColumn id="4352" xr3:uid="{AFD12456-9EA0-4C30-A9B5-A959FB585C17}" name="Column4349"/>
    <tableColumn id="4353" xr3:uid="{98A2C811-97E3-416F-9C6E-386EB7AACC6F}" name="Column4350"/>
    <tableColumn id="4354" xr3:uid="{C925FAE9-752E-485B-93D2-66C21A0D7897}" name="Column4351"/>
    <tableColumn id="4355" xr3:uid="{721C14C3-3476-4A96-A2C4-32159966297B}" name="Column4352"/>
    <tableColumn id="4356" xr3:uid="{0EF55C64-413C-4821-B661-0F40071A9080}" name="Column4353"/>
    <tableColumn id="4357" xr3:uid="{C21285AD-719A-44A2-ACCF-E2C3D03DDC8B}" name="Column4354"/>
    <tableColumn id="4358" xr3:uid="{CC4B8128-AF59-48B5-BEB3-42D1C0ADBBBF}" name="Column4355"/>
    <tableColumn id="4359" xr3:uid="{0B0B8510-D59F-496C-8DFA-717044BB51A8}" name="Column4356"/>
    <tableColumn id="4360" xr3:uid="{87562357-796E-4773-94C4-008755350C22}" name="Column4357"/>
    <tableColumn id="4361" xr3:uid="{FEB59EE9-D6FE-488D-AE66-BA23CEFAE526}" name="Column4358"/>
    <tableColumn id="4362" xr3:uid="{84D34595-B79C-4545-A431-B9FB67298087}" name="Column4359"/>
    <tableColumn id="4363" xr3:uid="{BF781C84-3C61-4B94-90A2-0F55D53510F2}" name="Column4360"/>
    <tableColumn id="4364" xr3:uid="{DAA855BF-A031-457D-8C28-1CF0A57AF5EB}" name="Column4361"/>
    <tableColumn id="4365" xr3:uid="{90FEECB8-5B43-4850-A2ED-87553F1E92D7}" name="Column4362"/>
    <tableColumn id="4366" xr3:uid="{3230B963-E6C9-4F98-A392-FC2B9679AF55}" name="Column4363"/>
    <tableColumn id="4367" xr3:uid="{E170F0BE-787F-4A79-B8AA-2DE817252BC3}" name="Column4364"/>
    <tableColumn id="4368" xr3:uid="{CB1E84AF-3385-4E12-9113-9CEDAF0B8B40}" name="Column4365"/>
    <tableColumn id="4369" xr3:uid="{3CF253A8-7C29-45AF-9844-AF6565D71C10}" name="Column4366"/>
    <tableColumn id="4370" xr3:uid="{3CFB4172-6C43-45E7-BF65-7B526380150A}" name="Column4367"/>
    <tableColumn id="4371" xr3:uid="{E922F7F4-6343-45BE-A09A-CDED776F8A67}" name="Column4368"/>
    <tableColumn id="4372" xr3:uid="{0D091405-F5B2-41D3-85F0-2BD40D67D065}" name="Column4369"/>
    <tableColumn id="4373" xr3:uid="{52A0615A-F8C9-4696-AA43-365438D12603}" name="Column4370"/>
    <tableColumn id="4374" xr3:uid="{8AC52025-EAC8-4D66-B764-AA5021536F66}" name="Column4371"/>
    <tableColumn id="4375" xr3:uid="{17600E0C-7D7F-4838-ACF9-AB4976597A15}" name="Column4372"/>
    <tableColumn id="4376" xr3:uid="{D9BB67E0-B64D-407D-A54F-8E5648E0A667}" name="Column4373"/>
    <tableColumn id="4377" xr3:uid="{A8DA55BC-D4CF-4826-8EEC-7ACD5A7A0271}" name="Column4374"/>
    <tableColumn id="4378" xr3:uid="{DA01D9C3-4E47-461C-8884-87D3EFC70D37}" name="Column4375"/>
    <tableColumn id="4379" xr3:uid="{E6CFDBC3-0AB5-408B-97B3-92D075EAF6EF}" name="Column4376"/>
    <tableColumn id="4380" xr3:uid="{95E3D735-4B5A-42A9-8261-97CCB70752CE}" name="Column4377"/>
    <tableColumn id="4381" xr3:uid="{DEFCBF91-526A-4A83-9A8C-B5D80F7723CF}" name="Column4378"/>
    <tableColumn id="4382" xr3:uid="{D817BCB4-615F-4EE3-90D4-40F23749B5AF}" name="Column4379"/>
    <tableColumn id="4383" xr3:uid="{487137C8-D280-4E69-8F23-CA31258E8865}" name="Column4380"/>
    <tableColumn id="4384" xr3:uid="{3362EE26-78DE-45B0-A541-A7592C1B8892}" name="Column4381"/>
    <tableColumn id="4385" xr3:uid="{C7B3DDA0-A43B-48EC-8E96-368793388588}" name="Column4382"/>
    <tableColumn id="4386" xr3:uid="{A435ED9A-6F27-4D18-80C8-44BC3746741E}" name="Column4383"/>
    <tableColumn id="4387" xr3:uid="{0ED32A09-BA28-4E2C-B1A6-C81220BD7318}" name="Column4384"/>
    <tableColumn id="4388" xr3:uid="{AF142489-8C7A-44D7-8AAF-EA436C7BA2E4}" name="Column4385"/>
    <tableColumn id="4389" xr3:uid="{DBE0BBF2-3682-47F2-A0DC-C12E073D380F}" name="Column4386"/>
    <tableColumn id="4390" xr3:uid="{DAD46778-1B47-45B6-AA08-07628CB087C9}" name="Column4387"/>
    <tableColumn id="4391" xr3:uid="{1EBE40E6-E362-40C9-A05D-0A3DF19FA342}" name="Column4388"/>
    <tableColumn id="4392" xr3:uid="{6724A907-7EFF-43D0-95A5-168B612E7294}" name="Column4389"/>
    <tableColumn id="4393" xr3:uid="{93A6FE95-599E-4D77-814A-F754F78E12E0}" name="Column4390"/>
    <tableColumn id="4394" xr3:uid="{274F053D-BF7B-460F-B284-587044B148E2}" name="Column4391"/>
    <tableColumn id="4395" xr3:uid="{0C774F11-1B5C-4587-A59C-5AC3D2954E62}" name="Column4392"/>
    <tableColumn id="4396" xr3:uid="{8FC86B98-F8D1-42CA-ADC7-86F4E62DBDDC}" name="Column4393"/>
    <tableColumn id="4397" xr3:uid="{5CA23523-DA04-4012-A612-545519C78E0A}" name="Column4394"/>
    <tableColumn id="4398" xr3:uid="{13CA2C66-C0F6-4149-A33C-BD17559D0CF9}" name="Column4395"/>
    <tableColumn id="4399" xr3:uid="{21976D69-0F05-43BA-8A74-BB04CE06E823}" name="Column4396"/>
    <tableColumn id="4400" xr3:uid="{A6DE670E-04FD-4F0F-8652-5D82C51EF733}" name="Column4397"/>
    <tableColumn id="4401" xr3:uid="{42618FD5-8F56-4BAB-9030-98DBB193E830}" name="Column4398"/>
    <tableColumn id="4402" xr3:uid="{3A8DAB69-881A-4BC4-9097-AE70E71D5780}" name="Column4399"/>
    <tableColumn id="4403" xr3:uid="{159D1735-03F5-465A-9A8B-4B7752935784}" name="Column4400"/>
    <tableColumn id="4404" xr3:uid="{E173DB50-785D-4500-8A49-4FACADE46327}" name="Column4401"/>
    <tableColumn id="4405" xr3:uid="{60A26E4C-DD75-4871-B2AC-965CE6147876}" name="Column4402"/>
    <tableColumn id="4406" xr3:uid="{BAD177A9-0873-462D-8EDB-B2619706DEA0}" name="Column4403"/>
    <tableColumn id="4407" xr3:uid="{670560C1-1F3B-46A6-B747-8A76A11A9652}" name="Column4404"/>
    <tableColumn id="4408" xr3:uid="{7E6F7F4B-4DB9-4056-B65E-6763763AEE39}" name="Column4405"/>
    <tableColumn id="4409" xr3:uid="{85F73F8E-E7EE-4617-8C9D-5D2A154B221F}" name="Column4406"/>
    <tableColumn id="4410" xr3:uid="{16AB5286-014A-4AB9-B5A6-43AC8962259C}" name="Column4407"/>
    <tableColumn id="4411" xr3:uid="{6320B955-1E4C-4A14-A507-A5E1288D70D5}" name="Column4408"/>
    <tableColumn id="4412" xr3:uid="{A8ABABA8-4D62-45BB-B9E2-5A222904DB32}" name="Column4409"/>
    <tableColumn id="4413" xr3:uid="{ABE514AD-8D0A-4F08-AF01-B4F47E60A451}" name="Column4410"/>
    <tableColumn id="4414" xr3:uid="{8D70D109-84CE-4F6D-B980-068E9262D41F}" name="Column4411"/>
    <tableColumn id="4415" xr3:uid="{4D998962-87A0-4B9D-9770-5A6A8304BF5F}" name="Column4412"/>
    <tableColumn id="4416" xr3:uid="{60FF7F9A-D678-4505-8254-933631522DD1}" name="Column4413"/>
    <tableColumn id="4417" xr3:uid="{6F5048BF-D3FD-49F3-A519-C5E14A640092}" name="Column4414"/>
    <tableColumn id="4418" xr3:uid="{DCCD08FD-381A-4740-ABE0-8B3E97106F07}" name="Column4415"/>
    <tableColumn id="4419" xr3:uid="{B842ED8A-2C6B-4E9B-A754-A41BD812AC1D}" name="Column4416"/>
    <tableColumn id="4420" xr3:uid="{B36090A7-30E5-405E-94B1-F08E1E87E790}" name="Column4417"/>
    <tableColumn id="4421" xr3:uid="{7E60523D-56F3-45D7-89E4-029D195D0276}" name="Column4418"/>
    <tableColumn id="4422" xr3:uid="{098447FC-34CA-4D1D-A285-045F9B160626}" name="Column4419"/>
    <tableColumn id="4423" xr3:uid="{A5B2B03D-F487-4F45-8C1F-E213AFF19ACE}" name="Column4420"/>
    <tableColumn id="4424" xr3:uid="{89044A94-62FA-4D4B-B879-09618B151ECF}" name="Column4421"/>
    <tableColumn id="4425" xr3:uid="{598BE863-872A-4A1D-AFF6-F5FD4FB4C5C1}" name="Column4422"/>
    <tableColumn id="4426" xr3:uid="{A4797B97-E0D6-40FC-BF0F-FB10A3934547}" name="Column4423"/>
    <tableColumn id="4427" xr3:uid="{ABB42F1A-7F80-4667-8519-B6F83716794E}" name="Column4424"/>
    <tableColumn id="4428" xr3:uid="{8C5D880D-DCEF-48AA-ABD7-525CD653C17C}" name="Column4425"/>
    <tableColumn id="4429" xr3:uid="{AC7681BC-F15A-4E11-993E-C4B05451A577}" name="Column4426"/>
    <tableColumn id="4430" xr3:uid="{09B53B9C-CE48-4503-9A31-5478A8C2689B}" name="Column4427"/>
    <tableColumn id="4431" xr3:uid="{0C63F7B0-65EC-4E5A-B522-CF485613C89F}" name="Column4428"/>
    <tableColumn id="4432" xr3:uid="{7BF475B0-E2EA-4468-AD8F-11FEC23F09E7}" name="Column4429"/>
    <tableColumn id="4433" xr3:uid="{99AA2059-0264-4B51-B700-73884F231FF2}" name="Column4430"/>
    <tableColumn id="4434" xr3:uid="{3BF2A615-ED2D-420F-B2D1-DE15919DE221}" name="Column4431"/>
    <tableColumn id="4435" xr3:uid="{5513CA16-6E9E-4765-82CB-C395650B73C3}" name="Column4432"/>
    <tableColumn id="4436" xr3:uid="{BBB4B65F-AB61-4C01-8983-0BEA3FC7CDBF}" name="Column4433"/>
    <tableColumn id="4437" xr3:uid="{4DB76216-C3E2-4F41-8496-16BD1EBEB470}" name="Column4434"/>
    <tableColumn id="4438" xr3:uid="{CAF87DFF-5C0E-4EBA-A52C-A420DA525311}" name="Column4435"/>
    <tableColumn id="4439" xr3:uid="{6E5AE81F-B29E-4B1A-B591-9C25D94E644E}" name="Column4436"/>
    <tableColumn id="4440" xr3:uid="{C055584B-3598-4C2E-B815-D5655E90E155}" name="Column4437"/>
    <tableColumn id="4441" xr3:uid="{00ED6EC0-26D6-4364-ADAE-E568C99C16AE}" name="Column4438"/>
    <tableColumn id="4442" xr3:uid="{E697BE75-B36F-416E-A551-4C34FB89C105}" name="Column4439"/>
    <tableColumn id="4443" xr3:uid="{91B29EF9-4742-4D38-BF25-1FB4BE852B4D}" name="Column4440"/>
    <tableColumn id="4444" xr3:uid="{B7B330EA-CA3A-45DA-8DC0-7D6AB5BF8327}" name="Column4441"/>
    <tableColumn id="4445" xr3:uid="{5BE0B42A-BDC8-47BD-BD01-A592E60C0AC3}" name="Column4442"/>
    <tableColumn id="4446" xr3:uid="{1167D08B-6CDE-47D0-848D-CD995ED94575}" name="Column4443"/>
    <tableColumn id="4447" xr3:uid="{843A94A1-BE54-4DC2-B140-1108E71F6830}" name="Column4444"/>
    <tableColumn id="4448" xr3:uid="{796556D0-835E-4028-B810-5CCA16780EAF}" name="Column4445"/>
    <tableColumn id="4449" xr3:uid="{77BF1B11-7C91-43A6-AC95-0E829E8C9F4C}" name="Column4446"/>
    <tableColumn id="4450" xr3:uid="{FE7DFB31-0FAE-40DD-B5AE-77D2B60D5218}" name="Column4447"/>
    <tableColumn id="4451" xr3:uid="{AA2F3E20-37BA-4C77-BB4C-AA7E928B2FC6}" name="Column4448"/>
    <tableColumn id="4452" xr3:uid="{57285FB7-8B27-4AC3-A41D-CD13F66B9A2C}" name="Column4449"/>
    <tableColumn id="4453" xr3:uid="{0E6A3872-4B51-47EE-9AF5-A45F10A84661}" name="Column4450"/>
    <tableColumn id="4454" xr3:uid="{20BC94F1-C6B8-47AC-9714-2A3A7F256762}" name="Column4451"/>
    <tableColumn id="4455" xr3:uid="{4A7BA61B-1210-4DE4-9526-8D791154CC43}" name="Column4452"/>
    <tableColumn id="4456" xr3:uid="{016E503E-5C3F-48B5-BFB1-7EE0587CD4E7}" name="Column4453"/>
    <tableColumn id="4457" xr3:uid="{483C0716-D8B2-4F45-985C-8D2E8C9D9FD4}" name="Column4454"/>
    <tableColumn id="4458" xr3:uid="{FEC468EC-3D26-4575-A23C-50053A31C276}" name="Column4455"/>
    <tableColumn id="4459" xr3:uid="{A514D185-68D3-469C-9A9C-19D91AFAE90D}" name="Column4456"/>
    <tableColumn id="4460" xr3:uid="{B1A9EA67-13DC-4748-8A50-A873E0F6BC96}" name="Column4457"/>
    <tableColumn id="4461" xr3:uid="{C9D89575-209D-4BFA-98E1-454CE1385439}" name="Column4458"/>
    <tableColumn id="4462" xr3:uid="{6F15061D-863D-42C7-B61C-3C87A856FB70}" name="Column4459"/>
    <tableColumn id="4463" xr3:uid="{F0FED3B5-9F87-49F2-90E9-3F1E5C168AFA}" name="Column4460"/>
    <tableColumn id="4464" xr3:uid="{CB08906C-0BE1-4805-A233-9C62DF214F71}" name="Column4461"/>
    <tableColumn id="4465" xr3:uid="{0C2DB35D-DA18-4C62-867B-4AAD9BC9AD88}" name="Column4462"/>
    <tableColumn id="4466" xr3:uid="{69F34D33-180F-4205-A9C4-7C87AC2F1660}" name="Column4463"/>
    <tableColumn id="4467" xr3:uid="{41873308-7AA1-4501-8EEC-5C63D854B12C}" name="Column4464"/>
    <tableColumn id="4468" xr3:uid="{B7BF4372-DC19-460E-8EBB-E8851A5DAF9F}" name="Column4465"/>
    <tableColumn id="4469" xr3:uid="{058DCD8C-1C9C-4790-B6D8-8485EFD15F05}" name="Column4466"/>
    <tableColumn id="4470" xr3:uid="{8B7FE536-1E2B-40A3-AA78-3DF3AD073F12}" name="Column4467"/>
    <tableColumn id="4471" xr3:uid="{F1AABFC2-06CB-47B2-A85F-9629315D2674}" name="Column4468"/>
    <tableColumn id="4472" xr3:uid="{9FB71627-A5B3-4A30-9611-3C3E7C975753}" name="Column4469"/>
    <tableColumn id="4473" xr3:uid="{A0A1A340-A0EB-4C21-89BB-E2136E8F6A9D}" name="Column4470"/>
    <tableColumn id="4474" xr3:uid="{C62D7ECD-528D-47C0-880F-7F2CA700F918}" name="Column4471"/>
    <tableColumn id="4475" xr3:uid="{4AD91DC7-7529-415F-A112-B00B65B2AD76}" name="Column4472"/>
    <tableColumn id="4476" xr3:uid="{8944FD63-9431-4CD2-86D6-8BEFF15914BF}" name="Column4473"/>
    <tableColumn id="4477" xr3:uid="{0EF6D89B-8FEF-44B6-A130-06E77A2D1AFC}" name="Column4474"/>
    <tableColumn id="4478" xr3:uid="{162C95E9-3DE0-4273-BAB8-DEBE7094E6CC}" name="Column4475"/>
    <tableColumn id="4479" xr3:uid="{B0C10129-1B4D-4FF8-9683-A99E42E64258}" name="Column4476"/>
    <tableColumn id="4480" xr3:uid="{27C1635F-3D06-49E8-8538-E815EF68BEA9}" name="Column4477"/>
    <tableColumn id="4481" xr3:uid="{3350B65C-CCFE-4F26-80DC-7E61E90F456F}" name="Column4478"/>
    <tableColumn id="4482" xr3:uid="{5274C070-70E6-411A-9B83-794DD447B297}" name="Column4479"/>
    <tableColumn id="4483" xr3:uid="{1038BD82-B5A6-44EF-97FB-00CBFBA519CF}" name="Column4480"/>
    <tableColumn id="4484" xr3:uid="{5FB0EBA5-4C76-44EA-B1FB-7D9B52DD3D8D}" name="Column4481"/>
    <tableColumn id="4485" xr3:uid="{78DDF328-64B5-4BF5-9B21-79F1323024B9}" name="Column4482"/>
    <tableColumn id="4486" xr3:uid="{EFD72969-E18E-4764-9DDA-6EDF7AC6B1AD}" name="Column4483"/>
    <tableColumn id="4487" xr3:uid="{0BD55B51-EE82-4A29-83B6-1010FF4B036C}" name="Column4484"/>
    <tableColumn id="4488" xr3:uid="{A832F10C-E1ED-46A8-8FF0-A5A5104733F7}" name="Column4485"/>
    <tableColumn id="4489" xr3:uid="{2B8702E3-536F-431C-98AF-C356E5B1F776}" name="Column4486"/>
    <tableColumn id="4490" xr3:uid="{CDFFF92B-22EC-4E51-980F-543007E0EBDF}" name="Column4487"/>
    <tableColumn id="4491" xr3:uid="{53B6E97A-52B2-4E90-8342-8AFA4CE4EDD3}" name="Column4488"/>
    <tableColumn id="4492" xr3:uid="{7A61C49D-249E-4BB6-BB64-2CA8A49A2D2A}" name="Column4489"/>
    <tableColumn id="4493" xr3:uid="{35BF642A-6739-4F4D-BB7A-96B59B1C123B}" name="Column4490"/>
    <tableColumn id="4494" xr3:uid="{C7DB33CD-B274-4BC7-B202-B213AB632199}" name="Column4491"/>
    <tableColumn id="4495" xr3:uid="{489464C4-D627-4580-8CBA-A549999F2B26}" name="Column4492"/>
    <tableColumn id="4496" xr3:uid="{649C5C22-3067-4CC4-BE29-17E16F65ABFD}" name="Column4493"/>
    <tableColumn id="4497" xr3:uid="{81F93DCE-A2E1-42C2-B534-F90C00115816}" name="Column4494"/>
    <tableColumn id="4498" xr3:uid="{71FE53BF-FB12-4F64-BC11-EAD4D99B1E20}" name="Column4495"/>
    <tableColumn id="4499" xr3:uid="{AC79CE49-83DF-423A-8436-2A77122F5757}" name="Column4496"/>
    <tableColumn id="4500" xr3:uid="{564E7184-345F-430C-999F-17EA76361F58}" name="Column4497"/>
    <tableColumn id="4501" xr3:uid="{53A5944F-DAC5-4E39-B21B-BAF36768E98A}" name="Column4498"/>
    <tableColumn id="4502" xr3:uid="{2E72BD83-79DE-40FA-89E7-C649D7A1A249}" name="Column4499"/>
    <tableColumn id="4503" xr3:uid="{078A73FD-BE52-477C-B338-057A74FE4409}" name="Column4500"/>
    <tableColumn id="4504" xr3:uid="{FE60DFDD-7C61-475A-B218-48EB72536322}" name="Column4501"/>
    <tableColumn id="4505" xr3:uid="{782DB5B2-33A8-4A21-90D2-C95D32C63D6D}" name="Column4502"/>
    <tableColumn id="4506" xr3:uid="{74C7BBBF-C1EF-4B16-AA3D-A23D34EA7070}" name="Column4503"/>
    <tableColumn id="4507" xr3:uid="{526DDC58-A2E1-40C2-A220-9595AFD215A8}" name="Column4504"/>
    <tableColumn id="4508" xr3:uid="{D5D1CA59-0822-4091-9C8A-B4AFC57A017F}" name="Column4505"/>
    <tableColumn id="4509" xr3:uid="{2821E170-DA18-4FD1-A174-144C7C253ABB}" name="Column4506"/>
    <tableColumn id="4510" xr3:uid="{A0E702BE-06CC-488C-B684-8334E6AEDA6D}" name="Column4507"/>
    <tableColumn id="4511" xr3:uid="{EF916147-DE91-4FA4-8F7A-BEF77B1D0386}" name="Column4508"/>
    <tableColumn id="4512" xr3:uid="{DF5EC40D-1CE1-4E73-83B1-321EEE181A9A}" name="Column4509"/>
    <tableColumn id="4513" xr3:uid="{784570AD-6AA8-4997-9F12-BACDCC81A449}" name="Column4510"/>
    <tableColumn id="4514" xr3:uid="{503AA99F-2547-48C0-9C4B-716A40B93048}" name="Column4511"/>
    <tableColumn id="4515" xr3:uid="{56591A0F-2BA7-40E9-8BE1-956B6381CA7A}" name="Column4512"/>
    <tableColumn id="4516" xr3:uid="{FC034A0F-7667-4E28-B86E-EFE4798F6444}" name="Column4513"/>
    <tableColumn id="4517" xr3:uid="{28D2CBB6-187D-4CBB-BEC8-AA6965ECF517}" name="Column4514"/>
    <tableColumn id="4518" xr3:uid="{D99C0018-BBD1-4F82-89EA-B5F83C310365}" name="Column4515"/>
    <tableColumn id="4519" xr3:uid="{8B1519CE-9061-4A27-AFFF-125B7461A577}" name="Column4516"/>
    <tableColumn id="4520" xr3:uid="{B87C8E81-1812-4333-A71A-EB255313D040}" name="Column4517"/>
    <tableColumn id="4521" xr3:uid="{9A5F225A-F329-4D0F-8D90-B2BFDC8593AF}" name="Column4518"/>
    <tableColumn id="4522" xr3:uid="{992CAA3E-50F6-45BB-8DF9-62026F539EF7}" name="Column4519"/>
    <tableColumn id="4523" xr3:uid="{ACFE3B85-2E45-4258-95F8-678B124A1647}" name="Column4520"/>
    <tableColumn id="4524" xr3:uid="{37A615BF-E14F-4CD9-B080-626CB385B42C}" name="Column4521"/>
    <tableColumn id="4525" xr3:uid="{EFF3A5F9-CF44-4A14-8D53-2D40410F6386}" name="Column4522"/>
    <tableColumn id="4526" xr3:uid="{44949FB4-CE98-4921-9B27-E2B2EB592C40}" name="Column4523"/>
    <tableColumn id="4527" xr3:uid="{3AFAE556-0BE8-4196-84CE-5852627C822C}" name="Column4524"/>
    <tableColumn id="4528" xr3:uid="{FB30CD15-C548-40DC-BECF-0102F64BA26B}" name="Column4525"/>
    <tableColumn id="4529" xr3:uid="{81A5EF03-A044-491B-B3D2-439D2A86CFA0}" name="Column4526"/>
    <tableColumn id="4530" xr3:uid="{FBA193E7-F9C9-4A78-ADAF-F2D533750CDF}" name="Column4527"/>
    <tableColumn id="4531" xr3:uid="{F061AA41-F6B7-4F9C-A06A-EBC4B5F0BC58}" name="Column4528"/>
    <tableColumn id="4532" xr3:uid="{D6B302BF-22B3-45B8-8714-68085E9EFEB7}" name="Column4529"/>
    <tableColumn id="4533" xr3:uid="{49D6209E-FCB8-4403-AC55-FFE18407E2D3}" name="Column4530"/>
    <tableColumn id="4534" xr3:uid="{B5FF8D07-BD3F-44C5-8179-90B9BD08382D}" name="Column4531"/>
    <tableColumn id="4535" xr3:uid="{699A09D8-8E34-4FA0-81D7-FA8CD652F626}" name="Column4532"/>
    <tableColumn id="4536" xr3:uid="{CA42B2D5-8D8D-4D98-84E0-411769E83131}" name="Column4533"/>
    <tableColumn id="4537" xr3:uid="{FFE5855E-7B27-4898-A4FB-D4C493DA1750}" name="Column4534"/>
    <tableColumn id="4538" xr3:uid="{8351F563-17FA-4587-9D3A-4B7E7233E566}" name="Column4535"/>
    <tableColumn id="4539" xr3:uid="{6C7B4DF9-F51B-49AF-96A6-5A3D8EF49BC2}" name="Column4536"/>
    <tableColumn id="4540" xr3:uid="{5012E6D1-6C43-485B-B367-FFFDEA0B305F}" name="Column4537"/>
    <tableColumn id="4541" xr3:uid="{22B828A3-908D-413C-B4C0-1E6897A4425D}" name="Column4538"/>
    <tableColumn id="4542" xr3:uid="{EFB761E9-56DF-434A-B491-ACABDF842986}" name="Column4539"/>
    <tableColumn id="4543" xr3:uid="{55CA1326-3D7B-4AB9-87F6-E41BE9C1C5B4}" name="Column4540"/>
    <tableColumn id="4544" xr3:uid="{852F1246-CED2-4BE4-86E1-582DD67D7B69}" name="Column4541"/>
    <tableColumn id="4545" xr3:uid="{90C28878-A1E3-4E6D-9A57-8E7DE844CDC3}" name="Column4542"/>
    <tableColumn id="4546" xr3:uid="{7C24C9B9-A0C4-4D18-8FCD-58684F7032DC}" name="Column4543"/>
    <tableColumn id="4547" xr3:uid="{57770A16-6613-48E9-ADA6-D20965154247}" name="Column4544"/>
    <tableColumn id="4548" xr3:uid="{EBB65CBD-62ED-41C5-A74B-A0E3F990C8D0}" name="Column4545"/>
    <tableColumn id="4549" xr3:uid="{7294700E-8075-457C-96B3-4855FE85BC9C}" name="Column4546"/>
    <tableColumn id="4550" xr3:uid="{53771468-81D8-4A8A-BD4F-F3C894142BC0}" name="Column4547"/>
    <tableColumn id="4551" xr3:uid="{6FD71CFA-1C50-42D7-B186-F952AE9D7FBB}" name="Column4548"/>
    <tableColumn id="4552" xr3:uid="{ACA38C6F-220A-443B-B483-894EFB31F89F}" name="Column4549"/>
    <tableColumn id="4553" xr3:uid="{D002E3DF-52D1-4009-A87F-F0001B166619}" name="Column4550"/>
    <tableColumn id="4554" xr3:uid="{EFE69DDB-E3B3-4D8F-93EE-5087A4D0141C}" name="Column4551"/>
    <tableColumn id="4555" xr3:uid="{A24CF79A-A5BA-4759-A39D-ACC67FCDF6CA}" name="Column4552"/>
    <tableColumn id="4556" xr3:uid="{58EB16F3-376B-4527-A36D-1EC1A01DA7FA}" name="Column4553"/>
    <tableColumn id="4557" xr3:uid="{938FDAD6-813D-45EC-BC2F-0278B6280123}" name="Column4554"/>
    <tableColumn id="4558" xr3:uid="{56708B0D-1BC6-43C2-BB7A-F009F1033782}" name="Column4555"/>
    <tableColumn id="4559" xr3:uid="{233D4AE0-76D8-4AEE-9F45-2823CD615A54}" name="Column4556"/>
    <tableColumn id="4560" xr3:uid="{69D0938D-3498-441A-965E-31D3EFA9A976}" name="Column4557"/>
    <tableColumn id="4561" xr3:uid="{FBF29289-6054-4415-ADEE-AEA07DBB73DC}" name="Column4558"/>
    <tableColumn id="4562" xr3:uid="{B1A25655-1D9C-486B-ADA6-DB9EB7AECEA3}" name="Column4559"/>
    <tableColumn id="4563" xr3:uid="{093220C8-F1C8-48C7-A17B-5923B58A2846}" name="Column4560"/>
    <tableColumn id="4564" xr3:uid="{4B452F41-2C9B-4F39-AD41-9DFD5B7CF383}" name="Column4561"/>
    <tableColumn id="4565" xr3:uid="{D73FDD42-F1D2-4551-9DE4-651622A7FCFB}" name="Column4562"/>
    <tableColumn id="4566" xr3:uid="{C2EB145D-E1FE-4F85-BD76-9229BA395D9F}" name="Column4563"/>
    <tableColumn id="4567" xr3:uid="{590126A8-58EB-4649-9291-F0A22FD3CAF5}" name="Column4564"/>
    <tableColumn id="4568" xr3:uid="{385275DE-5B09-4FF9-9F33-6C15ECF118B3}" name="Column4565"/>
    <tableColumn id="4569" xr3:uid="{7E4A1099-9F9D-43EA-A39A-C193157F4089}" name="Column4566"/>
    <tableColumn id="4570" xr3:uid="{B36ABF75-9930-489A-BA79-18C137F646BC}" name="Column4567"/>
    <tableColumn id="4571" xr3:uid="{C3C143EC-9FA6-4179-AACA-AB5CCDD91873}" name="Column4568"/>
    <tableColumn id="4572" xr3:uid="{6404C139-3F81-4E09-9F75-D6C3F7A91C47}" name="Column4569"/>
    <tableColumn id="4573" xr3:uid="{8B941B4B-35BC-4EEF-B7B9-7C4941A0480A}" name="Column4570"/>
    <tableColumn id="4574" xr3:uid="{77FD4A9B-E69B-4964-891A-523530AEAFDD}" name="Column4571"/>
    <tableColumn id="4575" xr3:uid="{4533AEF3-31E6-40AE-A24F-044EE4A43783}" name="Column4572"/>
    <tableColumn id="4576" xr3:uid="{A4C9E6F6-5839-4C19-9330-7247556363D6}" name="Column4573"/>
    <tableColumn id="4577" xr3:uid="{A8907C98-5CB7-4FCF-9528-2E81DAC99836}" name="Column4574"/>
    <tableColumn id="4578" xr3:uid="{85E6B5EC-AF7A-4436-A411-4FC18D2F82BB}" name="Column4575"/>
    <tableColumn id="4579" xr3:uid="{DC65465A-7D6C-48F8-9D69-4A27866D5490}" name="Column4576"/>
    <tableColumn id="4580" xr3:uid="{9AFF4BAD-2D55-4150-B46C-03ADA3A565CD}" name="Column4577"/>
    <tableColumn id="4581" xr3:uid="{3C1B893B-60B4-4AAE-B4D9-AF18FB14885B}" name="Column4578"/>
    <tableColumn id="4582" xr3:uid="{6BB7BF28-B723-40B6-910A-4EAF8CFB1101}" name="Column4579"/>
    <tableColumn id="4583" xr3:uid="{C5812C3A-A38D-4D93-9E03-18325C8F4CEA}" name="Column4580"/>
    <tableColumn id="4584" xr3:uid="{DC6F271A-BB63-4846-A32B-5CB385D34CB2}" name="Column4581"/>
    <tableColumn id="4585" xr3:uid="{0A43F4AE-8213-4509-B126-269E7151D88A}" name="Column4582"/>
    <tableColumn id="4586" xr3:uid="{A3438EAA-8D0D-43F0-A013-82B7642671B3}" name="Column4583"/>
    <tableColumn id="4587" xr3:uid="{17CDFC39-1FE9-4972-8164-2997754560CF}" name="Column4584"/>
    <tableColumn id="4588" xr3:uid="{273102E6-8702-4CC1-95C8-718F1D241753}" name="Column4585"/>
    <tableColumn id="4589" xr3:uid="{474E33A1-1567-4250-9C9E-2716D26F092B}" name="Column4586"/>
    <tableColumn id="4590" xr3:uid="{9F80D669-974B-4537-A849-C7F157A60172}" name="Column4587"/>
    <tableColumn id="4591" xr3:uid="{A2BB3CBB-8ABC-4B83-810D-542DF7DB1D29}" name="Column4588"/>
    <tableColumn id="4592" xr3:uid="{4D4A22CD-C7A3-46A7-B73D-1569B9B13E6C}" name="Column4589"/>
    <tableColumn id="4593" xr3:uid="{B169B316-0DF3-4121-BCCA-A88694E56EDC}" name="Column4590"/>
    <tableColumn id="4594" xr3:uid="{CC44716F-FB85-4069-8DEA-2B9AC83A8AA0}" name="Column4591"/>
    <tableColumn id="4595" xr3:uid="{4A9F92AD-EAC1-4F01-8713-B0422A738B94}" name="Column4592"/>
    <tableColumn id="4596" xr3:uid="{74E6C419-C97A-4367-9182-A5F9CE78FDCE}" name="Column4593"/>
    <tableColumn id="4597" xr3:uid="{EE0A00F3-B559-4E63-8C8C-B2FF7DCBF921}" name="Column4594"/>
    <tableColumn id="4598" xr3:uid="{5D718819-44FC-40AF-9BB6-DAD5AB78B3CB}" name="Column4595"/>
    <tableColumn id="4599" xr3:uid="{CE3C0347-DC7B-42EF-8FBE-05EFBD7049A2}" name="Column4596"/>
    <tableColumn id="4600" xr3:uid="{381BAF50-CB99-432D-B645-734A1325007E}" name="Column4597"/>
    <tableColumn id="4601" xr3:uid="{5591AB6F-BA39-46BD-B257-9760BC9A5F88}" name="Column4598"/>
    <tableColumn id="4602" xr3:uid="{7DC991A0-F931-4319-B649-58493422DDDB}" name="Column4599"/>
    <tableColumn id="4603" xr3:uid="{60A758AC-0A3B-49F2-AD98-BFED8009807E}" name="Column4600"/>
    <tableColumn id="4604" xr3:uid="{63FB3193-3985-4BD3-A3F2-3834596638A3}" name="Column4601"/>
    <tableColumn id="4605" xr3:uid="{84E84601-C89B-46CA-B043-7A8B75B0AC8E}" name="Column4602"/>
    <tableColumn id="4606" xr3:uid="{F1CF0C5E-F125-4173-8630-1622159B8F98}" name="Column4603"/>
    <tableColumn id="4607" xr3:uid="{E68933BC-85A5-4701-BB57-79C15CF51236}" name="Column4604"/>
    <tableColumn id="4608" xr3:uid="{781BB3FD-1E9C-45F7-B6DB-B5F5203C8F40}" name="Column4605"/>
    <tableColumn id="4609" xr3:uid="{35C580C7-A68B-44E4-AB06-CF15D582B1EF}" name="Column4606"/>
    <tableColumn id="4610" xr3:uid="{37AD688F-84E9-49F2-BA56-A4815BA6ED27}" name="Column4607"/>
    <tableColumn id="4611" xr3:uid="{7BF608D5-4B43-4E8D-96DD-45C02AD7B1FC}" name="Column4608"/>
    <tableColumn id="4612" xr3:uid="{59D15A0C-2583-4E0C-9DB7-4D473D091FE7}" name="Column4609"/>
    <tableColumn id="4613" xr3:uid="{FC88A88C-69E1-43A0-9B4A-812B234FA8D6}" name="Column4610"/>
    <tableColumn id="4614" xr3:uid="{29DAB899-214D-4ADD-AD94-2612032442CD}" name="Column4611"/>
    <tableColumn id="4615" xr3:uid="{785C2811-B3AF-429C-850F-38846A8F072C}" name="Column4612"/>
    <tableColumn id="4616" xr3:uid="{CB07C931-6793-4847-834E-30855EA0545A}" name="Column4613"/>
    <tableColumn id="4617" xr3:uid="{E6DB117B-1147-44B2-9800-45F095ED64D3}" name="Column4614"/>
    <tableColumn id="4618" xr3:uid="{AFAFE8CA-3BAD-4232-BAC8-1B2FB20E9889}" name="Column4615"/>
    <tableColumn id="4619" xr3:uid="{F256C655-71EA-478E-B062-8BB3B0074B46}" name="Column4616"/>
    <tableColumn id="4620" xr3:uid="{07C470B4-31CB-4C39-85CB-B16ACDD939E6}" name="Column4617"/>
    <tableColumn id="4621" xr3:uid="{D792B517-7A7A-4CF5-B4A4-0A33AADA4186}" name="Column4618"/>
    <tableColumn id="4622" xr3:uid="{B7B0072F-B152-4667-9C26-9F2F40314E51}" name="Column4619"/>
    <tableColumn id="4623" xr3:uid="{5DEAD792-4F59-405C-868B-F975618BBA3D}" name="Column4620"/>
    <tableColumn id="4624" xr3:uid="{9182E86E-D7BD-446A-AE2D-B149740D2696}" name="Column4621"/>
    <tableColumn id="4625" xr3:uid="{B029AE35-4F0A-4EF6-9329-B3EAE4A16910}" name="Column4622"/>
    <tableColumn id="4626" xr3:uid="{0F5ED463-58C3-41F3-B755-17371889DC27}" name="Column4623"/>
    <tableColumn id="4627" xr3:uid="{8C1ABA15-DAAA-4D41-9CA5-41E5649E4129}" name="Column4624"/>
    <tableColumn id="4628" xr3:uid="{8D8F166E-55D4-4BE4-943C-FD445BFEE385}" name="Column4625"/>
    <tableColumn id="4629" xr3:uid="{B4535CA0-3E14-4207-8D52-94626E57DEFD}" name="Column4626"/>
    <tableColumn id="4630" xr3:uid="{1912E69B-96E1-4166-A6A7-9B3EE17DBC65}" name="Column4627"/>
    <tableColumn id="4631" xr3:uid="{E8C75CFD-5FF6-4C94-8118-CC6B8CAAC482}" name="Column4628"/>
    <tableColumn id="4632" xr3:uid="{9375DFD8-104F-4DE4-837E-4F9C513CF85C}" name="Column4629"/>
    <tableColumn id="4633" xr3:uid="{7ABB6D88-7178-4FEE-B03B-088C37C47BC5}" name="Column4630"/>
    <tableColumn id="4634" xr3:uid="{3ED42D31-A116-40E8-9A7D-9BE2356893CD}" name="Column4631"/>
    <tableColumn id="4635" xr3:uid="{461C3DA2-4EEA-45C9-8A65-926A2B1F10DF}" name="Column4632"/>
    <tableColumn id="4636" xr3:uid="{C8C58AEE-E135-42BC-BBEF-963ED469EC85}" name="Column4633"/>
    <tableColumn id="4637" xr3:uid="{5D6FD1E5-313B-4E73-B401-98AC0783E3EC}" name="Column4634"/>
    <tableColumn id="4638" xr3:uid="{55774E6D-E388-487E-AAD5-97712CA61B90}" name="Column4635"/>
    <tableColumn id="4639" xr3:uid="{CE661535-23E2-439A-9949-77433D93365E}" name="Column4636"/>
    <tableColumn id="4640" xr3:uid="{6C9024D7-3E5A-46A6-BC03-7FFE85FC4332}" name="Column4637"/>
    <tableColumn id="4641" xr3:uid="{CB739C5A-1BBA-4079-A307-B58CB5BE21D0}" name="Column4638"/>
    <tableColumn id="4642" xr3:uid="{4119C7DA-0776-4FFA-9FED-75E49968209D}" name="Column4639"/>
    <tableColumn id="4643" xr3:uid="{78A8347C-AB72-4C02-8000-8D3F11BA17CB}" name="Column4640"/>
    <tableColumn id="4644" xr3:uid="{C3CE50AA-BCEC-4BA5-9A1D-2509FAA2AA8A}" name="Column4641"/>
    <tableColumn id="4645" xr3:uid="{B90108A2-C4E9-4275-B40A-D750544BF0C9}" name="Column4642"/>
    <tableColumn id="4646" xr3:uid="{06CB7D05-A425-44C5-8D56-0345A175FC4D}" name="Column4643"/>
    <tableColumn id="4647" xr3:uid="{412F0ACB-76A7-4DE6-AEBD-4ABF0E40E9AC}" name="Column4644"/>
    <tableColumn id="4648" xr3:uid="{B0EA9800-EE43-4072-9AE7-973EC45A941C}" name="Column4645"/>
    <tableColumn id="4649" xr3:uid="{B3420CAF-84A0-4E30-AEC4-436C63DD757C}" name="Column4646"/>
    <tableColumn id="4650" xr3:uid="{36E71B4F-7F59-43F3-8157-698ED1637CEF}" name="Column4647"/>
    <tableColumn id="4651" xr3:uid="{65D2E18D-4CD6-4DDE-B743-536C3518F214}" name="Column4648"/>
    <tableColumn id="4652" xr3:uid="{ECEF2138-1603-402F-8136-ECAE77E69822}" name="Column4649"/>
    <tableColumn id="4653" xr3:uid="{143D9B4C-4076-4048-A781-8E8DFF168381}" name="Column4650"/>
    <tableColumn id="4654" xr3:uid="{782A1662-7F49-489E-8EE8-6435BEEF6EB9}" name="Column4651"/>
    <tableColumn id="4655" xr3:uid="{FAECC2F5-55B9-4D57-B3C8-60635227F7CC}" name="Column4652"/>
    <tableColumn id="4656" xr3:uid="{49A8567A-E947-4FC8-8A74-3B8895A2278F}" name="Column4653"/>
    <tableColumn id="4657" xr3:uid="{103648B6-7D28-482A-85CB-F65EF6AA578A}" name="Column4654"/>
    <tableColumn id="4658" xr3:uid="{FFF5F4A4-8C1D-4A61-878E-F0C2D67306EA}" name="Column4655"/>
    <tableColumn id="4659" xr3:uid="{3D38A67D-4C13-440C-8D20-671276EA7A85}" name="Column4656"/>
    <tableColumn id="4660" xr3:uid="{AE4E0901-9BA4-4D6F-ADEC-034D781918AD}" name="Column4657"/>
    <tableColumn id="4661" xr3:uid="{613BFEEE-711F-4D59-B2BC-8910F0FFE65D}" name="Column4658"/>
    <tableColumn id="4662" xr3:uid="{E6025AD0-336C-4E0E-8B5D-F9C0D4F10A4C}" name="Column4659"/>
    <tableColumn id="4663" xr3:uid="{4F229643-6673-48F0-9B79-F70168E791A6}" name="Column4660"/>
    <tableColumn id="4664" xr3:uid="{BB359FBF-0B56-4396-8BE5-DD2A184A11AB}" name="Column4661"/>
    <tableColumn id="4665" xr3:uid="{09B52E49-B36E-4479-84DE-9BAAA9681819}" name="Column4662"/>
    <tableColumn id="4666" xr3:uid="{C16AD7A4-BCB9-4FB1-B342-12A6B1E2B202}" name="Column4663"/>
    <tableColumn id="4667" xr3:uid="{A1C797D8-0716-4EB9-B2D7-76BADA5EE8DE}" name="Column4664"/>
    <tableColumn id="4668" xr3:uid="{63F3DC14-6218-45DA-87E2-ED044FBD3E9B}" name="Column4665"/>
    <tableColumn id="4669" xr3:uid="{E590E609-0F61-4600-A410-0EADE5EAD9C6}" name="Column4666"/>
    <tableColumn id="4670" xr3:uid="{0074D9C5-36F9-48C9-BB59-641AB54A5B95}" name="Column4667"/>
    <tableColumn id="4671" xr3:uid="{4F131B61-6D97-4A82-A181-782ECC6ADACD}" name="Column4668"/>
    <tableColumn id="4672" xr3:uid="{E4E4DDDE-A085-4459-9DE1-F6FF082057AC}" name="Column4669"/>
    <tableColumn id="4673" xr3:uid="{9427D798-0B51-436A-AEB5-A1555971F78D}" name="Column4670"/>
    <tableColumn id="4674" xr3:uid="{2FF0B43B-A7DB-4B6B-BBAD-40F31E1B08A8}" name="Column4671"/>
    <tableColumn id="4675" xr3:uid="{2A9A3D74-7F5D-4CBE-8761-449D57E6CED9}" name="Column4672"/>
    <tableColumn id="4676" xr3:uid="{B81DFBD0-06AD-4F42-9EDC-BCCC660E1398}" name="Column4673"/>
    <tableColumn id="4677" xr3:uid="{1B11E50B-9A82-42BF-8118-527D78909F7B}" name="Column4674"/>
    <tableColumn id="4678" xr3:uid="{0842A611-5473-4127-9432-BEFA03B1BB18}" name="Column4675"/>
    <tableColumn id="4679" xr3:uid="{A7180D65-764F-46C3-92CA-37DB50FE77BE}" name="Column4676"/>
    <tableColumn id="4680" xr3:uid="{E424EF2A-133C-4E86-A5ED-CE0BB73F1A59}" name="Column4677"/>
    <tableColumn id="4681" xr3:uid="{8AA7C5AD-C8B4-44AF-A10E-46656A3AD5F7}" name="Column4678"/>
    <tableColumn id="4682" xr3:uid="{CE24A9E6-8264-4B25-A76A-10B53126345B}" name="Column4679"/>
    <tableColumn id="4683" xr3:uid="{632FD45A-528E-4DAF-865B-3265E8501760}" name="Column4680"/>
    <tableColumn id="4684" xr3:uid="{9B4667C2-7072-4ABA-BF8F-50D6EBE21CE5}" name="Column4681"/>
    <tableColumn id="4685" xr3:uid="{0FC20E7D-9DDC-4922-BCF9-754BB716AF5A}" name="Column4682"/>
    <tableColumn id="4686" xr3:uid="{42DD2304-C2DE-455B-8F1B-DECC48E868C3}" name="Column4683"/>
    <tableColumn id="4687" xr3:uid="{82F9DB61-257C-449B-8529-497BD6C88658}" name="Column4684"/>
    <tableColumn id="4688" xr3:uid="{753952AB-E79D-453F-A96A-F912779CEB71}" name="Column4685"/>
    <tableColumn id="4689" xr3:uid="{48E427FE-D136-4A43-9E0D-A76DB2DE42DA}" name="Column4686"/>
    <tableColumn id="4690" xr3:uid="{64C7FF6B-89E1-45A7-80B8-2A0E5BF0D936}" name="Column4687"/>
    <tableColumn id="4691" xr3:uid="{FB45A2E1-F05D-4ED6-BCA7-8F7DC8611114}" name="Column4688"/>
    <tableColumn id="4692" xr3:uid="{A8734F93-211D-45E5-B1A6-4C30ED7C737F}" name="Column4689"/>
    <tableColumn id="4693" xr3:uid="{5F04A135-68EA-47DD-95A8-AB335E4CA62B}" name="Column4690"/>
    <tableColumn id="4694" xr3:uid="{F309369B-4A15-4666-AC59-05A3CC13D57C}" name="Column4691"/>
    <tableColumn id="4695" xr3:uid="{EED9031B-472A-4E66-8208-435BA4DD2068}" name="Column4692"/>
    <tableColumn id="4696" xr3:uid="{B02A6C23-B390-496A-B95F-21C2FD5811D0}" name="Column4693"/>
    <tableColumn id="4697" xr3:uid="{AFD479CF-19C7-4B95-8E66-9B7DA374A16D}" name="Column4694"/>
    <tableColumn id="4698" xr3:uid="{A63E6B5A-A3A0-4E70-A3D1-3F64661D356B}" name="Column4695"/>
    <tableColumn id="4699" xr3:uid="{7A507334-D3A2-497F-8F4E-104F35B6A351}" name="Column4696"/>
    <tableColumn id="4700" xr3:uid="{FEB15D36-C9E7-4808-A475-93A5CE4319C8}" name="Column4697"/>
    <tableColumn id="4701" xr3:uid="{BC726A8C-CD77-44A8-952E-0A5B878342E9}" name="Column4698"/>
    <tableColumn id="4702" xr3:uid="{30BF702A-8902-4165-9221-A06DF6142037}" name="Column4699"/>
    <tableColumn id="4703" xr3:uid="{9B7D936A-9929-4CD4-9B69-584881AC698D}" name="Column4700"/>
    <tableColumn id="4704" xr3:uid="{4BC053B2-3617-4484-9241-B81D68EB9194}" name="Column4701"/>
    <tableColumn id="4705" xr3:uid="{1E4FB491-FB57-4EF8-97A6-16F68FB4FFED}" name="Column4702"/>
    <tableColumn id="4706" xr3:uid="{7B743635-5DAA-492C-BD1B-EDCB2A3D371A}" name="Column4703"/>
    <tableColumn id="4707" xr3:uid="{9C1FD65D-51DC-4081-B4A5-54B579984544}" name="Column4704"/>
    <tableColumn id="4708" xr3:uid="{DA439627-82C3-42B3-A2EA-8DCD425F01F8}" name="Column4705"/>
    <tableColumn id="4709" xr3:uid="{22B391A2-5C24-44D0-9613-FC0587D78673}" name="Column4706"/>
    <tableColumn id="4710" xr3:uid="{A9C9CA59-64FC-4248-90A2-51F3F9F4C379}" name="Column4707"/>
    <tableColumn id="4711" xr3:uid="{995A3FE2-DD52-4885-915C-41407333CD55}" name="Column4708"/>
    <tableColumn id="4712" xr3:uid="{B520D0EC-4524-4C86-9846-33F0B572614E}" name="Column4709"/>
    <tableColumn id="4713" xr3:uid="{DDF88641-AA6F-42D4-8D7E-BE116F3C7953}" name="Column4710"/>
    <tableColumn id="4714" xr3:uid="{86DD36EA-36CD-4BB2-8BE7-429695B1104F}" name="Column4711"/>
    <tableColumn id="4715" xr3:uid="{9581CF23-A3FB-4E0C-87AD-4C8E74724F1D}" name="Column4712"/>
    <tableColumn id="4716" xr3:uid="{3A3A16EF-0B15-42F9-80A3-7867F5E769FF}" name="Column4713"/>
    <tableColumn id="4717" xr3:uid="{232EC4F7-067A-4361-946D-6DBA5CC124D2}" name="Column4714"/>
    <tableColumn id="4718" xr3:uid="{84AEB2C3-6172-4EB1-B1E5-198293ABACC1}" name="Column4715"/>
    <tableColumn id="4719" xr3:uid="{40B7A6E5-6627-4891-9A03-5C8695062A2E}" name="Column4716"/>
    <tableColumn id="4720" xr3:uid="{21EDB7CB-E5DE-4380-8DC7-736E5DECFFC0}" name="Column4717"/>
    <tableColumn id="4721" xr3:uid="{E902C94A-77A9-4053-BE9C-39E75B188D01}" name="Column4718"/>
    <tableColumn id="4722" xr3:uid="{172C93A9-91CF-4C9E-AC8B-A92C94C2B65F}" name="Column4719"/>
    <tableColumn id="4723" xr3:uid="{8F2BB0E5-63B3-408E-BD5E-9B196B38DB06}" name="Column4720"/>
    <tableColumn id="4724" xr3:uid="{573E499E-6E3C-40DB-9EE4-0F495FBB4A91}" name="Column4721"/>
    <tableColumn id="4725" xr3:uid="{7F166EF9-63E2-4118-A4F3-C71DDE827828}" name="Column4722"/>
    <tableColumn id="4726" xr3:uid="{97129595-7C38-4D15-9B91-5678AE2F4948}" name="Column4723"/>
    <tableColumn id="4727" xr3:uid="{61EF4414-25FD-42E8-A4E4-252F5057474B}" name="Column4724"/>
    <tableColumn id="4728" xr3:uid="{413E20BE-A466-40A6-A5D7-1D67634FFDC2}" name="Column4725"/>
    <tableColumn id="4729" xr3:uid="{C058CF6C-CCE7-4BFB-B512-592C66DCCB6E}" name="Column4726"/>
    <tableColumn id="4730" xr3:uid="{AE77B9DB-9639-4B32-A0B1-F357162BED70}" name="Column4727"/>
    <tableColumn id="4731" xr3:uid="{36C05E40-871D-4E42-82A0-5EAA82907061}" name="Column4728"/>
    <tableColumn id="4732" xr3:uid="{7822CD32-CD46-48FB-8F2D-CE2669574F65}" name="Column4729"/>
    <tableColumn id="4733" xr3:uid="{0E9BBEB0-EEB7-4B31-AF8A-1DB8D7303C66}" name="Column4730"/>
    <tableColumn id="4734" xr3:uid="{75066BDF-43FE-43DB-A69B-5A5BE367E414}" name="Column4731"/>
    <tableColumn id="4735" xr3:uid="{15C4CC16-E085-4BA3-BD4D-3387B8614D14}" name="Column4732"/>
    <tableColumn id="4736" xr3:uid="{5386C4F2-3BDF-444D-8A75-817293434BE0}" name="Column4733"/>
    <tableColumn id="4737" xr3:uid="{7A710969-B1A5-4F6E-907E-2DD63FF00099}" name="Column4734"/>
    <tableColumn id="4738" xr3:uid="{F8BFEED7-5C31-4190-B723-BF4665A7A184}" name="Column4735"/>
    <tableColumn id="4739" xr3:uid="{FF0F2895-552F-46AA-901A-1D5553BB957C}" name="Column4736"/>
    <tableColumn id="4740" xr3:uid="{13749E9E-132C-491D-AF96-243F76FD6C67}" name="Column4737"/>
    <tableColumn id="4741" xr3:uid="{FA6DAAD6-D5A9-4EF3-8369-E6AFACE6A1B6}" name="Column4738"/>
    <tableColumn id="4742" xr3:uid="{278784C1-C15A-4D7D-A6F5-1B28F42A332E}" name="Column4739"/>
    <tableColumn id="4743" xr3:uid="{157445DD-632E-4F16-A39E-4DBDA7D686DE}" name="Column4740"/>
    <tableColumn id="4744" xr3:uid="{9E1B9964-E8B6-4A84-88D3-9A5A21D3CC25}" name="Column4741"/>
    <tableColumn id="4745" xr3:uid="{5A399852-A999-4D48-B001-E91364219CD5}" name="Column4742"/>
    <tableColumn id="4746" xr3:uid="{EDA0D581-2412-4654-BDE6-273396943D6C}" name="Column4743"/>
    <tableColumn id="4747" xr3:uid="{39E63D22-0C40-4525-9624-CBE52EE9A949}" name="Column4744"/>
    <tableColumn id="4748" xr3:uid="{E94CA86E-3478-4993-B228-518A5BFADB7E}" name="Column4745"/>
    <tableColumn id="4749" xr3:uid="{E4E6FD01-20C3-4873-8E25-2387FFE1CE08}" name="Column4746"/>
    <tableColumn id="4750" xr3:uid="{E9427088-DF26-47E8-B2B4-EDF3DE3A98D9}" name="Column4747"/>
    <tableColumn id="4751" xr3:uid="{5F1B7897-3F55-4EA1-9A68-0E62BCD67CBC}" name="Column4748"/>
    <tableColumn id="4752" xr3:uid="{681BC913-4968-4A90-9BB8-789D3361F3B1}" name="Column4749"/>
    <tableColumn id="4753" xr3:uid="{DBF3E2CB-2449-4CA7-A473-BA52142F06D3}" name="Column4750"/>
    <tableColumn id="4754" xr3:uid="{08D09B1E-89E3-4732-832F-6AABBCD940E7}" name="Column4751"/>
    <tableColumn id="4755" xr3:uid="{06C812C1-7083-4C58-8203-48440EBF815F}" name="Column4752"/>
    <tableColumn id="4756" xr3:uid="{4FCFF5E3-2FFA-4E11-A47E-9B8D0782D678}" name="Column4753"/>
    <tableColumn id="4757" xr3:uid="{84CF6FC6-8E89-4840-A397-04BF13EF134A}" name="Column4754"/>
    <tableColumn id="4758" xr3:uid="{88ACD6C7-DF1B-4122-8836-EDDFED59EDA6}" name="Column4755"/>
    <tableColumn id="4759" xr3:uid="{77295DD9-B1A6-4FBC-8CE8-0A6D24249962}" name="Column4756"/>
    <tableColumn id="4760" xr3:uid="{A34E07C7-0EA5-4748-BB31-A4258FFED85D}" name="Column4757"/>
    <tableColumn id="4761" xr3:uid="{BC9C7790-205A-472C-A413-5FDBE4C8CF58}" name="Column4758"/>
    <tableColumn id="4762" xr3:uid="{3739DDFD-3805-4281-8E1D-6C7B4CC5EB7A}" name="Column4759"/>
    <tableColumn id="4763" xr3:uid="{87E40459-81EB-4063-BADE-213D6FACFB1B}" name="Column4760"/>
    <tableColumn id="4764" xr3:uid="{69AAEF18-0DA3-4D73-BE41-046884A57867}" name="Column4761"/>
    <tableColumn id="4765" xr3:uid="{8E1BDCE1-8BC2-403B-86C1-7AE145F2F986}" name="Column4762"/>
    <tableColumn id="4766" xr3:uid="{748D1F76-7A50-4852-8FF2-F445A7B6C9E7}" name="Column4763"/>
    <tableColumn id="4767" xr3:uid="{6523456E-3CA5-4F80-A8DE-8E28CFECA3CF}" name="Column4764"/>
    <tableColumn id="4768" xr3:uid="{6DDDBB06-D859-4ED8-BB63-989CFCCEEC2C}" name="Column4765"/>
    <tableColumn id="4769" xr3:uid="{0C18E74E-F0A9-4643-AF0D-1BC9D58BD11B}" name="Column4766"/>
    <tableColumn id="4770" xr3:uid="{5F63F1AE-4FF0-4B24-BB31-55472B9EF95F}" name="Column4767"/>
    <tableColumn id="4771" xr3:uid="{6513FBFD-C835-4F91-B8EB-C53A75703BA0}" name="Column4768"/>
    <tableColumn id="4772" xr3:uid="{D42AC51A-0880-4D57-93E0-69AAF4B45D77}" name="Column4769"/>
    <tableColumn id="4773" xr3:uid="{384FB8B8-C1B1-43AB-B7F0-653D2E1857E1}" name="Column4770"/>
    <tableColumn id="4774" xr3:uid="{DD7884C9-77B9-4D65-B7E8-D46795D8271F}" name="Column4771"/>
    <tableColumn id="4775" xr3:uid="{B02C9C6B-D383-47A8-A295-2498B5927B35}" name="Column4772"/>
    <tableColumn id="4776" xr3:uid="{47549DF2-1F59-49F2-970D-1AD05ABC0391}" name="Column4773"/>
    <tableColumn id="4777" xr3:uid="{EFBDC7F8-6229-478D-B8A8-91DC1A6C66FA}" name="Column4774"/>
    <tableColumn id="4778" xr3:uid="{FFABF4D3-602E-44B1-A98D-0148565D4536}" name="Column4775"/>
    <tableColumn id="4779" xr3:uid="{0D2AE6AC-20C2-409D-8DF8-3CF9A9FC4082}" name="Column4776"/>
    <tableColumn id="4780" xr3:uid="{D8DFB420-5BE1-4F32-A779-A1F3FB25422B}" name="Column4777"/>
    <tableColumn id="4781" xr3:uid="{C75CE67C-677A-45A5-913F-CD90A92CD919}" name="Column4778"/>
    <tableColumn id="4782" xr3:uid="{BA167396-141D-4384-B1E1-7C20D47CC204}" name="Column4779"/>
    <tableColumn id="4783" xr3:uid="{3139BC61-495F-470C-8D28-880267E745F9}" name="Column4780"/>
    <tableColumn id="4784" xr3:uid="{475F0B58-E2C5-4EBF-A715-2A8E49E4CDF0}" name="Column4781"/>
    <tableColumn id="4785" xr3:uid="{E84B1986-480C-406B-86B1-4FBDF5AFEB4E}" name="Column4782"/>
    <tableColumn id="4786" xr3:uid="{244160D3-9E00-4DCE-BB13-2A1D790C08D5}" name="Column4783"/>
    <tableColumn id="4787" xr3:uid="{BFCEB1BC-A958-4B2C-89DF-9407A92821FB}" name="Column4784"/>
    <tableColumn id="4788" xr3:uid="{B66F8CC4-A8CA-465A-9491-EA4AA7AF0205}" name="Column4785"/>
    <tableColumn id="4789" xr3:uid="{749CA9D2-1FA2-422D-B462-9F3680A94304}" name="Column4786"/>
    <tableColumn id="4790" xr3:uid="{BB19CE53-273A-40D9-8B8E-56A64832647A}" name="Column4787"/>
    <tableColumn id="4791" xr3:uid="{021FB5E1-B43B-4916-BB28-1AD3A1DC154F}" name="Column4788"/>
    <tableColumn id="4792" xr3:uid="{B56CC11E-893B-40B1-9BF2-C91DC7F127E7}" name="Column4789"/>
    <tableColumn id="4793" xr3:uid="{DEA1778B-DCEB-41C2-971D-7FB81DAC2E06}" name="Column4790"/>
    <tableColumn id="4794" xr3:uid="{F45D0A67-C779-4F80-B274-A1DEB2C10D86}" name="Column4791"/>
    <tableColumn id="4795" xr3:uid="{4749B919-2E0D-4F9A-91AA-77F56AAA96C8}" name="Column4792"/>
    <tableColumn id="4796" xr3:uid="{D365005E-C1BF-4732-9A4F-313662174C39}" name="Column4793"/>
    <tableColumn id="4797" xr3:uid="{676746BE-5A89-4DCE-89FD-0D1932261C64}" name="Column4794"/>
    <tableColumn id="4798" xr3:uid="{A2E78CE2-67C6-4137-ABE0-A9D0DDE2115A}" name="Column4795"/>
    <tableColumn id="4799" xr3:uid="{E9CDAB67-7DF4-4270-93FB-57F855D5B8FB}" name="Column4796"/>
    <tableColumn id="4800" xr3:uid="{312E0D19-67A4-42B5-9694-FAC70FFB647D}" name="Column4797"/>
    <tableColumn id="4801" xr3:uid="{4DFC3EE2-AAEC-473B-B0D0-E255584EC521}" name="Column4798"/>
    <tableColumn id="4802" xr3:uid="{92F70166-9C1C-4E23-8A47-B9939489DD5E}" name="Column4799"/>
    <tableColumn id="4803" xr3:uid="{C3324CF2-88C4-4063-AD13-EF5A9B2665A8}" name="Column4800"/>
    <tableColumn id="4804" xr3:uid="{B61F6C07-AD6C-44C9-B1C8-144BCA94EECA}" name="Column4801"/>
    <tableColumn id="4805" xr3:uid="{07FB8454-8A27-43FA-AFC4-6F8C810D7ECE}" name="Column4802"/>
    <tableColumn id="4806" xr3:uid="{57BB6710-B999-4597-A298-890E51B8AD5F}" name="Column4803"/>
    <tableColumn id="4807" xr3:uid="{57B5F18F-45AC-46B8-AF3E-C85526EDC6B7}" name="Column4804"/>
    <tableColumn id="4808" xr3:uid="{6D2A7829-AD6E-4CE7-89F0-B8EBB4BDC479}" name="Column4805"/>
    <tableColumn id="4809" xr3:uid="{BE4F0BAF-E456-4BE2-929F-57DAAA0E6EC0}" name="Column4806"/>
    <tableColumn id="4810" xr3:uid="{4D09B0F2-50A6-4235-A241-172C8519C352}" name="Column4807"/>
    <tableColumn id="4811" xr3:uid="{BC8B2AD5-7511-45A4-A908-1116154C10CD}" name="Column4808"/>
    <tableColumn id="4812" xr3:uid="{DF6333FA-688D-4584-BA7A-95B5228D7F53}" name="Column4809"/>
    <tableColumn id="4813" xr3:uid="{D3EF264C-D625-490B-B438-B1883D19689A}" name="Column4810"/>
    <tableColumn id="4814" xr3:uid="{551AC441-1F92-439E-BA52-2C751F0F34D4}" name="Column4811"/>
    <tableColumn id="4815" xr3:uid="{1F76FA7A-33D3-4C1F-A48F-B63E2B606FB6}" name="Column4812"/>
    <tableColumn id="4816" xr3:uid="{E3422785-2BC1-4B67-9AFB-2C62EE9E709C}" name="Column4813"/>
    <tableColumn id="4817" xr3:uid="{1E7E4664-253B-4E13-861C-CB2291473E68}" name="Column4814"/>
    <tableColumn id="4818" xr3:uid="{5A2277D9-89B0-4BCE-A2E7-C6E5328E187F}" name="Column4815"/>
    <tableColumn id="4819" xr3:uid="{1FC1AD18-4670-4CB5-A798-D7D6FE2A9497}" name="Column4816"/>
    <tableColumn id="4820" xr3:uid="{F22373CF-78E0-4597-956A-49A7F8F304F8}" name="Column4817"/>
    <tableColumn id="4821" xr3:uid="{95E37DDE-1AF6-4A66-BA7C-5B9D3A64DD60}" name="Column4818"/>
    <tableColumn id="4822" xr3:uid="{0B3CF712-2644-45BA-B721-5AC14E78C828}" name="Column4819"/>
    <tableColumn id="4823" xr3:uid="{30A8E41C-D600-45B0-8492-2A9DC19462BA}" name="Column4820"/>
    <tableColumn id="4824" xr3:uid="{34BFBDD4-4213-49EF-8BF5-B3237DE2F1AC}" name="Column4821"/>
    <tableColumn id="4825" xr3:uid="{79FA12E6-2D53-4A11-9234-4FB1436CDD67}" name="Column4822"/>
    <tableColumn id="4826" xr3:uid="{E059ABAB-0328-4C56-85A8-433758655BE2}" name="Column4823"/>
    <tableColumn id="4827" xr3:uid="{4AFBEAAF-DBE8-415A-8E78-B0028CFA9A02}" name="Column4824"/>
    <tableColumn id="4828" xr3:uid="{B020280D-9E59-4C9A-B351-99074DDCDD19}" name="Column4825"/>
    <tableColumn id="4829" xr3:uid="{D7734AC1-5B36-4CB7-B712-9F20B119B986}" name="Column4826"/>
    <tableColumn id="4830" xr3:uid="{2081CEB1-95B1-4DA4-8943-353D12D4F58C}" name="Column4827"/>
    <tableColumn id="4831" xr3:uid="{29E160EA-018F-4A06-A1E6-294C2F950E4E}" name="Column4828"/>
    <tableColumn id="4832" xr3:uid="{C5122E97-EC5B-4546-9525-4CC11EA35DBA}" name="Column4829"/>
    <tableColumn id="4833" xr3:uid="{64070E51-9F84-491B-B73F-195019413678}" name="Column4830"/>
    <tableColumn id="4834" xr3:uid="{13AF305A-8A58-4239-8CF2-F892D1BE62DF}" name="Column4831"/>
    <tableColumn id="4835" xr3:uid="{9799054B-75C5-40B3-A2C6-E6E96367D7B1}" name="Column4832"/>
    <tableColumn id="4836" xr3:uid="{08FEED6D-D252-436E-A893-A62BA6B92626}" name="Column4833"/>
    <tableColumn id="4837" xr3:uid="{25C2420A-B86D-46E3-843D-0A295DD8D287}" name="Column4834"/>
    <tableColumn id="4838" xr3:uid="{4F0A2BC3-B495-403C-9AE1-555F81C94CF8}" name="Column4835"/>
    <tableColumn id="4839" xr3:uid="{14004509-E4B3-4E67-94D3-26983D354C22}" name="Column4836"/>
    <tableColumn id="4840" xr3:uid="{2AA166BD-BD55-4347-927B-5A95E616A31A}" name="Column4837"/>
    <tableColumn id="4841" xr3:uid="{2A03181F-FD23-4D4D-9413-38B064A761C7}" name="Column4838"/>
    <tableColumn id="4842" xr3:uid="{1040074F-D7A3-44D5-9326-B9E62A83EE67}" name="Column4839"/>
    <tableColumn id="4843" xr3:uid="{351352EF-3316-4A58-A2F9-0C946449CDF3}" name="Column4840"/>
    <tableColumn id="4844" xr3:uid="{724F17B8-3AB7-4665-BB52-165BB30AE639}" name="Column4841"/>
    <tableColumn id="4845" xr3:uid="{C73AD5BB-FB91-487D-A6F0-4144C4AE7EF0}" name="Column4842"/>
    <tableColumn id="4846" xr3:uid="{8EEDAFD7-C5EC-43E3-AA11-BC155D48CA73}" name="Column4843"/>
    <tableColumn id="4847" xr3:uid="{2B2226A2-F77E-4037-A29A-082D1CEA1C9F}" name="Column4844"/>
    <tableColumn id="4848" xr3:uid="{CB7319C2-D3D9-4934-A3FB-1749BAF63DF4}" name="Column4845"/>
    <tableColumn id="4849" xr3:uid="{9104D650-81A2-4C39-9898-3F92872930C8}" name="Column4846"/>
    <tableColumn id="4850" xr3:uid="{25340A91-A32E-4F73-B621-51AE26B5262C}" name="Column4847"/>
    <tableColumn id="4851" xr3:uid="{566AD95C-069B-41E8-8EFF-AED62BA747F0}" name="Column4848"/>
    <tableColumn id="4852" xr3:uid="{57D67F75-6C3C-4321-8CA7-2BB6445DD3CC}" name="Column4849"/>
    <tableColumn id="4853" xr3:uid="{478E53CE-EA3A-4A41-A2BE-E96487E74FE1}" name="Column4850"/>
    <tableColumn id="4854" xr3:uid="{BAB9C8C3-0137-4131-BEA6-E5E6540C77E8}" name="Column4851"/>
    <tableColumn id="4855" xr3:uid="{EFD8A50C-E73D-4C59-8B70-90709D95795E}" name="Column4852"/>
    <tableColumn id="4856" xr3:uid="{CFD8327D-A1BE-4756-86FE-874372DE709D}" name="Column4853"/>
    <tableColumn id="4857" xr3:uid="{F852F1D2-4344-4454-873D-5FAFBCDF852C}" name="Column4854"/>
    <tableColumn id="4858" xr3:uid="{E6CB12AA-DCBB-4D72-9DF2-6EA38CDB992E}" name="Column4855"/>
    <tableColumn id="4859" xr3:uid="{56A10410-F393-44AB-B553-2277397C1188}" name="Column4856"/>
    <tableColumn id="4860" xr3:uid="{A0DA8286-001B-4817-8239-2A4636EFA322}" name="Column4857"/>
    <tableColumn id="4861" xr3:uid="{F27FF51C-99ED-4F20-AAB5-DC3229F7AED2}" name="Column4858"/>
    <tableColumn id="4862" xr3:uid="{CF716CDF-C09B-4775-92AA-3891B4566479}" name="Column4859"/>
    <tableColumn id="4863" xr3:uid="{699CC25D-12F2-4CC8-B4DE-A0D4D6346B74}" name="Column4860"/>
    <tableColumn id="4864" xr3:uid="{7D214331-CA46-46AA-8902-4C8887519289}" name="Column4861"/>
    <tableColumn id="4865" xr3:uid="{65BD10FE-17D3-4241-8A7B-A797345475A7}" name="Column4862"/>
    <tableColumn id="4866" xr3:uid="{AFCB83C2-F070-4CF7-84DE-44E970978DFB}" name="Column4863"/>
    <tableColumn id="4867" xr3:uid="{39ECF187-175F-41D7-A557-F2A105E341FF}" name="Column4864"/>
    <tableColumn id="4868" xr3:uid="{ED911CCA-8C16-4416-9255-AA87D1134B62}" name="Column4865"/>
    <tableColumn id="4869" xr3:uid="{104E4663-3D0B-444C-93B9-997EA9803C85}" name="Column4866"/>
    <tableColumn id="4870" xr3:uid="{35ECF4E1-7AEF-491F-8DE2-FF48F4F5710E}" name="Column4867"/>
    <tableColumn id="4871" xr3:uid="{C55A3949-E957-4A46-93A6-5FBFCDD53FE3}" name="Column4868"/>
    <tableColumn id="4872" xr3:uid="{79185607-7471-4D5C-93E9-56B0DCC8027E}" name="Column4869"/>
    <tableColumn id="4873" xr3:uid="{C0D42995-9FF6-402A-8A31-F164FF6310CF}" name="Column4870"/>
    <tableColumn id="4874" xr3:uid="{A49B92DA-0C05-4350-BABF-24A74A7EC052}" name="Column4871"/>
    <tableColumn id="4875" xr3:uid="{CEA54F97-3D4C-4B30-9F96-452FE7B5D6B3}" name="Column4872"/>
    <tableColumn id="4876" xr3:uid="{4DDD614F-78CB-4383-8B18-7A8CC864050F}" name="Column4873"/>
    <tableColumn id="4877" xr3:uid="{13BD3A7A-CEF1-424B-8437-C5D2D1DE398A}" name="Column4874"/>
    <tableColumn id="4878" xr3:uid="{202F8F9F-3C19-49CC-B207-9E18BCDBC366}" name="Column4875"/>
    <tableColumn id="4879" xr3:uid="{F02FFE6F-813B-4865-8728-0A98F8F13D7F}" name="Column4876"/>
    <tableColumn id="4880" xr3:uid="{E8143F20-7209-4E7D-8767-D9BA5D973490}" name="Column4877"/>
    <tableColumn id="4881" xr3:uid="{7CE4AEC6-4001-4DF5-948E-1958F0C67832}" name="Column4878"/>
    <tableColumn id="4882" xr3:uid="{8AD65B8F-C798-4215-9ECC-2271DBAD4CEE}" name="Column4879"/>
    <tableColumn id="4883" xr3:uid="{2C9FD8A3-12F7-4D46-A1F3-9FE7EA21E60C}" name="Column4880"/>
    <tableColumn id="4884" xr3:uid="{84964F7F-AC4B-4671-88BC-FF616F726619}" name="Column4881"/>
    <tableColumn id="4885" xr3:uid="{DF310545-43B4-481E-B861-744D2C862DED}" name="Column4882"/>
    <tableColumn id="4886" xr3:uid="{AA31A0B0-B4BD-46C4-80ED-3F9C2EC4FB9A}" name="Column4883"/>
    <tableColumn id="4887" xr3:uid="{0BAECDB3-0572-4E04-915A-EAE42F074E08}" name="Column4884"/>
    <tableColumn id="4888" xr3:uid="{8C6ECD9C-3435-45EC-9249-BA03C95D77AD}" name="Column4885"/>
    <tableColumn id="4889" xr3:uid="{B96DB27D-4C33-4767-8733-3A581F890399}" name="Column4886"/>
    <tableColumn id="4890" xr3:uid="{2332A4AD-E0E3-4797-ABDD-A47D6AAB0DAE}" name="Column4887"/>
    <tableColumn id="4891" xr3:uid="{EBB3326F-A170-4146-8FCE-81836C7A5E56}" name="Column4888"/>
    <tableColumn id="4892" xr3:uid="{3093D897-D88F-45F0-8DC4-FBB5615456E7}" name="Column4889"/>
    <tableColumn id="4893" xr3:uid="{7059B046-4CB7-4D3E-A905-A5CAAF9A64FB}" name="Column4890"/>
    <tableColumn id="4894" xr3:uid="{983AA517-4767-45A4-A722-75CEBB2AAAB8}" name="Column4891"/>
    <tableColumn id="4895" xr3:uid="{423A0B17-6D4E-497C-A972-0549579CEF66}" name="Column4892"/>
    <tableColumn id="4896" xr3:uid="{59E791E5-1D4E-4EE7-8253-F6521F4FC7D5}" name="Column4893"/>
    <tableColumn id="4897" xr3:uid="{850435A6-B899-4A37-941C-7D0E5F3359D2}" name="Column4894"/>
    <tableColumn id="4898" xr3:uid="{EA7FAF9C-B494-4406-9170-F8E4564C16E0}" name="Column4895"/>
    <tableColumn id="4899" xr3:uid="{71CAFA7B-1D15-4AC5-B3D2-A1E38B884F57}" name="Column4896"/>
    <tableColumn id="4900" xr3:uid="{38CE1DFA-9564-47EB-BFEB-7B6A9B6B9505}" name="Column4897"/>
    <tableColumn id="4901" xr3:uid="{ABD40C12-3BB6-42E8-AF05-9E949E509DA9}" name="Column4898"/>
    <tableColumn id="4902" xr3:uid="{3C70B208-7EA0-48DE-97AA-12ADF186C9DC}" name="Column4899"/>
    <tableColumn id="4903" xr3:uid="{B6B1BBDA-5195-433B-8831-572D86FAD667}" name="Column4900"/>
    <tableColumn id="4904" xr3:uid="{A6A532A1-11E0-4DFB-929F-88610871988C}" name="Column4901"/>
    <tableColumn id="4905" xr3:uid="{51171EBD-B35D-4EAE-8A17-FA5CE7559E6D}" name="Column4902"/>
    <tableColumn id="4906" xr3:uid="{36D377B8-D33F-4301-9EEB-75ECA516C3F4}" name="Column4903"/>
    <tableColumn id="4907" xr3:uid="{9B3304F4-AF59-4AF7-BD6B-00FBCB82CF4C}" name="Column4904"/>
    <tableColumn id="4908" xr3:uid="{90487600-2DD3-4BE2-BDDB-DE194201E4D5}" name="Column4905"/>
    <tableColumn id="4909" xr3:uid="{4B1F90C2-4186-49E6-B5A4-C5ECA892E867}" name="Column4906"/>
    <tableColumn id="4910" xr3:uid="{193BA209-F28A-4D9A-BB36-B846DC306DE7}" name="Column4907"/>
    <tableColumn id="4911" xr3:uid="{69AC319A-FDFD-4733-A204-9ACF851224E3}" name="Column4908"/>
    <tableColumn id="4912" xr3:uid="{2217CACF-7B4A-4E98-BF37-9098D044FCCA}" name="Column4909"/>
    <tableColumn id="4913" xr3:uid="{8498FC20-5FFA-4AE1-8346-953570EAB1B3}" name="Column4910"/>
    <tableColumn id="4914" xr3:uid="{AED4A4DC-2F1D-4C49-9A5D-529160AF8A63}" name="Column4911"/>
    <tableColumn id="4915" xr3:uid="{43FAA463-B5BC-430E-BB62-E42FB18982BE}" name="Column4912"/>
    <tableColumn id="4916" xr3:uid="{8BDF792C-546C-4DAA-9FC7-11B181A6D281}" name="Column4913"/>
    <tableColumn id="4917" xr3:uid="{B0B83897-5810-4BB2-8FF3-D6AF69EDE83B}" name="Column4914"/>
    <tableColumn id="4918" xr3:uid="{25B5C9C7-5E4B-48E3-90EF-017AA9FD5509}" name="Column4915"/>
    <tableColumn id="4919" xr3:uid="{D2373356-A394-4963-B982-BE600C2C1F07}" name="Column4916"/>
    <tableColumn id="4920" xr3:uid="{2E77BCB8-0372-4020-A2DC-51444D4126B4}" name="Column4917"/>
    <tableColumn id="4921" xr3:uid="{FBA7F306-E073-4EE5-B9B6-69983D0DDFD7}" name="Column4918"/>
    <tableColumn id="4922" xr3:uid="{BF55F436-8FE7-4C48-8999-24DAF1D76DDF}" name="Column4919"/>
    <tableColumn id="4923" xr3:uid="{99413731-9258-490F-BBAD-33E55669FBEB}" name="Column4920"/>
    <tableColumn id="4924" xr3:uid="{318E786F-EDE4-4E46-B87A-2ED694EB545B}" name="Column4921"/>
    <tableColumn id="4925" xr3:uid="{70BFCE6B-529A-4683-89AD-F086CE930E23}" name="Column4922"/>
    <tableColumn id="4926" xr3:uid="{D38260E4-2F5C-458B-8252-266189145D3D}" name="Column4923"/>
    <tableColumn id="4927" xr3:uid="{E9C5249E-0311-4FC4-96AE-EA5CFB77A37F}" name="Column4924"/>
    <tableColumn id="4928" xr3:uid="{E34AFD62-0ECB-453B-8495-4A8DA764FB3E}" name="Column4925"/>
    <tableColumn id="4929" xr3:uid="{D6BC6F3A-B48E-4F6F-9DCA-2569E6571F93}" name="Column4926"/>
    <tableColumn id="4930" xr3:uid="{4F3230C0-8B23-43D7-ABB0-53C1EA8F2F5E}" name="Column4927"/>
    <tableColumn id="4931" xr3:uid="{51C09CFE-D215-44B7-B387-E78073395AC5}" name="Column4928"/>
    <tableColumn id="4932" xr3:uid="{0DC090CF-557A-4043-A6A5-078D79D4E162}" name="Column4929"/>
    <tableColumn id="4933" xr3:uid="{31295D8B-D795-4A5C-9980-C0B8923156C9}" name="Column4930"/>
    <tableColumn id="4934" xr3:uid="{6676C183-1CF1-472E-A629-8F7D17856187}" name="Column4931"/>
    <tableColumn id="4935" xr3:uid="{357740F0-5BB7-4A34-BCC5-4081988FF1FF}" name="Column4932"/>
    <tableColumn id="4936" xr3:uid="{484BA739-FFF5-422D-B037-5366FF6D66F5}" name="Column4933"/>
    <tableColumn id="4937" xr3:uid="{B8CE1C20-4F27-4908-8835-E7D99EBFADE6}" name="Column4934"/>
    <tableColumn id="4938" xr3:uid="{E4F928C7-2185-4EE9-A198-E0FFABDE9AE6}" name="Column4935"/>
    <tableColumn id="4939" xr3:uid="{F130049C-93F3-44A6-821B-A631ABEAE07F}" name="Column4936"/>
    <tableColumn id="4940" xr3:uid="{89C831E2-0074-4C8F-BC67-D3209A19874B}" name="Column4937"/>
    <tableColumn id="4941" xr3:uid="{8C79E839-76B6-474C-8F03-E49E1BC7C14F}" name="Column4938"/>
    <tableColumn id="4942" xr3:uid="{940CA8C4-48FC-4136-801F-B45772AF366E}" name="Column4939"/>
    <tableColumn id="4943" xr3:uid="{2F530138-296D-48B0-82FD-B8164EA04BE3}" name="Column4940"/>
    <tableColumn id="4944" xr3:uid="{6B519907-F6D3-4DD4-B7C7-9A167BABB847}" name="Column4941"/>
    <tableColumn id="4945" xr3:uid="{520C1454-45DC-4610-BAAD-016605125CC6}" name="Column4942"/>
    <tableColumn id="4946" xr3:uid="{9ABE9CDF-6D5B-4E71-8DB7-E29A6CD3468F}" name="Column4943"/>
    <tableColumn id="4947" xr3:uid="{A2FB2803-A188-43D6-8E4B-CDF7A6E2D40C}" name="Column4944"/>
    <tableColumn id="4948" xr3:uid="{107C69D6-C10E-4718-8C52-7E746D1A63AA}" name="Column4945"/>
    <tableColumn id="4949" xr3:uid="{D168ED18-5551-4F25-BD08-F9883DCA0CDA}" name="Column4946"/>
    <tableColumn id="4950" xr3:uid="{6B54A712-5E81-4986-B338-78662AC13F44}" name="Column4947"/>
    <tableColumn id="4951" xr3:uid="{FC32268A-3D9C-437B-A1FC-7C76A4732007}" name="Column4948"/>
    <tableColumn id="4952" xr3:uid="{EC4DF1EB-387B-4962-AFC3-EFB913B057AA}" name="Column4949"/>
    <tableColumn id="4953" xr3:uid="{277FCB12-8C27-4B1A-A37A-56EBA31725F6}" name="Column4950"/>
    <tableColumn id="4954" xr3:uid="{21101964-73E7-4186-A23B-6E6505C6F827}" name="Column4951"/>
    <tableColumn id="4955" xr3:uid="{F4DAE2CB-025C-4695-8393-D03F77689184}" name="Column4952"/>
    <tableColumn id="4956" xr3:uid="{951A62CF-8A82-4D7E-9419-C3F7DC9E972A}" name="Column4953"/>
    <tableColumn id="4957" xr3:uid="{58C1D719-4E86-40E4-B417-C9BBD9BC5A30}" name="Column4954"/>
    <tableColumn id="4958" xr3:uid="{FCD07210-6D38-4545-8864-8B7323007B60}" name="Column4955"/>
    <tableColumn id="4959" xr3:uid="{7E8FBAC0-7735-4B1A-A841-94951AE0BE67}" name="Column4956"/>
    <tableColumn id="4960" xr3:uid="{07292856-B8DC-4812-B0E3-C45B8FBCD92B}" name="Column4957"/>
    <tableColumn id="4961" xr3:uid="{0CF13154-32E5-47A3-9477-4B09484DF289}" name="Column4958"/>
    <tableColumn id="4962" xr3:uid="{B5B84D25-5434-428F-8477-4CBBF60B69A7}" name="Column4959"/>
    <tableColumn id="4963" xr3:uid="{4152445D-9E12-4E47-A6AE-F03913791628}" name="Column4960"/>
    <tableColumn id="4964" xr3:uid="{582E292D-5B8A-4329-91A4-633DBA3F2DF3}" name="Column4961"/>
    <tableColumn id="4965" xr3:uid="{385246C0-EDD2-4587-BA8D-1849F2E7404E}" name="Column4962"/>
    <tableColumn id="4966" xr3:uid="{8A628A50-C60B-4389-906A-9BFEFBCD4A38}" name="Column4963"/>
    <tableColumn id="4967" xr3:uid="{E40A6603-357E-4C1A-BF47-575F63E2927D}" name="Column4964"/>
    <tableColumn id="4968" xr3:uid="{9BDFDEEB-CC67-4848-936D-67CEEE48CD4F}" name="Column4965"/>
    <tableColumn id="4969" xr3:uid="{A9DA0B36-AAFD-4AA6-BA36-2EF9080F3E8A}" name="Column4966"/>
    <tableColumn id="4970" xr3:uid="{5CF7F1D5-1A34-464F-BB85-B9416DAD0C37}" name="Column4967"/>
    <tableColumn id="4971" xr3:uid="{9E094989-5CE6-4D3C-A879-307A94B21481}" name="Column4968"/>
    <tableColumn id="4972" xr3:uid="{087D65BC-396B-47E3-8518-F7691BE7F3D4}" name="Column4969"/>
    <tableColumn id="4973" xr3:uid="{29C7E68C-ECC4-48F3-AE11-9BA1E72D12EB}" name="Column4970"/>
    <tableColumn id="4974" xr3:uid="{68FD03A6-B9E0-487F-BB55-37C0C19CFBC9}" name="Column4971"/>
    <tableColumn id="4975" xr3:uid="{180D98B2-9DEC-4C30-AED6-B766E109C0D7}" name="Column4972"/>
    <tableColumn id="4976" xr3:uid="{0AB61F1A-1B8F-4A78-95F0-6F83D049172C}" name="Column4973"/>
    <tableColumn id="4977" xr3:uid="{D1B33AE5-4CE1-48D9-BCA6-170F45845B13}" name="Column4974"/>
    <tableColumn id="4978" xr3:uid="{1AF5CACD-3851-405C-9413-185BEE553B6D}" name="Column4975"/>
    <tableColumn id="4979" xr3:uid="{0E3C4FF8-C745-403D-8CC0-5A71A7253123}" name="Column4976"/>
    <tableColumn id="4980" xr3:uid="{FE9FCCC7-31A3-4F8F-B248-42D2DBD744DC}" name="Column4977"/>
    <tableColumn id="4981" xr3:uid="{A641A281-9554-4F80-B73F-1C23B86DC2C3}" name="Column4978"/>
    <tableColumn id="4982" xr3:uid="{F9A280EC-ABF9-4855-854E-9D1C7A99A3D3}" name="Column4979"/>
    <tableColumn id="4983" xr3:uid="{03C0325E-32D4-4A67-86F4-73673B358A90}" name="Column4980"/>
    <tableColumn id="4984" xr3:uid="{7A8DE914-B611-4A08-8E8B-711CA6EA794C}" name="Column4981"/>
    <tableColumn id="4985" xr3:uid="{C4D8E1B7-FB35-4AC6-BCA2-0D8B156BE67A}" name="Column4982"/>
    <tableColumn id="4986" xr3:uid="{81B0253F-C786-4B97-BAC1-DD815D093E0C}" name="Column4983"/>
    <tableColumn id="4987" xr3:uid="{BB0D8ABF-93A7-4D9F-BB5E-E20A682B7DFB}" name="Column4984"/>
    <tableColumn id="4988" xr3:uid="{225A715B-E950-410D-ACF3-C2E888AAF7C7}" name="Column4985"/>
    <tableColumn id="4989" xr3:uid="{59C47FF7-C146-4045-A5F9-C289EBCADF18}" name="Column4986"/>
    <tableColumn id="4990" xr3:uid="{B7B93CF6-83E0-4B2A-B743-A81619A31D65}" name="Column4987"/>
    <tableColumn id="4991" xr3:uid="{EED668B8-67AF-4A14-935A-426ECD4604D2}" name="Column4988"/>
    <tableColumn id="4992" xr3:uid="{93BCA9F3-A0C4-4309-BCA9-F149A831AAF0}" name="Column4989"/>
    <tableColumn id="4993" xr3:uid="{79185B38-CBC5-49EC-9A62-12FB8EF89BC1}" name="Column4990"/>
    <tableColumn id="4994" xr3:uid="{88150303-0809-47E5-AC8E-E6EE9748A2B1}" name="Column4991"/>
    <tableColumn id="4995" xr3:uid="{52E4EDE9-A786-425C-B48D-DC20429C4786}" name="Column4992"/>
    <tableColumn id="4996" xr3:uid="{4FC33CD0-BE88-4462-844E-50382CCAF1BC}" name="Column4993"/>
    <tableColumn id="4997" xr3:uid="{96963D07-BA5E-4BE4-B9B3-126087C4D610}" name="Column4994"/>
    <tableColumn id="4998" xr3:uid="{59FDF5B0-552A-4419-9F90-31B8C1FB2309}" name="Column4995"/>
    <tableColumn id="4999" xr3:uid="{2C2056E0-EF89-40B3-86DC-C9FDD9705A73}" name="Column4996"/>
    <tableColumn id="5000" xr3:uid="{2E2EABF1-3ECE-492C-98AE-5AC2985C5184}" name="Column4997"/>
    <tableColumn id="5001" xr3:uid="{CD3685C3-A52A-4C1A-8A3C-3F9907E9FFBA}" name="Column4998"/>
    <tableColumn id="5002" xr3:uid="{544AF685-5BEF-48FA-820A-F48D05E80DE1}" name="Column4999"/>
    <tableColumn id="5003" xr3:uid="{545F6926-9049-4A77-97B2-3233B0D44FD3}" name="Column5000"/>
    <tableColumn id="5004" xr3:uid="{340BD4A7-054A-4547-906C-E50928107D5F}" name="Column5001"/>
    <tableColumn id="5005" xr3:uid="{08D666F6-41C1-4EEF-9509-AC2C209B6C5A}" name="Column5002"/>
    <tableColumn id="5006" xr3:uid="{430C2EE4-61CF-4B62-82B7-31F59DA19952}" name="Column5003"/>
    <tableColumn id="5007" xr3:uid="{7378122A-1DA6-45DB-8B23-09C0C31D92C7}" name="Column5004"/>
    <tableColumn id="5008" xr3:uid="{F646DEC6-F57C-4778-8F87-5FFDAE308AEF}" name="Column5005"/>
    <tableColumn id="5009" xr3:uid="{517DA447-D1BB-47C5-BEC3-652A21387929}" name="Column5006"/>
    <tableColumn id="5010" xr3:uid="{071953F1-4606-42C0-959D-EF0ACC466634}" name="Column5007"/>
    <tableColumn id="5011" xr3:uid="{7BF41DCA-23E5-4673-89D3-0C692CA6B2AB}" name="Column5008"/>
    <tableColumn id="5012" xr3:uid="{9D8B69F2-9D7C-4BC2-A86E-87F1F2AFE98E}" name="Column5009"/>
    <tableColumn id="5013" xr3:uid="{CB6894C9-FA2B-449D-B8A9-B425CC3F234A}" name="Column5010"/>
    <tableColumn id="5014" xr3:uid="{B7CD447D-994D-446B-997C-A472167EC9DC}" name="Column5011"/>
    <tableColumn id="5015" xr3:uid="{278BBF31-9E6A-43C0-92F9-B61F5A995D95}" name="Column5012"/>
    <tableColumn id="5016" xr3:uid="{E4E243BB-6FF3-4D76-A874-B2E9A590A45B}" name="Column5013"/>
    <tableColumn id="5017" xr3:uid="{5A78D674-2C20-4532-B46E-AD1C271BFE66}" name="Column5014"/>
    <tableColumn id="5018" xr3:uid="{52514E77-FE32-45F4-80BA-DEAA863F6682}" name="Column5015"/>
    <tableColumn id="5019" xr3:uid="{8013FA3B-21C1-49E8-B045-18E9A271FF01}" name="Column5016"/>
    <tableColumn id="5020" xr3:uid="{D2517BB8-E321-4C46-9876-51805AECC71D}" name="Column5017"/>
    <tableColumn id="5021" xr3:uid="{FA313359-363D-4908-A8D5-831CB9250ACA}" name="Column5018"/>
    <tableColumn id="5022" xr3:uid="{1D5C41D6-2817-433D-A62D-3D63881413FB}" name="Column5019"/>
    <tableColumn id="5023" xr3:uid="{16C2E218-7996-4489-89FD-9CBF04CDC598}" name="Column5020"/>
    <tableColumn id="5024" xr3:uid="{03F1268F-F6EA-40C3-BBCC-5748BBA97986}" name="Column5021"/>
    <tableColumn id="5025" xr3:uid="{E697C447-027E-442A-84D5-8670D2168852}" name="Column5022"/>
    <tableColumn id="5026" xr3:uid="{CA1AFCCC-5673-4A20-852F-AFC12969E694}" name="Column5023"/>
    <tableColumn id="5027" xr3:uid="{2753D826-A08D-4F5C-BF17-33C57DB33736}" name="Column5024"/>
    <tableColumn id="5028" xr3:uid="{708B744E-CFCC-4BE4-91E0-0D2ADE537758}" name="Column5025"/>
    <tableColumn id="5029" xr3:uid="{672DFF4A-5092-4FA8-A71C-37008C72FB7B}" name="Column5026"/>
    <tableColumn id="5030" xr3:uid="{9391DBCF-DD3E-41FF-972D-7151B032BF8B}" name="Column5027"/>
    <tableColumn id="5031" xr3:uid="{4261F149-3354-4D61-9CD9-98D19579B9D4}" name="Column5028"/>
    <tableColumn id="5032" xr3:uid="{31666BD7-E543-4B9B-BC35-A9BE09736CC2}" name="Column5029"/>
    <tableColumn id="5033" xr3:uid="{B8912F42-E053-4E81-A915-9E298660D3E1}" name="Column5030"/>
    <tableColumn id="5034" xr3:uid="{BDECC503-F88E-480F-8244-A28A0A03FB14}" name="Column5031"/>
    <tableColumn id="5035" xr3:uid="{64CCA817-BD57-48BF-B632-53ECCF1AFDC7}" name="Column5032"/>
    <tableColumn id="5036" xr3:uid="{1B55D322-CB63-47E8-92F9-92918581A978}" name="Column5033"/>
    <tableColumn id="5037" xr3:uid="{FB13EFA3-1523-4160-8979-37A5CAB75B65}" name="Column5034"/>
    <tableColumn id="5038" xr3:uid="{9334B6E5-AD84-4198-A1C9-E875071C9BBE}" name="Column5035"/>
    <tableColumn id="5039" xr3:uid="{4D64E9CF-F533-42AF-A1E7-28D2792052D8}" name="Column5036"/>
    <tableColumn id="5040" xr3:uid="{4C5C1B3A-C3DC-4276-AA47-D5A93FB96A4C}" name="Column5037"/>
    <tableColumn id="5041" xr3:uid="{58E3AD09-A690-4A18-A710-271070C162CD}" name="Column5038"/>
    <tableColumn id="5042" xr3:uid="{8316D061-DA91-43F6-93B0-BAF16D592236}" name="Column5039"/>
    <tableColumn id="5043" xr3:uid="{50138A4C-0944-4513-8D2C-DD37DBDF0FD4}" name="Column5040"/>
    <tableColumn id="5044" xr3:uid="{6157D75C-69E1-426A-B99D-7B1FFB1A7E57}" name="Column5041"/>
    <tableColumn id="5045" xr3:uid="{65E7D0A7-764B-4ADB-B1C5-5F041D270F07}" name="Column5042"/>
    <tableColumn id="5046" xr3:uid="{AE0BF50E-D303-40BE-B17C-1A18E23042B3}" name="Column5043"/>
    <tableColumn id="5047" xr3:uid="{D6984A5B-080D-4D8D-BBA4-079E0394424D}" name="Column5044"/>
    <tableColumn id="5048" xr3:uid="{623BADCA-869F-4A4A-951B-A6B49CF7F1EA}" name="Column5045"/>
    <tableColumn id="5049" xr3:uid="{D695462F-D39B-47B4-8D0D-C338B06E054D}" name="Column5046"/>
    <tableColumn id="5050" xr3:uid="{6C0D790F-B873-407D-A6A0-8BB091373938}" name="Column5047"/>
    <tableColumn id="5051" xr3:uid="{738233D4-A1F4-4CC9-AF82-62BDBA5298CC}" name="Column5048"/>
    <tableColumn id="5052" xr3:uid="{881091F1-F6F8-416F-AD3E-7B9B99C455E4}" name="Column5049"/>
    <tableColumn id="5053" xr3:uid="{684BBC0F-5A3C-4A0E-9364-66BD7A89054C}" name="Column5050"/>
    <tableColumn id="5054" xr3:uid="{DF9D6AAB-8918-448C-BAD6-2627878CD5B0}" name="Column5051"/>
    <tableColumn id="5055" xr3:uid="{971C929D-5ACE-4329-8F63-8F4814867249}" name="Column5052"/>
    <tableColumn id="5056" xr3:uid="{220ACF46-121B-495D-9901-4FA17A22A89A}" name="Column5053"/>
    <tableColumn id="5057" xr3:uid="{F08BB9FB-ADF3-4996-BA96-2D654BFA2B48}" name="Column5054"/>
    <tableColumn id="5058" xr3:uid="{C1ADECA2-B22C-41D4-9016-F9CA70102067}" name="Column5055"/>
    <tableColumn id="5059" xr3:uid="{1C18BD70-56EC-45D7-BBD5-318035052706}" name="Column5056"/>
    <tableColumn id="5060" xr3:uid="{4DCC8880-2041-46A9-BBC8-228C4219F42E}" name="Column5057"/>
    <tableColumn id="5061" xr3:uid="{5347822C-7284-432A-AFDD-D5DC83A68E64}" name="Column5058"/>
    <tableColumn id="5062" xr3:uid="{3216639E-7DA4-4363-9D2E-8B60113921E1}" name="Column5059"/>
    <tableColumn id="5063" xr3:uid="{038F7E23-8BE6-4827-9E4C-B3C8F741AE11}" name="Column5060"/>
    <tableColumn id="5064" xr3:uid="{08E79B9F-F909-4153-BCAA-978541530861}" name="Column5061"/>
    <tableColumn id="5065" xr3:uid="{8022B9C6-E309-4DA4-853F-B42A1EA1E39D}" name="Column5062"/>
    <tableColumn id="5066" xr3:uid="{4F534795-37C2-4494-9007-A567328D7D6C}" name="Column5063"/>
    <tableColumn id="5067" xr3:uid="{26FB826D-CED3-4467-866A-CBDFF9806B15}" name="Column5064"/>
    <tableColumn id="5068" xr3:uid="{F49FA12E-BDB4-4BF4-9CCF-5A932303BA67}" name="Column5065"/>
    <tableColumn id="5069" xr3:uid="{5CE8D1AD-B4DB-4E2C-A585-1402732E2CD5}" name="Column5066"/>
    <tableColumn id="5070" xr3:uid="{4BB8EC6E-1894-4646-96D1-17981867E2B8}" name="Column5067"/>
    <tableColumn id="5071" xr3:uid="{3EA2889E-9838-4737-A588-F74F59C7EB0F}" name="Column5068"/>
    <tableColumn id="5072" xr3:uid="{74B9220C-5995-4E8C-9FD8-F22923729C2B}" name="Column5069"/>
    <tableColumn id="5073" xr3:uid="{A1C66DC6-2BD1-4FDF-9894-0409580C6432}" name="Column5070"/>
    <tableColumn id="5074" xr3:uid="{A65B3C5D-55FC-4CCE-8DBA-8E0A3B2DDD5F}" name="Column5071"/>
    <tableColumn id="5075" xr3:uid="{8A91993F-DF9B-4233-9EC9-4C2D7E47515E}" name="Column5072"/>
    <tableColumn id="5076" xr3:uid="{829AE27E-7ED0-4346-AC2D-7E36635A6457}" name="Column5073"/>
    <tableColumn id="5077" xr3:uid="{D98333C0-C855-4F58-BFC7-1160C8E336C7}" name="Column5074"/>
    <tableColumn id="5078" xr3:uid="{37AC0FF2-36B4-43E5-BF70-007C986C13AE}" name="Column5075"/>
    <tableColumn id="5079" xr3:uid="{C909DB11-2D16-4EDC-BD34-AB4BDE70F2DF}" name="Column5076"/>
    <tableColumn id="5080" xr3:uid="{4442C914-ADBC-4536-8C27-4756286F2040}" name="Column5077"/>
    <tableColumn id="5081" xr3:uid="{25169C01-5EFD-4BB7-B30E-93C4210FC1F0}" name="Column5078"/>
    <tableColumn id="5082" xr3:uid="{EE791FB0-E691-4885-8AF7-B5F5EAA63B3D}" name="Column5079"/>
    <tableColumn id="5083" xr3:uid="{3B0D0A09-146E-46C6-BBBF-F0E0F884E7EC}" name="Column5080"/>
    <tableColumn id="5084" xr3:uid="{6548A9C8-72FD-40F4-9D25-08F7BF69B6CD}" name="Column5081"/>
    <tableColumn id="5085" xr3:uid="{A2407C62-5C0F-4BBA-A374-22DBD37EF0E4}" name="Column5082"/>
    <tableColumn id="5086" xr3:uid="{07B5401A-0D80-4ADC-BB8E-BC83EE946AE8}" name="Column5083"/>
    <tableColumn id="5087" xr3:uid="{66A224E1-17B5-46F5-9D7A-694D01397608}" name="Column5084"/>
    <tableColumn id="5088" xr3:uid="{FFAF4706-9807-4594-ADC4-121A4F4D0276}" name="Column5085"/>
    <tableColumn id="5089" xr3:uid="{B0AC3CED-1FD9-4C5F-86BB-1E169F150256}" name="Column5086"/>
    <tableColumn id="5090" xr3:uid="{2CA3F00C-F661-4C25-AAAF-641CDE5CD220}" name="Column5087"/>
    <tableColumn id="5091" xr3:uid="{F7660100-CA30-4DCC-A125-8AD3B3B26F84}" name="Column5088"/>
    <tableColumn id="5092" xr3:uid="{DD8C1B40-21AF-4F56-A7F9-6DF0FB4A5EEC}" name="Column5089"/>
    <tableColumn id="5093" xr3:uid="{A2F6C284-CFFF-4813-A46B-5C8E3001C1DF}" name="Column5090"/>
    <tableColumn id="5094" xr3:uid="{C699A4AA-8ACE-48D4-A653-E7FD0C17BB52}" name="Column5091"/>
    <tableColumn id="5095" xr3:uid="{0C106C78-B764-4FFD-A8FB-BF53415E11CE}" name="Column5092"/>
    <tableColumn id="5096" xr3:uid="{82DCB8D7-B3A3-4B77-9FBE-96F06BB11032}" name="Column5093"/>
    <tableColumn id="5097" xr3:uid="{31006368-47E6-4FE6-A95E-61A202E84B8C}" name="Column5094"/>
    <tableColumn id="5098" xr3:uid="{FEF75539-128B-4F3A-97C2-C6A07E662818}" name="Column5095"/>
    <tableColumn id="5099" xr3:uid="{63CAEB0B-86F8-40B7-B99E-522E9EA35F7C}" name="Column5096"/>
    <tableColumn id="5100" xr3:uid="{DE9744FD-91FC-4F5A-B0CB-843083475CDB}" name="Column5097"/>
    <tableColumn id="5101" xr3:uid="{C89ACBAA-B328-42A0-B240-47DB630D68EB}" name="Column5098"/>
    <tableColumn id="5102" xr3:uid="{3C33415D-EE60-40F2-B522-A88380B8501F}" name="Column5099"/>
    <tableColumn id="5103" xr3:uid="{77A412BD-4ABF-4BBF-9840-E61E662DB243}" name="Column5100"/>
    <tableColumn id="5104" xr3:uid="{CF79CE4B-734A-4BD1-BBBD-220A15D0587F}" name="Column5101"/>
    <tableColumn id="5105" xr3:uid="{C9A82B11-EC0C-4A50-8C08-07E308DE25A9}" name="Column5102"/>
    <tableColumn id="5106" xr3:uid="{30C8E502-C7FA-44E2-9EEA-F29DE406DC91}" name="Column5103"/>
    <tableColumn id="5107" xr3:uid="{BD018C0B-21FE-4752-891B-B489CBAD16C7}" name="Column5104"/>
    <tableColumn id="5108" xr3:uid="{5F8F0C1B-F7EC-45AB-958A-F5657DE43D7D}" name="Column5105"/>
    <tableColumn id="5109" xr3:uid="{AB6FBA18-E7A9-4E64-966C-951BF781A98D}" name="Column5106"/>
    <tableColumn id="5110" xr3:uid="{7D7C99B9-AD84-4D20-ACB9-F59E075AF564}" name="Column5107"/>
    <tableColumn id="5111" xr3:uid="{8CA18924-5419-4DD4-9F1E-592781534AFD}" name="Column5108"/>
    <tableColumn id="5112" xr3:uid="{F81CAE0F-0F55-4729-BD5E-3DB0FD187526}" name="Column5109"/>
    <tableColumn id="5113" xr3:uid="{E92C378B-F18A-4707-9E7D-84A7DC0564D5}" name="Column5110"/>
    <tableColumn id="5114" xr3:uid="{559B0C2D-E93C-40E3-A3CD-6116A9696284}" name="Column5111"/>
    <tableColumn id="5115" xr3:uid="{287371AD-E997-495C-9A54-49B821BEFEA0}" name="Column5112"/>
    <tableColumn id="5116" xr3:uid="{16C954E0-6D18-4603-BEC0-AF415ED5E4C0}" name="Column5113"/>
    <tableColumn id="5117" xr3:uid="{8AAC89D9-1176-4052-8B86-DB76E9B730CE}" name="Column5114"/>
    <tableColumn id="5118" xr3:uid="{83090A5E-05D2-472C-8EEA-3F4A556C8375}" name="Column5115"/>
    <tableColumn id="5119" xr3:uid="{5C0C66C9-6030-4545-8640-19ECFE4E6DAA}" name="Column5116"/>
    <tableColumn id="5120" xr3:uid="{F04DC4A0-BAD0-49DF-9BCF-876267A7F16A}" name="Column5117"/>
    <tableColumn id="5121" xr3:uid="{41AF384D-1C0E-450F-9F73-4417CB9F2895}" name="Column5118"/>
    <tableColumn id="5122" xr3:uid="{CCF951AE-F3A3-497F-BCB2-AB706500E43F}" name="Column5119"/>
    <tableColumn id="5123" xr3:uid="{876FA9DD-8CC1-4900-8847-FE6C2D09BD8A}" name="Column5120"/>
    <tableColumn id="5124" xr3:uid="{E47A3234-4A34-4BAE-BD64-A9E3E4FA6D2B}" name="Column5121"/>
    <tableColumn id="5125" xr3:uid="{3B2BB2E3-3504-45F3-8B7D-62C4A3B093DE}" name="Column5122"/>
    <tableColumn id="5126" xr3:uid="{8EE776BC-C3BC-4AD2-864A-4B6DFD9658AB}" name="Column5123"/>
    <tableColumn id="5127" xr3:uid="{1B55E315-C220-4479-9C8B-BD49042885F8}" name="Column5124"/>
    <tableColumn id="5128" xr3:uid="{0CAAA548-3CAB-4FAE-8DD7-49997AF26B42}" name="Column5125"/>
    <tableColumn id="5129" xr3:uid="{80894131-2D42-4961-95A8-057132AADCCB}" name="Column5126"/>
    <tableColumn id="5130" xr3:uid="{B38F9784-1733-4F0D-BF41-5CB3E0EE2AA4}" name="Column5127"/>
    <tableColumn id="5131" xr3:uid="{63ADB97D-796F-46E6-BCBA-447183CB09BE}" name="Column5128"/>
    <tableColumn id="5132" xr3:uid="{2C73E937-E15C-48D3-900F-5C8B2B9C353B}" name="Column5129"/>
    <tableColumn id="5133" xr3:uid="{932E320A-D712-42D5-8C34-A2E213934C54}" name="Column5130"/>
    <tableColumn id="5134" xr3:uid="{FCCBEDD4-C023-48A1-B99E-7E79F7B4B06A}" name="Column5131"/>
    <tableColumn id="5135" xr3:uid="{4F7BA377-8BF7-4061-B6C5-971936805560}" name="Column5132"/>
    <tableColumn id="5136" xr3:uid="{A039D817-3F3B-4CD2-B73B-B314FB9EABA5}" name="Column5133"/>
    <tableColumn id="5137" xr3:uid="{C3EA7111-B41F-4C4F-BAFC-021C6820CC5B}" name="Column5134"/>
    <tableColumn id="5138" xr3:uid="{AA96DEE1-E4C8-4A3F-9EC7-08F0D95EE83A}" name="Column5135"/>
    <tableColumn id="5139" xr3:uid="{7091942A-D5F4-4C72-A861-8E6BA02F8559}" name="Column5136"/>
    <tableColumn id="5140" xr3:uid="{9FCAA37A-6F6D-4186-97AE-75B51358C00D}" name="Column5137"/>
    <tableColumn id="5141" xr3:uid="{3AE8DEEE-032F-4D8A-843E-C3A61A15BA98}" name="Column5138"/>
    <tableColumn id="5142" xr3:uid="{B4BAAD25-8C5F-404B-A498-65C969A01C84}" name="Column5139"/>
    <tableColumn id="5143" xr3:uid="{61B9E72A-924B-4DC5-8BBD-BF2D3B7D43A9}" name="Column5140"/>
    <tableColumn id="5144" xr3:uid="{58B065BC-915F-4BE4-94C6-0358EA2D00C6}" name="Column5141"/>
    <tableColumn id="5145" xr3:uid="{0A329027-0070-4F3A-AAA2-7B3AB1093CBF}" name="Column5142"/>
    <tableColumn id="5146" xr3:uid="{10CA0A5B-12BA-4A8E-963A-A42810FD6299}" name="Column5143"/>
    <tableColumn id="5147" xr3:uid="{29AB3643-DF1F-43F8-85A4-281B352043A8}" name="Column5144"/>
    <tableColumn id="5148" xr3:uid="{B59EB28C-44AC-4DB0-9BF4-62BE10B27A7A}" name="Column5145"/>
    <tableColumn id="5149" xr3:uid="{BDC3C392-D24A-4E0D-BCF7-AE1A882FA509}" name="Column5146"/>
    <tableColumn id="5150" xr3:uid="{8E7B1395-7365-402A-838C-60EF97AB5734}" name="Column5147"/>
    <tableColumn id="5151" xr3:uid="{6A9371CC-C9E5-41B5-9BEA-5FC27CC0FF44}" name="Column5148"/>
    <tableColumn id="5152" xr3:uid="{9647F7D8-2D1A-43EE-9EA9-CE05E361B6F1}" name="Column5149"/>
    <tableColumn id="5153" xr3:uid="{A3F66F1C-0F91-401B-AF9F-BD7211600642}" name="Column5150"/>
    <tableColumn id="5154" xr3:uid="{7E2056FE-DE9E-49D6-AA74-29A6E3F077CB}" name="Column5151"/>
    <tableColumn id="5155" xr3:uid="{E75F3105-8B12-4FF9-8E46-B11F15ECF2BF}" name="Column5152"/>
    <tableColumn id="5156" xr3:uid="{B013C195-AF9F-4D17-9E3B-1B52CEE8F8DC}" name="Column5153"/>
    <tableColumn id="5157" xr3:uid="{49CEEC05-A8D9-4FCD-8420-9420B96A72AB}" name="Column5154"/>
    <tableColumn id="5158" xr3:uid="{3315D807-545C-4D59-99B6-DA1310E65DED}" name="Column5155"/>
    <tableColumn id="5159" xr3:uid="{79576D79-80C5-450B-BC13-7BBECF739FC9}" name="Column5156"/>
    <tableColumn id="5160" xr3:uid="{79607A93-934A-4DB6-9497-5A6F8C6A3B13}" name="Column5157"/>
    <tableColumn id="5161" xr3:uid="{90DA5A85-B956-422E-9CAF-59C36AEFEFA7}" name="Column5158"/>
    <tableColumn id="5162" xr3:uid="{BDFD9A81-0A03-4791-BE19-A0DBC3DBF92C}" name="Column5159"/>
    <tableColumn id="5163" xr3:uid="{6C617E0A-45FA-4DE5-BDE0-5A1F522F3717}" name="Column5160"/>
    <tableColumn id="5164" xr3:uid="{32988A98-69AE-40DF-87A0-F76E9E7C33E1}" name="Column5161"/>
    <tableColumn id="5165" xr3:uid="{5B8C019E-A48C-4C2D-8EA1-17D73D28DA21}" name="Column5162"/>
    <tableColumn id="5166" xr3:uid="{C08A5BA1-DA93-4795-B7D7-E1E8360DB723}" name="Column5163"/>
    <tableColumn id="5167" xr3:uid="{67D53A0A-FE86-4D9E-8E3F-94049DAE5AD3}" name="Column5164"/>
    <tableColumn id="5168" xr3:uid="{339C75D5-3A34-4F78-A6A2-9E988E914D78}" name="Column5165"/>
    <tableColumn id="5169" xr3:uid="{364CEB2F-3750-4A7B-AF54-B337863E8530}" name="Column5166"/>
    <tableColumn id="5170" xr3:uid="{6BF1858A-D425-4376-B86D-28EE35AEEA13}" name="Column5167"/>
    <tableColumn id="5171" xr3:uid="{4C9AFFE6-AA0E-46CF-BD7C-648D4E3B018D}" name="Column5168"/>
    <tableColumn id="5172" xr3:uid="{949677E6-603D-4543-AE29-882BFF209ED6}" name="Column5169"/>
    <tableColumn id="5173" xr3:uid="{27CB8D0F-8356-4621-87BD-B002B060E5EF}" name="Column5170"/>
    <tableColumn id="5174" xr3:uid="{AD133A8C-0581-486D-A3F7-A6FC0AA1DBFE}" name="Column5171"/>
    <tableColumn id="5175" xr3:uid="{8E9ACD2F-7A24-48D0-B1ED-BDDF357459BE}" name="Column5172"/>
    <tableColumn id="5176" xr3:uid="{56541FB2-5B0E-4D4F-B7B3-36F8875BBA1B}" name="Column5173"/>
    <tableColumn id="5177" xr3:uid="{4C4F1102-21D4-4FF3-B27A-54F8F0B8591D}" name="Column5174"/>
    <tableColumn id="5178" xr3:uid="{9CFABB11-5A74-4554-93EF-48D42B2AE9FB}" name="Column5175"/>
    <tableColumn id="5179" xr3:uid="{3ABF4B5C-6186-4FD6-A083-0509C0C3EC25}" name="Column5176"/>
    <tableColumn id="5180" xr3:uid="{B13EC734-A436-42E7-A233-21CC4F32BC1A}" name="Column5177"/>
    <tableColumn id="5181" xr3:uid="{8A38E9ED-72FB-4E04-85DD-82C9CFF0AE67}" name="Column5178"/>
    <tableColumn id="5182" xr3:uid="{E67D8132-2248-4C24-A327-A94E5350C877}" name="Column5179"/>
    <tableColumn id="5183" xr3:uid="{A220EAAE-9E4B-435C-838B-D37054B9FBF4}" name="Column5180"/>
    <tableColumn id="5184" xr3:uid="{3FA6FC3D-44C5-41F5-9044-1B7C4E3822AA}" name="Column5181"/>
    <tableColumn id="5185" xr3:uid="{CC0006BA-37F7-40C5-AF06-053E7192BEDD}" name="Column5182"/>
    <tableColumn id="5186" xr3:uid="{554B99EC-9649-4837-9F15-B2EB3DD5C234}" name="Column5183"/>
    <tableColumn id="5187" xr3:uid="{16010E36-B0AE-4621-8A15-43080E2C4BD9}" name="Column5184"/>
    <tableColumn id="5188" xr3:uid="{3FCBC0FD-351B-4EC6-9E86-A88C6EDF6313}" name="Column5185"/>
    <tableColumn id="5189" xr3:uid="{25DFF533-259F-406D-AC75-CA1AC0405217}" name="Column5186"/>
    <tableColumn id="5190" xr3:uid="{6DD2237D-AF7A-4081-9650-37635B4BB852}" name="Column5187"/>
    <tableColumn id="5191" xr3:uid="{46F4AA84-11AC-4919-9DEA-0F9820BE78ED}" name="Column5188"/>
    <tableColumn id="5192" xr3:uid="{3843F2EE-A895-4CD3-B821-9448778C4A9E}" name="Column5189"/>
    <tableColumn id="5193" xr3:uid="{118236BC-4D91-4257-8602-435F815F9E6E}" name="Column5190"/>
    <tableColumn id="5194" xr3:uid="{9BA73276-9A16-4AB8-BC04-61A8DCE6143F}" name="Column5191"/>
    <tableColumn id="5195" xr3:uid="{4E4B052B-F6D9-49DF-83DC-FFC9839A4A21}" name="Column5192"/>
    <tableColumn id="5196" xr3:uid="{BF67C2AE-F1D7-410E-A978-010DFC1CB7FD}" name="Column5193"/>
    <tableColumn id="5197" xr3:uid="{4C5D3331-3BA5-4886-BD5D-0F58E93FB087}" name="Column5194"/>
    <tableColumn id="5198" xr3:uid="{20FF9E5D-36AD-4708-BF4E-F3FD11E3FFB7}" name="Column5195"/>
    <tableColumn id="5199" xr3:uid="{E457BEA8-B354-4DA9-9DA9-5ED2B628EF15}" name="Column5196"/>
    <tableColumn id="5200" xr3:uid="{9F66F234-A724-45AE-BB9B-A7A27919569B}" name="Column5197"/>
    <tableColumn id="5201" xr3:uid="{C848DF04-671B-4897-8D9E-628E39C718E7}" name="Column5198"/>
    <tableColumn id="5202" xr3:uid="{552C4B49-516A-4EC0-A8C7-251D43D3AE7E}" name="Column5199"/>
    <tableColumn id="5203" xr3:uid="{2E60A515-E2B1-4352-94A3-CDAEB73FD212}" name="Column5200"/>
    <tableColumn id="5204" xr3:uid="{1612DB96-5671-44D7-92E9-9BA519682D8A}" name="Column5201"/>
    <tableColumn id="5205" xr3:uid="{B702700D-B0B6-41FC-B62F-0A0A8B9400F1}" name="Column5202"/>
    <tableColumn id="5206" xr3:uid="{F7E9608D-098C-4F59-AEDA-16AD0098E7EA}" name="Column5203"/>
    <tableColumn id="5207" xr3:uid="{F385A49E-5BFA-4D94-B6E1-04A83D1AB7FA}" name="Column5204"/>
    <tableColumn id="5208" xr3:uid="{535C22B9-AEEB-479E-A6C2-694400EC3EAA}" name="Column5205"/>
    <tableColumn id="5209" xr3:uid="{13866C6D-FE4F-4EF2-AE1C-E2B117266076}" name="Column5206"/>
    <tableColumn id="5210" xr3:uid="{36980E1E-8B84-4A91-899B-DDB56F057FFA}" name="Column5207"/>
    <tableColumn id="5211" xr3:uid="{23DBB48B-40DC-463E-A845-4331B48EE55D}" name="Column5208"/>
    <tableColumn id="5212" xr3:uid="{0441CBB9-ED06-4AB1-8B8A-01953275C2AA}" name="Column5209"/>
    <tableColumn id="5213" xr3:uid="{B26E498F-9909-4A62-9B59-1A0731326E8B}" name="Column5210"/>
    <tableColumn id="5214" xr3:uid="{33F37188-5352-4839-9101-4BCBCC529A8E}" name="Column5211"/>
    <tableColumn id="5215" xr3:uid="{02A7A9ED-2AE7-47D0-AD89-158663D5D549}" name="Column5212"/>
    <tableColumn id="5216" xr3:uid="{837ACD54-547E-494A-93E7-D5154BEFBB32}" name="Column5213"/>
    <tableColumn id="5217" xr3:uid="{FBE8BE89-FE10-4550-A373-D1E984582FFE}" name="Column5214"/>
    <tableColumn id="5218" xr3:uid="{3C146D01-116F-4625-86B0-BC522A91761E}" name="Column5215"/>
    <tableColumn id="5219" xr3:uid="{82AD7038-3A68-42F8-A51D-EB2FD0AACC5E}" name="Column5216"/>
    <tableColumn id="5220" xr3:uid="{3BB7C0AA-DC8B-4733-8B92-25731CC5BDA7}" name="Column5217"/>
    <tableColumn id="5221" xr3:uid="{3CFEBB0E-359C-4DFE-8890-4EB6ABB609BA}" name="Column5218"/>
    <tableColumn id="5222" xr3:uid="{3DCFD070-B633-4DED-8A6A-150094932472}" name="Column5219"/>
    <tableColumn id="5223" xr3:uid="{2C67ACEC-1CA9-4297-BB51-3910C839F936}" name="Column5220"/>
    <tableColumn id="5224" xr3:uid="{170E2DEB-17FC-4D7C-9D62-27D47C9416FB}" name="Column5221"/>
    <tableColumn id="5225" xr3:uid="{2D369B1D-B274-45E2-8EFA-8A738016868E}" name="Column5222"/>
    <tableColumn id="5226" xr3:uid="{C008B8BF-118D-4DB5-AF63-0168A9B916CD}" name="Column5223"/>
    <tableColumn id="5227" xr3:uid="{4C87E761-BF9E-40CF-97FF-7FE49EEC35FD}" name="Column5224"/>
    <tableColumn id="5228" xr3:uid="{1369BE11-1773-498B-AAF1-0A90DA94A6A8}" name="Column5225"/>
    <tableColumn id="5229" xr3:uid="{A10F4535-1F26-4C16-9539-1FC36D7264DF}" name="Column5226"/>
    <tableColumn id="5230" xr3:uid="{75B39621-66A0-40F4-9781-D91712A49C31}" name="Column5227"/>
    <tableColumn id="5231" xr3:uid="{8122BEDC-616C-4958-ABB4-3FCE1C3B69FD}" name="Column5228"/>
    <tableColumn id="5232" xr3:uid="{8442D9B6-AAE3-4059-B514-7D94DBA4D3DF}" name="Column5229"/>
    <tableColumn id="5233" xr3:uid="{D98BFFC1-6809-4580-955B-97F9E235677A}" name="Column5230"/>
    <tableColumn id="5234" xr3:uid="{1A7E7C5F-E3B8-4871-A2F9-363A4F22F19E}" name="Column5231"/>
    <tableColumn id="5235" xr3:uid="{4F40668D-5384-44D9-BF1C-CF26CB30DC21}" name="Column5232"/>
    <tableColumn id="5236" xr3:uid="{A0BEBE8D-B780-4234-BB0F-CF385DA01A04}" name="Column5233"/>
    <tableColumn id="5237" xr3:uid="{0BE56EBC-E7B8-4CCA-8471-C4BCF1366BD9}" name="Column5234"/>
    <tableColumn id="5238" xr3:uid="{8FCCA16F-9129-4BC4-8B7A-99435D9B8354}" name="Column5235"/>
    <tableColumn id="5239" xr3:uid="{5770BC34-EAE5-448C-94A8-616382283794}" name="Column5236"/>
    <tableColumn id="5240" xr3:uid="{7C5BA972-3FDD-48C4-8153-46392B904FFD}" name="Column5237"/>
    <tableColumn id="5241" xr3:uid="{3FB8A0C1-CE08-4AB1-81FC-FC14F27D8167}" name="Column5238"/>
    <tableColumn id="5242" xr3:uid="{FEB1D385-CD45-4846-9296-9FFE2313CDEC}" name="Column5239"/>
    <tableColumn id="5243" xr3:uid="{98C39786-5ED6-4817-ABCC-D6F21B1C912F}" name="Column5240"/>
    <tableColumn id="5244" xr3:uid="{9EE6E1DC-9A68-4155-A26E-EB703D608BEC}" name="Column5241"/>
    <tableColumn id="5245" xr3:uid="{22F8A2D1-5CA2-492C-96C6-4F4E41C742C3}" name="Column5242"/>
    <tableColumn id="5246" xr3:uid="{ACE3E0CC-E666-4FE3-84FB-D0FECA4A84C7}" name="Column5243"/>
    <tableColumn id="5247" xr3:uid="{681943E1-9557-495F-A7E8-52DFB32C8652}" name="Column5244"/>
    <tableColumn id="5248" xr3:uid="{F65132C4-D67C-41DE-B3B4-7709C12336E6}" name="Column5245"/>
    <tableColumn id="5249" xr3:uid="{C0A0608A-F575-4E7D-8F43-9917CA92C4BE}" name="Column5246"/>
    <tableColumn id="5250" xr3:uid="{584B4D6F-9447-456C-847F-43BEB19B7D61}" name="Column5247"/>
    <tableColumn id="5251" xr3:uid="{60AB96EB-81A9-4B8A-96C3-77BD31B00960}" name="Column5248"/>
    <tableColumn id="5252" xr3:uid="{CDF46106-0225-41BF-A9B3-75CA45D0BE50}" name="Column5249"/>
    <tableColumn id="5253" xr3:uid="{B61F0AE1-0721-4F32-8D05-FAE0644AAD04}" name="Column5250"/>
    <tableColumn id="5254" xr3:uid="{92A7B1B7-33D9-4615-86B1-3A44623D63DE}" name="Column5251"/>
    <tableColumn id="5255" xr3:uid="{AE6CC59D-0BFE-4A69-BF0B-5E7415427FD8}" name="Column5252"/>
    <tableColumn id="5256" xr3:uid="{0C977E87-443A-4613-8537-81903D8571D9}" name="Column5253"/>
    <tableColumn id="5257" xr3:uid="{0414AB59-8290-491A-B247-CDC00983F41D}" name="Column5254"/>
    <tableColumn id="5258" xr3:uid="{9619E985-7975-4068-A9AE-BCBBA3FAA3F9}" name="Column5255"/>
    <tableColumn id="5259" xr3:uid="{89EED429-86FB-4B4B-A820-9D62C9DEF935}" name="Column5256"/>
    <tableColumn id="5260" xr3:uid="{64D813E9-9685-427B-B0B1-B72D308436CE}" name="Column5257"/>
    <tableColumn id="5261" xr3:uid="{3C842DAC-3306-4E8B-A594-EC186FA0E42D}" name="Column5258"/>
    <tableColumn id="5262" xr3:uid="{BB239D92-0603-4C2E-B655-CE8DDBBD2F9A}" name="Column5259"/>
    <tableColumn id="5263" xr3:uid="{46CD4F98-3E7C-4D08-8C1E-C0211721FC3B}" name="Column5260"/>
    <tableColumn id="5264" xr3:uid="{0ACEC07E-EFBF-4322-8372-2B7F30917744}" name="Column5261"/>
    <tableColumn id="5265" xr3:uid="{4A15F5C4-8638-4BAF-8E52-64D0DB97F236}" name="Column5262"/>
    <tableColumn id="5266" xr3:uid="{C9DD227B-0D97-4811-BF17-C0D1C75870D4}" name="Column5263"/>
    <tableColumn id="5267" xr3:uid="{57CECEBD-5EDF-4277-AF1D-3A52CFD8C37C}" name="Column5264"/>
    <tableColumn id="5268" xr3:uid="{B494EE3A-06B9-4424-A7C3-2724932BD34D}" name="Column5265"/>
    <tableColumn id="5269" xr3:uid="{F3DC2728-2286-4E62-99EA-64C3E9DF4D7B}" name="Column5266"/>
    <tableColumn id="5270" xr3:uid="{C37F8FB1-7470-437A-8748-5245414FAE64}" name="Column5267"/>
    <tableColumn id="5271" xr3:uid="{E0C0C6A5-C6FE-4318-82C8-9390A2030179}" name="Column5268"/>
    <tableColumn id="5272" xr3:uid="{52040793-D228-4D38-AAF9-48BF1AE9FE33}" name="Column5269"/>
    <tableColumn id="5273" xr3:uid="{236CA900-44B9-421C-860F-9B8E144D2812}" name="Column5270"/>
    <tableColumn id="5274" xr3:uid="{F895AA11-3C0E-4FDE-9C70-6BA245CCCE98}" name="Column5271"/>
    <tableColumn id="5275" xr3:uid="{AEA8CC6E-87E1-470D-9E35-A58F8C1D5681}" name="Column5272"/>
    <tableColumn id="5276" xr3:uid="{0C97BE33-D45D-4946-A112-22029E979231}" name="Column5273"/>
    <tableColumn id="5277" xr3:uid="{46929897-A171-4A46-A227-90872494CE38}" name="Column5274"/>
    <tableColumn id="5278" xr3:uid="{531FCE5E-3D6E-48B7-A3AB-E352597200FA}" name="Column5275"/>
    <tableColumn id="5279" xr3:uid="{481C9C34-EFFB-43E8-AC34-494CECBF3620}" name="Column5276"/>
    <tableColumn id="5280" xr3:uid="{F48C0677-9CCB-448F-B2DA-1DFEF617DCC4}" name="Column5277"/>
    <tableColumn id="5281" xr3:uid="{0F1C7FB8-497E-4508-B9DF-7F3F227EFB41}" name="Column5278"/>
    <tableColumn id="5282" xr3:uid="{5C0F4A42-47D2-4250-A98C-955C18141CF7}" name="Column5279"/>
    <tableColumn id="5283" xr3:uid="{0A9018FF-E94A-4999-AF37-20078C54A371}" name="Column5280"/>
    <tableColumn id="5284" xr3:uid="{524DD2ED-E5FB-4972-81BD-4FF38E9C15CE}" name="Column5281"/>
    <tableColumn id="5285" xr3:uid="{2C1A6A73-CDC7-4964-B0EB-5FC06147233A}" name="Column5282"/>
    <tableColumn id="5286" xr3:uid="{F014401B-52A5-4233-B6B0-DA207E279938}" name="Column5283"/>
    <tableColumn id="5287" xr3:uid="{F46BED9F-21A0-4073-ACCC-CA08384A9A5B}" name="Column5284"/>
    <tableColumn id="5288" xr3:uid="{05096800-9A6A-4C18-91C6-52D621062F77}" name="Column5285"/>
    <tableColumn id="5289" xr3:uid="{2850E82D-794A-4632-9D09-073E28675D39}" name="Column5286"/>
    <tableColumn id="5290" xr3:uid="{DCA6CBBF-987C-4E70-8090-76F6796E5EDA}" name="Column5287"/>
    <tableColumn id="5291" xr3:uid="{91793AA1-D85D-4B5E-9348-6226AD51D313}" name="Column5288"/>
    <tableColumn id="5292" xr3:uid="{B1205061-B27F-4670-8B14-51DC9EBA0A0F}" name="Column5289"/>
    <tableColumn id="5293" xr3:uid="{4F62AB39-66CD-45B2-B09E-E933A15608D1}" name="Column5290"/>
    <tableColumn id="5294" xr3:uid="{F660A522-C5F0-4008-98EB-7200B1C9B22C}" name="Column5291"/>
    <tableColumn id="5295" xr3:uid="{CD4B3353-B80C-4D27-96EA-14A95E0A8110}" name="Column5292"/>
    <tableColumn id="5296" xr3:uid="{AC8C3FF4-858D-4F0E-B56D-5FFC646DBA25}" name="Column5293"/>
    <tableColumn id="5297" xr3:uid="{B3050279-7EFA-4363-BA18-966FEB46588C}" name="Column5294"/>
    <tableColumn id="5298" xr3:uid="{C917F35F-3F87-4F78-8F37-A38A87AA1D59}" name="Column5295"/>
    <tableColumn id="5299" xr3:uid="{BBC716FA-6144-4B8F-9326-F8EC497B7AF7}" name="Column5296"/>
    <tableColumn id="5300" xr3:uid="{52CF7727-5BCB-4C4A-824A-73AFFAED63C8}" name="Column5297"/>
    <tableColumn id="5301" xr3:uid="{1DC529B2-B684-4376-BB34-584A8B670138}" name="Column5298"/>
    <tableColumn id="5302" xr3:uid="{D15F3DD0-30C8-4CEF-BF32-C4DC846AAE4F}" name="Column5299"/>
    <tableColumn id="5303" xr3:uid="{EDCA37BD-9ACC-4107-89E5-77851C9FC23E}" name="Column5300"/>
    <tableColumn id="5304" xr3:uid="{16A20B01-0BF6-4802-870C-DD01BB99C7A6}" name="Column5301"/>
    <tableColumn id="5305" xr3:uid="{BF00FB2B-8129-485F-963E-2D32BB2A0C60}" name="Column5302"/>
    <tableColumn id="5306" xr3:uid="{C5CE1B36-E718-4080-B084-C3E08292C56B}" name="Column5303"/>
    <tableColumn id="5307" xr3:uid="{24748CF0-D96D-4FF2-8458-FABB17BEF20C}" name="Column5304"/>
    <tableColumn id="5308" xr3:uid="{1A071BAC-23D2-4A41-A989-52C65613CC65}" name="Column5305"/>
    <tableColumn id="5309" xr3:uid="{8E2E2E43-D1F5-45CE-96D0-3E20361C8A0F}" name="Column5306"/>
    <tableColumn id="5310" xr3:uid="{57EEE4AC-826C-4DEA-B416-7DB51A2F3B08}" name="Column5307"/>
    <tableColumn id="5311" xr3:uid="{FC94CA47-D4B2-41B6-8E5F-9BBC5D54FBAF}" name="Column5308"/>
    <tableColumn id="5312" xr3:uid="{D28628B2-0FEA-45F7-A654-C7F0D9C8E55A}" name="Column5309"/>
    <tableColumn id="5313" xr3:uid="{5E092F59-D717-4FB7-8C84-892B4F0CBC56}" name="Column5310"/>
    <tableColumn id="5314" xr3:uid="{F8A17711-39E7-4D8C-B6BF-7D76BBEDE25E}" name="Column5311"/>
    <tableColumn id="5315" xr3:uid="{9403953D-543D-4DA4-910B-8DE9DEFF503D}" name="Column5312"/>
    <tableColumn id="5316" xr3:uid="{5CE0F74C-C6BF-4568-8D90-D14D7DFB27AC}" name="Column5313"/>
    <tableColumn id="5317" xr3:uid="{71B09D68-6286-4CCC-84CB-628077C01B46}" name="Column5314"/>
    <tableColumn id="5318" xr3:uid="{7EAB6DA6-6D0D-4A5F-A990-9F9B934921AC}" name="Column5315"/>
    <tableColumn id="5319" xr3:uid="{35DD74AB-E6C4-40E4-ADEE-B2E358D6C8EC}" name="Column5316"/>
    <tableColumn id="5320" xr3:uid="{A99E7216-3C79-4F9B-B8F8-F13EEE230AC4}" name="Column5317"/>
    <tableColumn id="5321" xr3:uid="{FC23D6C5-A868-4E37-B29A-E6D924CE4DA5}" name="Column5318"/>
    <tableColumn id="5322" xr3:uid="{F259FD1E-AFAD-4883-9EED-DDAF67DE1334}" name="Column5319"/>
    <tableColumn id="5323" xr3:uid="{42C11BBF-A763-440F-A893-02C87D56402E}" name="Column5320"/>
    <tableColumn id="5324" xr3:uid="{B345C71E-7F9C-4695-9916-B54AB0317B2A}" name="Column5321"/>
    <tableColumn id="5325" xr3:uid="{7933FEA0-3185-41BB-A3BA-88662BE564D7}" name="Column5322"/>
    <tableColumn id="5326" xr3:uid="{0DA29BE9-BA18-4B54-BCCC-E7F93A8E68C0}" name="Column5323"/>
    <tableColumn id="5327" xr3:uid="{66B3D730-77B0-4198-BC34-3D0C6A590C6B}" name="Column5324"/>
    <tableColumn id="5328" xr3:uid="{5EA95214-551E-4457-B270-31632D148D67}" name="Column5325"/>
    <tableColumn id="5329" xr3:uid="{E2F34F31-A7CC-468F-A992-487FD97B4220}" name="Column5326"/>
    <tableColumn id="5330" xr3:uid="{B8E44609-4C2F-475D-AAF1-A2892FF8FD86}" name="Column5327"/>
    <tableColumn id="5331" xr3:uid="{12034AAA-A97F-45F1-81AE-23C652BEB427}" name="Column5328"/>
    <tableColumn id="5332" xr3:uid="{BA4930E8-C276-4E0D-8673-F6E50771F1E9}" name="Column5329"/>
    <tableColumn id="5333" xr3:uid="{E6939122-9B56-4D46-AEC8-3BC5D0A7487E}" name="Column5330"/>
    <tableColumn id="5334" xr3:uid="{92C8E091-F561-4D97-8E34-DC22B0133EB3}" name="Column5331"/>
    <tableColumn id="5335" xr3:uid="{054F60E2-E1E2-40DA-BEBF-5F014B1BDCCB}" name="Column5332"/>
    <tableColumn id="5336" xr3:uid="{1E135798-4FD6-48D4-9FEB-B538C09C458B}" name="Column5333"/>
    <tableColumn id="5337" xr3:uid="{8A988D2F-38E6-4091-A3D5-57C75F8C90C8}" name="Column5334"/>
    <tableColumn id="5338" xr3:uid="{77898EB6-8BB4-4644-A9C4-87BC1D432606}" name="Column5335"/>
    <tableColumn id="5339" xr3:uid="{BE3D11FA-52E0-4D51-89C3-C6F744F467D2}" name="Column5336"/>
    <tableColumn id="5340" xr3:uid="{D1AD998A-99BD-45C7-A547-CE085082D242}" name="Column5337"/>
    <tableColumn id="5341" xr3:uid="{228E5BB7-623C-4332-AAAF-F1F0EC6C2A78}" name="Column5338"/>
    <tableColumn id="5342" xr3:uid="{97B9D5DF-2925-4794-8878-EE976F7025F8}" name="Column5339"/>
    <tableColumn id="5343" xr3:uid="{45DF1123-D8ED-48D9-A9ED-B2F984FE1A5C}" name="Column5340"/>
    <tableColumn id="5344" xr3:uid="{3B66F6B5-F42F-4945-9123-193E23DB7079}" name="Column5341"/>
    <tableColumn id="5345" xr3:uid="{509784B2-94E6-42D1-A4D5-60E27196E88B}" name="Column5342"/>
    <tableColumn id="5346" xr3:uid="{B3C5D470-1046-4292-8BE9-4FCFF4B6F5EC}" name="Column5343"/>
    <tableColumn id="5347" xr3:uid="{413D223E-0F75-4AD0-A442-82779E7A286C}" name="Column5344"/>
    <tableColumn id="5348" xr3:uid="{7D420A0B-748F-45C9-ABED-B5604DF6AAEB}" name="Column5345"/>
    <tableColumn id="5349" xr3:uid="{456BD459-F9C1-4A4C-B16E-832D897F4A8D}" name="Column5346"/>
    <tableColumn id="5350" xr3:uid="{59388913-00CE-4629-A465-F0C7845E98B1}" name="Column5347"/>
    <tableColumn id="5351" xr3:uid="{7CAA2E13-66D1-48A5-80DC-5783549BB6C0}" name="Column5348"/>
    <tableColumn id="5352" xr3:uid="{72684C69-899B-450D-A7E3-94EBCEF14416}" name="Column5349"/>
    <tableColumn id="5353" xr3:uid="{2E118636-CBFA-4B54-996C-A69D5CC6F449}" name="Column5350"/>
    <tableColumn id="5354" xr3:uid="{FA8A3BFB-28F7-4224-90CD-63986B7EF4E9}" name="Column5351"/>
    <tableColumn id="5355" xr3:uid="{30BAD378-1F15-4635-B2DA-E702857439C5}" name="Column5352"/>
    <tableColumn id="5356" xr3:uid="{3C0E9AB4-F624-45DF-B201-EA1D81023E00}" name="Column5353"/>
    <tableColumn id="5357" xr3:uid="{2E713913-BB67-4F79-B394-CB78D88E2543}" name="Column5354"/>
    <tableColumn id="5358" xr3:uid="{46A9E891-DF13-449D-9969-26607A618C0D}" name="Column5355"/>
    <tableColumn id="5359" xr3:uid="{6ABE8D9B-1553-432A-B802-979E46B787EC}" name="Column5356"/>
    <tableColumn id="5360" xr3:uid="{DE726AAF-15C9-4B74-BED7-2500F5BF61C0}" name="Column5357"/>
    <tableColumn id="5361" xr3:uid="{4B9E593B-674B-4F6F-9B75-E0FB20CAE4EB}" name="Column5358"/>
    <tableColumn id="5362" xr3:uid="{A8F4EFA8-5B9D-4C02-9D72-010EDDEFA4F4}" name="Column5359"/>
    <tableColumn id="5363" xr3:uid="{586C931A-401F-4E67-A1FA-4913E61D9994}" name="Column5360"/>
    <tableColumn id="5364" xr3:uid="{EA0C1FC9-CF01-4D5D-BC8B-A2D75368150A}" name="Column5361"/>
    <tableColumn id="5365" xr3:uid="{83665768-927D-4D1F-9106-603D8A2B957E}" name="Column5362"/>
    <tableColumn id="5366" xr3:uid="{3440CF51-A762-4131-948B-96151E8DCAEC}" name="Column5363"/>
    <tableColumn id="5367" xr3:uid="{0D1C74EF-E935-4A21-AB0C-CF976094378C}" name="Column5364"/>
    <tableColumn id="5368" xr3:uid="{C39E0174-9323-4860-9897-2942C35D7830}" name="Column5365"/>
    <tableColumn id="5369" xr3:uid="{F3A42039-B9BA-4D8B-AC87-2E1FAE41AEA3}" name="Column5366"/>
    <tableColumn id="5370" xr3:uid="{229CF98C-71E1-4774-98F2-54E7F359293C}" name="Column5367"/>
    <tableColumn id="5371" xr3:uid="{381C616E-0A43-4C4A-A1FD-D5CB39AC1B49}" name="Column5368"/>
    <tableColumn id="5372" xr3:uid="{A11D6753-6CAB-4CA0-9DAB-F778C822069B}" name="Column5369"/>
    <tableColumn id="5373" xr3:uid="{649CD7FE-26EA-47E8-BB50-4926E828F4FE}" name="Column5370"/>
    <tableColumn id="5374" xr3:uid="{C0F8F27D-9FBA-4BBC-8E78-643F1F9173EA}" name="Column5371"/>
    <tableColumn id="5375" xr3:uid="{3BAFF0CD-E097-42C8-B540-AC9427088AD5}" name="Column5372"/>
    <tableColumn id="5376" xr3:uid="{56270D99-7C4D-41FE-8A52-038F2AFFD812}" name="Column5373"/>
    <tableColumn id="5377" xr3:uid="{8BA8386D-6593-4B76-8571-58ACD69CFE11}" name="Column5374"/>
    <tableColumn id="5378" xr3:uid="{FDED9EAF-C609-40E0-BF87-CC0E3B1D5A9D}" name="Column5375"/>
    <tableColumn id="5379" xr3:uid="{6F36E485-7BE4-457A-9FE4-34A419A1AEFD}" name="Column5376"/>
    <tableColumn id="5380" xr3:uid="{4C643D3A-F1E7-4222-A77C-2DAE691F0C39}" name="Column5377"/>
    <tableColumn id="5381" xr3:uid="{E65B9B97-4D8B-44CE-8563-F2B1A583F948}" name="Column5378"/>
    <tableColumn id="5382" xr3:uid="{845FC669-A51E-4B2F-A3DC-1532582280AC}" name="Column5379"/>
    <tableColumn id="5383" xr3:uid="{B8ACE89B-A904-4D0B-B193-AA7886939B6B}" name="Column5380"/>
    <tableColumn id="5384" xr3:uid="{11B1C781-F821-408F-BC54-5BF1272FA249}" name="Column5381"/>
    <tableColumn id="5385" xr3:uid="{248AF6B9-E4AB-41D8-96FD-62C44AAE516F}" name="Column5382"/>
    <tableColumn id="5386" xr3:uid="{9BA0D885-1D0D-4385-8639-606E4E398918}" name="Column5383"/>
    <tableColumn id="5387" xr3:uid="{AAA77A71-DE79-4402-B89C-26248B0B07E2}" name="Column5384"/>
    <tableColumn id="5388" xr3:uid="{A1736EB0-E2F2-44F8-BF07-5A54B345F81E}" name="Column5385"/>
    <tableColumn id="5389" xr3:uid="{5AA32D81-7C77-4A6F-8E92-66C254C69C3F}" name="Column5386"/>
    <tableColumn id="5390" xr3:uid="{4DD4715A-CE63-4D25-8BE0-45C0F1FFE7B5}" name="Column5387"/>
    <tableColumn id="5391" xr3:uid="{65905A72-AD34-4212-B551-FD838F09831A}" name="Column5388"/>
    <tableColumn id="5392" xr3:uid="{27B5187F-8021-4076-9E75-98E05A304047}" name="Column5389"/>
    <tableColumn id="5393" xr3:uid="{DE4C8ADF-C932-47A3-88F9-369944B3224A}" name="Column5390"/>
    <tableColumn id="5394" xr3:uid="{BB9C4A7C-D780-4B38-8BD0-63323D6FE0AF}" name="Column5391"/>
    <tableColumn id="5395" xr3:uid="{0E94C257-CAB4-4B95-A3E5-FAC574075F59}" name="Column5392"/>
    <tableColumn id="5396" xr3:uid="{9FD3FDB2-6DBB-4E07-AE99-904BAE62E40B}" name="Column5393"/>
    <tableColumn id="5397" xr3:uid="{8F56D444-3EC2-4084-B367-02D6E231E8D4}" name="Column5394"/>
    <tableColumn id="5398" xr3:uid="{0A2846B3-B541-4281-8245-40A9F7B95911}" name="Column5395"/>
    <tableColumn id="5399" xr3:uid="{D6F154D8-70C7-4EA9-92E3-9E70B5CA697B}" name="Column5396"/>
    <tableColumn id="5400" xr3:uid="{5A7A1D89-54E1-4811-A506-F10DC61095C3}" name="Column5397"/>
    <tableColumn id="5401" xr3:uid="{637CBFE2-BC25-4FD9-A0C5-4A5F5DB3C2ED}" name="Column5398"/>
    <tableColumn id="5402" xr3:uid="{F1368B35-7896-41CA-85F3-B616748C095E}" name="Column5399"/>
    <tableColumn id="5403" xr3:uid="{1E3BC486-2426-4C41-8460-34D49C299690}" name="Column5400"/>
    <tableColumn id="5404" xr3:uid="{9ABF616F-DBF1-42E9-8FD9-C7177F5A21EA}" name="Column5401"/>
    <tableColumn id="5405" xr3:uid="{484E9F52-0481-4AB6-8A75-41D7092756C9}" name="Column5402"/>
    <tableColumn id="5406" xr3:uid="{D68A75AB-716B-4BFC-BF51-40B30CE64C73}" name="Column5403"/>
    <tableColumn id="5407" xr3:uid="{56B167CF-713A-4189-9782-F43BA0E1FB4B}" name="Column5404"/>
    <tableColumn id="5408" xr3:uid="{AF1768E5-19EF-44FB-849A-52DF04FED181}" name="Column5405"/>
    <tableColumn id="5409" xr3:uid="{F2243BC5-BB79-47BE-A476-F4A656C8E3BD}" name="Column5406"/>
    <tableColumn id="5410" xr3:uid="{71135E32-2FC4-443A-B5E4-BD653FA3E7A3}" name="Column5407"/>
    <tableColumn id="5411" xr3:uid="{01082A27-C48C-467A-8134-608475DEBCF9}" name="Column5408"/>
    <tableColumn id="5412" xr3:uid="{5BEF36AD-28AE-4C09-B4AA-654DD832490E}" name="Column5409"/>
    <tableColumn id="5413" xr3:uid="{F5A7BA1B-FAF5-4B08-8B96-EB517D08489C}" name="Column5410"/>
    <tableColumn id="5414" xr3:uid="{E4CF0E98-BB01-41AE-BA24-1F652A264098}" name="Column5411"/>
    <tableColumn id="5415" xr3:uid="{504F77A4-F432-4311-A6F8-67520D1EE586}" name="Column5412"/>
    <tableColumn id="5416" xr3:uid="{BE7DE876-07AD-4E08-A128-89AA087474DD}" name="Column5413"/>
    <tableColumn id="5417" xr3:uid="{D37F526A-3335-4C8C-BA21-18181C5E0695}" name="Column5414"/>
    <tableColumn id="5418" xr3:uid="{0495DF34-1777-4B28-B3EF-E4124C09118D}" name="Column5415"/>
    <tableColumn id="5419" xr3:uid="{9BE928C7-7F08-408C-8825-085A59BAC3A7}" name="Column5416"/>
    <tableColumn id="5420" xr3:uid="{D0A0B8C1-FEC4-450B-90FB-825716D42D1E}" name="Column5417"/>
    <tableColumn id="5421" xr3:uid="{91C3C05E-949B-42B5-B8D1-7C0D6EB39E9D}" name="Column5418"/>
    <tableColumn id="5422" xr3:uid="{C946C671-4480-4057-A3A9-CCA8DC7C5F0D}" name="Column5419"/>
    <tableColumn id="5423" xr3:uid="{49C7CF5B-EF39-4E01-9310-6CD3CE6B5E43}" name="Column5420"/>
    <tableColumn id="5424" xr3:uid="{5A85882E-6894-4088-A37C-C117564CDA3F}" name="Column5421"/>
    <tableColumn id="5425" xr3:uid="{23B9ABE2-90C0-49EF-ADFB-3A7E48020A71}" name="Column5422"/>
    <tableColumn id="5426" xr3:uid="{27231F85-6907-467F-800A-14C169A71A9F}" name="Column5423"/>
    <tableColumn id="5427" xr3:uid="{189D596D-A2B0-4ABB-809A-04E7753EFD92}" name="Column5424"/>
    <tableColumn id="5428" xr3:uid="{86047F16-019B-4185-B238-42C2A60FB713}" name="Column5425"/>
    <tableColumn id="5429" xr3:uid="{B86D2FF9-AA0A-4612-A342-42975295A45B}" name="Column5426"/>
    <tableColumn id="5430" xr3:uid="{FEB85DA6-E82E-4B77-A5AB-00E224F59857}" name="Column5427"/>
    <tableColumn id="5431" xr3:uid="{FE388E5A-60BE-4680-AB5F-DBA7D942DACF}" name="Column5428"/>
    <tableColumn id="5432" xr3:uid="{74FE2FCD-04F4-44BD-A4EF-67396135E628}" name="Column5429"/>
    <tableColumn id="5433" xr3:uid="{BC1EA8B0-C1CC-4E2A-89D9-AE0D1D05A950}" name="Column5430"/>
    <tableColumn id="5434" xr3:uid="{1F547517-EDC7-49B2-9991-519EF020B356}" name="Column5431"/>
    <tableColumn id="5435" xr3:uid="{2968B4D5-D5EC-40FD-9E1C-47F9FFA51904}" name="Column5432"/>
    <tableColumn id="5436" xr3:uid="{BDD96D3C-AD0B-44C2-889B-1818059A6769}" name="Column5433"/>
    <tableColumn id="5437" xr3:uid="{4A854D9F-5458-4046-BD3E-5D71AACD7D97}" name="Column5434"/>
    <tableColumn id="5438" xr3:uid="{9FDDF17C-7869-4DA1-93DB-163D1C894B55}" name="Column5435"/>
    <tableColumn id="5439" xr3:uid="{099D1A73-CD0D-49EF-9394-E0DB0604D65A}" name="Column5436"/>
    <tableColumn id="5440" xr3:uid="{5C45AD00-AF1D-4FA0-86CF-47B902AF5084}" name="Column5437"/>
    <tableColumn id="5441" xr3:uid="{C2536237-3FB9-4974-94A0-A1BBD9051C1B}" name="Column5438"/>
    <tableColumn id="5442" xr3:uid="{450813E8-4313-4DD4-B060-AACCDFBFF64E}" name="Column5439"/>
    <tableColumn id="5443" xr3:uid="{D18B247F-B1FC-4470-8E42-32FAB693CF76}" name="Column5440"/>
    <tableColumn id="5444" xr3:uid="{2E1265F5-696F-4FFD-BED3-AD988F0A51CC}" name="Column5441"/>
    <tableColumn id="5445" xr3:uid="{AE0F6B38-8194-46BF-AD81-86D4D0B52198}" name="Column5442"/>
    <tableColumn id="5446" xr3:uid="{A57E2407-69BA-4C82-A8A0-7B08869A9900}" name="Column5443"/>
    <tableColumn id="5447" xr3:uid="{3DF81C8F-3183-419F-8ED2-F29C2393095D}" name="Column5444"/>
    <tableColumn id="5448" xr3:uid="{3DD50F61-7782-405C-9124-4F3C1129F546}" name="Column5445"/>
    <tableColumn id="5449" xr3:uid="{01BABBA0-5AF8-4037-9086-2DAA806D4A49}" name="Column5446"/>
    <tableColumn id="5450" xr3:uid="{C836B8EB-F4FE-4275-BA94-0D2379FE99E3}" name="Column5447"/>
    <tableColumn id="5451" xr3:uid="{5B47AC7C-7282-413D-A0E8-6D2113DEF8E7}" name="Column5448"/>
    <tableColumn id="5452" xr3:uid="{ED038FEF-F147-4E77-B4AA-4CF48F5932B6}" name="Column5449"/>
    <tableColumn id="5453" xr3:uid="{7A47D250-07FF-438C-8FCE-929AFE20B65C}" name="Column5450"/>
    <tableColumn id="5454" xr3:uid="{70EED9F3-DE67-4159-AAD1-4C6E2766D188}" name="Column5451"/>
    <tableColumn id="5455" xr3:uid="{DD2234FA-4F3D-4C96-9EBE-CCA22862C804}" name="Column5452"/>
    <tableColumn id="5456" xr3:uid="{39285F05-A24F-4DD4-874F-FBA90414BC0E}" name="Column5453"/>
    <tableColumn id="5457" xr3:uid="{B7477F0D-D96C-4CD3-86FA-10BAF01C178E}" name="Column5454"/>
    <tableColumn id="5458" xr3:uid="{49F43F71-CAE8-48BF-8A38-A5CB7DB82469}" name="Column5455"/>
    <tableColumn id="5459" xr3:uid="{41A81AAE-D267-4CDC-9D5B-16542231066C}" name="Column5456"/>
    <tableColumn id="5460" xr3:uid="{4E66421E-7765-4822-BC9F-E65DA6845769}" name="Column5457"/>
    <tableColumn id="5461" xr3:uid="{0A905D79-8162-4977-99FE-841975F7CEB0}" name="Column5458"/>
    <tableColumn id="5462" xr3:uid="{202AB5E9-2670-48B3-9D54-8C4CEEBD2B47}" name="Column5459"/>
    <tableColumn id="5463" xr3:uid="{FAFD9331-A9F6-4FF9-9B01-81B076C03306}" name="Column5460"/>
    <tableColumn id="5464" xr3:uid="{80188A93-58C5-4B77-BA52-C4E18FC93BD2}" name="Column5461"/>
    <tableColumn id="5465" xr3:uid="{1FE7AE1D-E2EE-4D3E-A804-D186F3B576FD}" name="Column5462"/>
    <tableColumn id="5466" xr3:uid="{AF73A989-A0CB-4503-B5F3-BC75767DB25D}" name="Column5463"/>
    <tableColumn id="5467" xr3:uid="{954DF21B-AA4C-4DBB-9925-004AC03AD0B2}" name="Column5464"/>
    <tableColumn id="5468" xr3:uid="{9235D953-B938-4114-8376-D39CA5DA7DCE}" name="Column5465"/>
    <tableColumn id="5469" xr3:uid="{AE5EAF94-7641-4D09-8743-5B2DBD01192F}" name="Column5466"/>
    <tableColumn id="5470" xr3:uid="{95581A70-B33F-45D5-8353-A6D63058BC93}" name="Column5467"/>
    <tableColumn id="5471" xr3:uid="{5DC7ED45-7100-4308-A797-2B8644BB8ECC}" name="Column5468"/>
    <tableColumn id="5472" xr3:uid="{DE880FB7-4F00-4224-A018-C5E54C440AD4}" name="Column5469"/>
    <tableColumn id="5473" xr3:uid="{D85C2582-32E0-40BD-A34B-2962C578730F}" name="Column5470"/>
    <tableColumn id="5474" xr3:uid="{8E2A7BED-4B82-4277-BC49-25FC1819B554}" name="Column5471"/>
    <tableColumn id="5475" xr3:uid="{5EDF00DD-3183-4C35-8394-88F27FEA6E04}" name="Column5472"/>
    <tableColumn id="5476" xr3:uid="{823149A4-0169-4BCE-9A0C-54D0EE27FDF5}" name="Column5473"/>
    <tableColumn id="5477" xr3:uid="{56311DC0-FC80-4F96-9807-F4696B727523}" name="Column5474"/>
    <tableColumn id="5478" xr3:uid="{C04425C6-8F2C-4A67-90E9-62B3A4FAC58F}" name="Column5475"/>
    <tableColumn id="5479" xr3:uid="{1DC31346-EAB1-420E-9F52-54BAAAA5B1FC}" name="Column5476"/>
    <tableColumn id="5480" xr3:uid="{7EB7CCCD-9E17-4E0F-9E03-2ED47DA0BC9A}" name="Column5477"/>
    <tableColumn id="5481" xr3:uid="{DE7C4661-E4C1-44EA-8BBE-777A622BCD2B}" name="Column5478"/>
    <tableColumn id="5482" xr3:uid="{2F45D290-2C57-49E5-B940-328BF45757FA}" name="Column5479"/>
    <tableColumn id="5483" xr3:uid="{B50AAE65-9AAF-440E-A4C9-C2AF7B813452}" name="Column5480"/>
    <tableColumn id="5484" xr3:uid="{146AC038-9D7F-487D-B967-844BE3BAAE5A}" name="Column5481"/>
    <tableColumn id="5485" xr3:uid="{9C2E8DC2-623B-4181-AA84-B320BEA00491}" name="Column5482"/>
    <tableColumn id="5486" xr3:uid="{FEF932C8-435F-4689-848D-DBE2E0F1F726}" name="Column5483"/>
    <tableColumn id="5487" xr3:uid="{2179238D-058E-49E8-AC9D-D9155F785A0C}" name="Column5484"/>
    <tableColumn id="5488" xr3:uid="{8B714ABF-32D1-4E1E-965F-059439175056}" name="Column5485"/>
    <tableColumn id="5489" xr3:uid="{5C362D0E-CD72-4D10-8ECC-6F36ECBF68E4}" name="Column5486"/>
    <tableColumn id="5490" xr3:uid="{C7E2BEAF-5FD2-4F63-9933-2DDAD37EF09D}" name="Column5487"/>
    <tableColumn id="5491" xr3:uid="{8B194204-097F-411C-9A1C-D49C86E1EF2C}" name="Column5488"/>
    <tableColumn id="5492" xr3:uid="{1029B67E-CD85-4B0F-99CC-D86459FADF9E}" name="Column5489"/>
    <tableColumn id="5493" xr3:uid="{BC3452D4-C60A-4597-995D-54CDDADE2B81}" name="Column5490"/>
    <tableColumn id="5494" xr3:uid="{9925E96E-D21C-4875-AA1B-D9768313D25B}" name="Column5491"/>
    <tableColumn id="5495" xr3:uid="{F87DE65D-73C3-42B1-A047-BA71992AFAB1}" name="Column5492"/>
    <tableColumn id="5496" xr3:uid="{ACABF865-93D9-4B3B-A65F-4DE9CF00A0AD}" name="Column5493"/>
    <tableColumn id="5497" xr3:uid="{55502EC3-859C-4095-BD11-27F2F1BA7A16}" name="Column5494"/>
    <tableColumn id="5498" xr3:uid="{F9DB5257-004A-4194-B92A-0355E834E22F}" name="Column5495"/>
    <tableColumn id="5499" xr3:uid="{A34252E2-89B7-46F7-8E32-20B5952A6509}" name="Column5496"/>
    <tableColumn id="5500" xr3:uid="{90A35F7C-FB9F-406B-927F-52A702C08F28}" name="Column5497"/>
    <tableColumn id="5501" xr3:uid="{147EF6B5-723E-49F2-B0C6-351BFE02B14C}" name="Column5498"/>
    <tableColumn id="5502" xr3:uid="{29A72FC7-E9CC-4D32-8AFC-7BB15A902521}" name="Column5499"/>
    <tableColumn id="5503" xr3:uid="{E6542AFB-D2A3-4341-BA97-B7C8CF2AEC90}" name="Column5500"/>
    <tableColumn id="5504" xr3:uid="{D5DC49C5-FE45-478A-BEB5-E3D8F512B2E2}" name="Column5501"/>
    <tableColumn id="5505" xr3:uid="{95CC9168-6435-4665-AA5F-59D5465D4ABE}" name="Column5502"/>
    <tableColumn id="5506" xr3:uid="{60CEED0D-5BCA-4D31-84B8-67070FFE57C3}" name="Column5503"/>
    <tableColumn id="5507" xr3:uid="{E7E7898F-8F1B-4EC6-9905-CBE02DC6BB6F}" name="Column5504"/>
    <tableColumn id="5508" xr3:uid="{3AC8DF9A-AC8F-4D25-9C5A-2D79667C252E}" name="Column5505"/>
    <tableColumn id="5509" xr3:uid="{24C79CD0-D83C-4063-9FAD-C2FD51736B76}" name="Column5506"/>
    <tableColumn id="5510" xr3:uid="{7ED0D17F-5D31-4473-B34F-5B362B44C6EA}" name="Column5507"/>
    <tableColumn id="5511" xr3:uid="{0D95ECDD-7F77-47D0-A07A-8949DE59C5D6}" name="Column5508"/>
    <tableColumn id="5512" xr3:uid="{6F197CFA-1901-438A-AD5B-A3F906D5B237}" name="Column5509"/>
    <tableColumn id="5513" xr3:uid="{385AAD1A-1812-4A1D-B3C8-0CBAC6E61F48}" name="Column5510"/>
    <tableColumn id="5514" xr3:uid="{2CF9F482-79C4-4959-8917-419233BA9757}" name="Column5511"/>
    <tableColumn id="5515" xr3:uid="{2B7D7A0F-A5D1-4FF1-A6AB-18EDC57F6FFE}" name="Column5512"/>
    <tableColumn id="5516" xr3:uid="{817C6E53-2EF3-46B6-A675-AE90B2E5AEEB}" name="Column5513"/>
    <tableColumn id="5517" xr3:uid="{39BD30CA-7D2D-41E9-8177-E61DAED2D65B}" name="Column5514"/>
    <tableColumn id="5518" xr3:uid="{616AB825-7ED1-48B4-8221-ADA3032466FB}" name="Column5515"/>
    <tableColumn id="5519" xr3:uid="{1C3A06B4-654B-4178-AC8B-D243DAC2FFA9}" name="Column5516"/>
    <tableColumn id="5520" xr3:uid="{730ADE55-DC1E-4F4B-B12A-F9E76A2A14FA}" name="Column5517"/>
    <tableColumn id="5521" xr3:uid="{7C9A548B-6352-4F5D-9E1C-57E908F5E058}" name="Column5518"/>
    <tableColumn id="5522" xr3:uid="{DEE62375-4F69-4E14-BDDB-07C1BC727BC5}" name="Column5519"/>
    <tableColumn id="5523" xr3:uid="{BC8A38B5-89CE-4BB8-AEE6-E938C4541FD7}" name="Column5520"/>
    <tableColumn id="5524" xr3:uid="{9DA62E5C-D80A-4D62-92A8-E73D51FF6F66}" name="Column5521"/>
    <tableColumn id="5525" xr3:uid="{1D96C500-5AD3-41BA-8E77-9746944B8017}" name="Column5522"/>
    <tableColumn id="5526" xr3:uid="{2322AD54-7F9B-4E3F-AACD-BAE1784028DE}" name="Column5523"/>
    <tableColumn id="5527" xr3:uid="{4F1D3969-467A-410F-A96A-BBD9767DD146}" name="Column5524"/>
    <tableColumn id="5528" xr3:uid="{A84056CB-8FB3-4DF3-A6D3-A581A63F486C}" name="Column5525"/>
    <tableColumn id="5529" xr3:uid="{1DB97681-7163-4FE9-8338-B5C5067D36D0}" name="Column5526"/>
    <tableColumn id="5530" xr3:uid="{C383DB57-9BFB-457F-B785-6A86BCCE67FB}" name="Column5527"/>
    <tableColumn id="5531" xr3:uid="{5CF564E2-2B54-42E8-9A93-D91348FEC04A}" name="Column5528"/>
    <tableColumn id="5532" xr3:uid="{3D18DD93-4F12-4E0D-9F27-B4A1E357248F}" name="Column5529"/>
    <tableColumn id="5533" xr3:uid="{2745BA03-2D2B-492A-B64C-407CF274DBCB}" name="Column5530"/>
    <tableColumn id="5534" xr3:uid="{9859A99B-0A05-4B72-9383-2931E9D009C2}" name="Column5531"/>
    <tableColumn id="5535" xr3:uid="{2CC6F757-E74C-4D93-980F-9F3A6A165D93}" name="Column5532"/>
    <tableColumn id="5536" xr3:uid="{69DCE970-8EF2-4995-A83E-97A448DF1537}" name="Column5533"/>
    <tableColumn id="5537" xr3:uid="{BFEC2E71-7966-4661-B7F3-2674EF3E48AC}" name="Column5534"/>
    <tableColumn id="5538" xr3:uid="{FD0A785E-DC98-4C26-AD9C-B838D71D6E5E}" name="Column5535"/>
    <tableColumn id="5539" xr3:uid="{07DD84A1-A0AB-4CCB-A762-C86CA43BE432}" name="Column5536"/>
    <tableColumn id="5540" xr3:uid="{86C3ABC9-37CB-459A-A458-B7C3B2CA277E}" name="Column5537"/>
    <tableColumn id="5541" xr3:uid="{6FB07553-C17E-4CEC-98BD-405398CC5C2A}" name="Column5538"/>
    <tableColumn id="5542" xr3:uid="{96F9DA64-095E-473D-BB5A-35075C1A233D}" name="Column5539"/>
    <tableColumn id="5543" xr3:uid="{32CCF5AA-C568-474E-BD48-CF9C11F5B10F}" name="Column5540"/>
    <tableColumn id="5544" xr3:uid="{902C6AFA-02AC-460A-8101-5810D69C6F29}" name="Column5541"/>
    <tableColumn id="5545" xr3:uid="{9B6C7C84-A9EB-4ECF-8A0D-A0E417D3021E}" name="Column5542"/>
    <tableColumn id="5546" xr3:uid="{0504A6D9-211E-4E12-88F7-319C071C48AB}" name="Column5543"/>
    <tableColumn id="5547" xr3:uid="{76D3FEE0-57CD-4661-845E-3C5834C923EA}" name="Column5544"/>
    <tableColumn id="5548" xr3:uid="{FF9D8D87-8528-4BD4-A402-CF376E6D8E0C}" name="Column5545"/>
    <tableColumn id="5549" xr3:uid="{920948E6-77ED-4977-A9FC-94C371D8A40C}" name="Column5546"/>
    <tableColumn id="5550" xr3:uid="{F96BED98-3967-4835-91EF-578FA5A86374}" name="Column5547"/>
    <tableColumn id="5551" xr3:uid="{3BF5D40C-904F-48BD-9E98-82B36473402E}" name="Column5548"/>
    <tableColumn id="5552" xr3:uid="{DF3D7DB1-6BB4-4F0B-9795-C6D4E8961D46}" name="Column5549"/>
    <tableColumn id="5553" xr3:uid="{7DED6384-9D12-4953-B28F-068A64E084B5}" name="Column5550"/>
    <tableColumn id="5554" xr3:uid="{B3040625-66F0-437E-881D-EDBD7190FC85}" name="Column5551"/>
    <tableColumn id="5555" xr3:uid="{1CB4DA8F-E344-483D-B728-E9DA7D0FB69D}" name="Column5552"/>
    <tableColumn id="5556" xr3:uid="{45B01DEE-B5B5-4F66-86D7-0738B8391A31}" name="Column5553"/>
    <tableColumn id="5557" xr3:uid="{49DA624E-C64D-4D98-86DD-B169CB0BE76C}" name="Column5554"/>
    <tableColumn id="5558" xr3:uid="{DA43EDCA-01B7-4831-A796-7E95EE6B646A}" name="Column5555"/>
    <tableColumn id="5559" xr3:uid="{8DC5FD95-8CDF-4723-A9D5-1BC9488FA3E7}" name="Column5556"/>
    <tableColumn id="5560" xr3:uid="{DE73646B-A5BC-45F4-AF8E-E311294DBC51}" name="Column5557"/>
    <tableColumn id="5561" xr3:uid="{A8F55E3A-3C75-432C-8D5E-8C0F6D9976DC}" name="Column5558"/>
    <tableColumn id="5562" xr3:uid="{73DFDD26-E309-4BC5-82EA-453EBFA58369}" name="Column5559"/>
    <tableColumn id="5563" xr3:uid="{EC2ADB53-E397-46C6-BB32-DCE3DCCD2A7A}" name="Column5560"/>
    <tableColumn id="5564" xr3:uid="{BD647E53-8E3B-4278-80AC-9BE1F4A6E740}" name="Column5561"/>
    <tableColumn id="5565" xr3:uid="{B373D6AF-B5B7-4C38-99C4-68888A729AA7}" name="Column5562"/>
    <tableColumn id="5566" xr3:uid="{C2795C6B-DD4A-45BF-AC6B-4FB245E1B827}" name="Column5563"/>
    <tableColumn id="5567" xr3:uid="{1B4F735E-1539-4C9E-8F28-02BF0511971D}" name="Column5564"/>
    <tableColumn id="5568" xr3:uid="{EA0EA6A7-CD97-4412-A0B5-F8B7B0057612}" name="Column5565"/>
    <tableColumn id="5569" xr3:uid="{3C4121FB-B0ED-406B-A4DD-A2566ACC97E3}" name="Column5566"/>
    <tableColumn id="5570" xr3:uid="{AC351257-E8C7-4D01-905B-8C182146AF61}" name="Column5567"/>
    <tableColumn id="5571" xr3:uid="{C2770EF1-2223-4162-9251-D554AD3E5DFC}" name="Column5568"/>
    <tableColumn id="5572" xr3:uid="{B52A5680-CE20-4875-8EA5-461094F0250A}" name="Column5569"/>
    <tableColumn id="5573" xr3:uid="{265D62F1-6882-4C65-93DA-0EC39F12D4C9}" name="Column5570"/>
    <tableColumn id="5574" xr3:uid="{9166D38D-9BE1-43E2-8D6F-8F4C6976D853}" name="Column5571"/>
    <tableColumn id="5575" xr3:uid="{6A3E94AF-3A63-4F2F-859D-2BC601D01DB1}" name="Column5572"/>
    <tableColumn id="5576" xr3:uid="{7BCD36AE-F830-4B14-B36E-2C996631F902}" name="Column5573"/>
    <tableColumn id="5577" xr3:uid="{BBCBC914-40FB-4FB5-ADEB-4A4771805F53}" name="Column5574"/>
    <tableColumn id="5578" xr3:uid="{E42BCEAE-5CBC-4564-8B80-111C2736429C}" name="Column5575"/>
    <tableColumn id="5579" xr3:uid="{A8E37B6C-9362-48C0-8621-1E818F9DCD6D}" name="Column5576"/>
    <tableColumn id="5580" xr3:uid="{321C7837-F7F0-4393-A9C8-D1320C8C0BA1}" name="Column5577"/>
    <tableColumn id="5581" xr3:uid="{2582479E-D126-40C6-94AC-7DE87437C585}" name="Column5578"/>
    <tableColumn id="5582" xr3:uid="{BCFF1DCE-A035-476D-916F-BEDA581AA980}" name="Column5579"/>
    <tableColumn id="5583" xr3:uid="{9C6DB8D8-67E4-411A-B94C-68A8E9A1B610}" name="Column5580"/>
    <tableColumn id="5584" xr3:uid="{F8ED80AF-6606-419C-9AFE-19C304D5866B}" name="Column5581"/>
    <tableColumn id="5585" xr3:uid="{24A35DCB-5CB0-4EE1-B011-8A56699D2B08}" name="Column5582"/>
    <tableColumn id="5586" xr3:uid="{C18FAF33-F450-47D3-B10B-E575A2A5B324}" name="Column5583"/>
    <tableColumn id="5587" xr3:uid="{71C4AD83-02DF-4B0B-86E1-B7E1672CB0D8}" name="Column5584"/>
    <tableColumn id="5588" xr3:uid="{F0E61FBF-1546-4F64-B65B-409174E7408A}" name="Column5585"/>
    <tableColumn id="5589" xr3:uid="{EB1ACC6B-E0AC-40A6-A236-165296F595C7}" name="Column5586"/>
    <tableColumn id="5590" xr3:uid="{6E8B43FE-E0B6-4E45-B4C5-341FBC80A2F5}" name="Column5587"/>
    <tableColumn id="5591" xr3:uid="{AC63F3B4-6591-4D08-A327-8F162B0A177F}" name="Column5588"/>
    <tableColumn id="5592" xr3:uid="{618C5A6D-F757-4DB1-BA83-547C48BF1570}" name="Column5589"/>
    <tableColumn id="5593" xr3:uid="{9F4D7148-FF11-4B77-A6C5-3BFD205B71FB}" name="Column5590"/>
    <tableColumn id="5594" xr3:uid="{41CE6326-C31F-40EA-84B5-7D115AAE9F02}" name="Column5591"/>
    <tableColumn id="5595" xr3:uid="{97E8A8C1-2F85-494C-B855-AAAEB9C96346}" name="Column5592"/>
    <tableColumn id="5596" xr3:uid="{20F32345-99C5-40E3-8310-AD260BF687BA}" name="Column5593"/>
    <tableColumn id="5597" xr3:uid="{C78284E7-1BE7-4356-B097-9EFFD85B203C}" name="Column5594"/>
    <tableColumn id="5598" xr3:uid="{78CA7EE9-6787-4AF2-83EF-BA3D80F8E81C}" name="Column5595"/>
    <tableColumn id="5599" xr3:uid="{F7343D6B-AA4B-4C7B-BB13-907673F4ED0C}" name="Column5596"/>
    <tableColumn id="5600" xr3:uid="{DA001CEB-DE53-4B42-B627-B7EF1646E7D9}" name="Column5597"/>
    <tableColumn id="5601" xr3:uid="{834C8720-45C8-4EC0-BC9B-4AF8E12FE860}" name="Column5598"/>
    <tableColumn id="5602" xr3:uid="{191CEF97-B8BB-4E26-BD5A-F69F0569ACE2}" name="Column5599"/>
    <tableColumn id="5603" xr3:uid="{9C3B5803-87C0-4594-8D7F-60A00D2A8631}" name="Column5600"/>
    <tableColumn id="5604" xr3:uid="{8809143E-203D-4A05-9721-19908750B596}" name="Column5601"/>
    <tableColumn id="5605" xr3:uid="{25118762-7A4A-4C9F-9590-9D5F43574216}" name="Column5602"/>
    <tableColumn id="5606" xr3:uid="{63478157-A1C1-43AA-9216-2138CB445F4B}" name="Column5603"/>
    <tableColumn id="5607" xr3:uid="{38E0DA97-D5DE-4AF4-819B-A1CBE56CF7B3}" name="Column5604"/>
    <tableColumn id="5608" xr3:uid="{DBD1051F-FE4C-406E-ABB5-B0EABEB15602}" name="Column5605"/>
    <tableColumn id="5609" xr3:uid="{1F5EC503-1559-42C4-B1DB-E3F86B1B85A7}" name="Column5606"/>
    <tableColumn id="5610" xr3:uid="{0C63AADC-1433-43ED-BD49-00246905772D}" name="Column5607"/>
    <tableColumn id="5611" xr3:uid="{451374F1-1C13-4BA4-AD3D-865AB77BE540}" name="Column5608"/>
    <tableColumn id="5612" xr3:uid="{CC0DFB3E-306F-4471-BEC9-2C44FD132BC0}" name="Column5609"/>
    <tableColumn id="5613" xr3:uid="{01C49B80-F8C1-404D-9D77-03F1198C4BEC}" name="Column5610"/>
    <tableColumn id="5614" xr3:uid="{4F3678D0-C538-4435-A4A4-79274F556936}" name="Column5611"/>
    <tableColumn id="5615" xr3:uid="{1C8BCE01-2825-40F6-8945-01A8AE4F1348}" name="Column5612"/>
    <tableColumn id="5616" xr3:uid="{B63619E2-BF13-408F-A613-4D69FC715EA1}" name="Column5613"/>
    <tableColumn id="5617" xr3:uid="{40833BC4-B4E2-41ED-B455-238A3846864B}" name="Column5614"/>
    <tableColumn id="5618" xr3:uid="{4CC55354-4348-4ABD-AC44-F1FF53A18CDD}" name="Column5615"/>
    <tableColumn id="5619" xr3:uid="{07ED393F-0083-4D31-9D63-6A267F2F9FCE}" name="Column5616"/>
    <tableColumn id="5620" xr3:uid="{C6F10371-379F-43C0-BC19-4354AC2A47BD}" name="Column5617"/>
    <tableColumn id="5621" xr3:uid="{5E1F4B1B-55C8-420B-AEB9-6175F90BF94E}" name="Column5618"/>
    <tableColumn id="5622" xr3:uid="{98999077-5AB4-4A99-81E3-1044A02DC84A}" name="Column5619"/>
    <tableColumn id="5623" xr3:uid="{3371611A-41A4-48B8-9B47-53F4A75F4A17}" name="Column5620"/>
    <tableColumn id="5624" xr3:uid="{81989016-F310-4AE7-86F5-479146E555C9}" name="Column5621"/>
    <tableColumn id="5625" xr3:uid="{7FFCC7B6-2E61-489F-B6E2-AE0988A6B2FE}" name="Column5622"/>
    <tableColumn id="5626" xr3:uid="{E15D5075-4764-476D-B882-F0F61A098167}" name="Column5623"/>
    <tableColumn id="5627" xr3:uid="{2EBAF853-43C8-4548-9177-3992AA20EA6C}" name="Column5624"/>
    <tableColumn id="5628" xr3:uid="{2760AD26-2111-492F-9168-DBD3CA9B9533}" name="Column5625"/>
    <tableColumn id="5629" xr3:uid="{B98E672B-2C19-4991-8FA6-2634C841A6A3}" name="Column5626"/>
    <tableColumn id="5630" xr3:uid="{428780CB-E5DF-4D87-A98E-2E2FAC8434A4}" name="Column5627"/>
    <tableColumn id="5631" xr3:uid="{F30011C8-E76F-4DED-86DB-EA38DFAD3139}" name="Column5628"/>
    <tableColumn id="5632" xr3:uid="{FA2BB195-EABD-487A-98D9-1871D8785B0B}" name="Column5629"/>
    <tableColumn id="5633" xr3:uid="{5CC1E472-B660-416E-9365-816E271BEAA4}" name="Column5630"/>
    <tableColumn id="5634" xr3:uid="{92F1D23C-A865-4AB3-95F9-BA33A2DAC824}" name="Column5631"/>
    <tableColumn id="5635" xr3:uid="{98F253DA-5D97-40BD-8347-FB17E07611FA}" name="Column5632"/>
    <tableColumn id="5636" xr3:uid="{8A75D968-C32A-4FC5-B932-9A8296965E06}" name="Column5633"/>
    <tableColumn id="5637" xr3:uid="{E5BC87EC-BA82-4C15-8AA1-1E2617167F95}" name="Column5634"/>
    <tableColumn id="5638" xr3:uid="{DD3A0A7F-BF16-46B3-BF91-43274A93AAE8}" name="Column5635"/>
    <tableColumn id="5639" xr3:uid="{4ACF2807-9F21-48FA-8355-28DD24AD0E10}" name="Column5636"/>
    <tableColumn id="5640" xr3:uid="{D36567A8-116C-4B80-B06B-AF216A495DCB}" name="Column5637"/>
    <tableColumn id="5641" xr3:uid="{F4B264BE-DF66-4E25-8674-A2A67557C4F9}" name="Column5638"/>
    <tableColumn id="5642" xr3:uid="{2E6CBEC7-8E9F-49A7-BA83-6D116A02FF50}" name="Column5639"/>
    <tableColumn id="5643" xr3:uid="{C5841C52-44F2-4C6F-8561-728D61B29659}" name="Column5640"/>
    <tableColumn id="5644" xr3:uid="{214D4010-A2D6-40AE-83C5-E0D7953DC8A9}" name="Column5641"/>
    <tableColumn id="5645" xr3:uid="{64F0EE42-0488-4F5A-A1FD-520DC3264C78}" name="Column5642"/>
    <tableColumn id="5646" xr3:uid="{F4E8C374-F045-4BA7-898D-CB1ABE87585A}" name="Column5643"/>
    <tableColumn id="5647" xr3:uid="{E74978E4-BC27-4833-AB05-9AC6F73DDA8B}" name="Column5644"/>
    <tableColumn id="5648" xr3:uid="{052F0BF5-6D15-4414-AAB2-513A4F992767}" name="Column5645"/>
    <tableColumn id="5649" xr3:uid="{4976820E-807D-4F80-BB0C-A2F5EC6C3BDD}" name="Column5646"/>
    <tableColumn id="5650" xr3:uid="{2D435B6C-E343-4C39-99C8-9546D3AFE35E}" name="Column5647"/>
    <tableColumn id="5651" xr3:uid="{9D341FA7-4794-4A12-A38D-0194754461EA}" name="Column5648"/>
    <tableColumn id="5652" xr3:uid="{AA3AA79C-2CD3-4D07-8B6F-6AB155637A94}" name="Column5649"/>
    <tableColumn id="5653" xr3:uid="{894AEF89-4AEE-4299-A2FE-5C19F2283301}" name="Column5650"/>
    <tableColumn id="5654" xr3:uid="{0132084B-9D90-4F16-A8A0-037A1B00E0BC}" name="Column5651"/>
    <tableColumn id="5655" xr3:uid="{9258F240-EFDE-479E-96FE-0BB07831A5C6}" name="Column5652"/>
    <tableColumn id="5656" xr3:uid="{2D1093DF-9CFF-4D7A-8EFA-F91C13D75DBB}" name="Column5653"/>
    <tableColumn id="5657" xr3:uid="{6C57F287-E5A7-495E-90B9-5919D287A376}" name="Column5654"/>
    <tableColumn id="5658" xr3:uid="{2253C200-70FF-4C4B-9E78-415BFDCB8385}" name="Column5655"/>
    <tableColumn id="5659" xr3:uid="{B35F21DB-259B-4417-930D-1EF1BA6F98DE}" name="Column5656"/>
    <tableColumn id="5660" xr3:uid="{A325B329-D085-4B42-BF53-BBB407A598A7}" name="Column5657"/>
    <tableColumn id="5661" xr3:uid="{77B7F873-9741-4FEF-A8B0-71B04B12F117}" name="Column5658"/>
    <tableColumn id="5662" xr3:uid="{1162121D-FDDB-406E-A2BA-8FB644BAF172}" name="Column5659"/>
    <tableColumn id="5663" xr3:uid="{E943A806-9914-45A5-B7CC-851B4A02AFBC}" name="Column5660"/>
    <tableColumn id="5664" xr3:uid="{B9873A32-2517-4D5F-921D-1DE5F563C4B1}" name="Column5661"/>
    <tableColumn id="5665" xr3:uid="{2430528B-7AEC-4E78-BE28-F2285455E069}" name="Column5662"/>
    <tableColumn id="5666" xr3:uid="{084B82CC-417D-4998-A17B-9EC3FA43A485}" name="Column5663"/>
    <tableColumn id="5667" xr3:uid="{E3DED54B-3D7E-4664-81BB-C6E231A2A822}" name="Column5664"/>
    <tableColumn id="5668" xr3:uid="{A35DCE8D-626D-4FD3-B9BA-95CE2E32A6DE}" name="Column5665"/>
    <tableColumn id="5669" xr3:uid="{0FA8D218-CC77-4066-9DD9-B963A08A0D8F}" name="Column5666"/>
    <tableColumn id="5670" xr3:uid="{A93F0EC2-BDBB-4E6B-93E3-7D356AB579E3}" name="Column5667"/>
    <tableColumn id="5671" xr3:uid="{C3BABB2D-6CC4-428C-9092-4EF021FB7190}" name="Column5668"/>
    <tableColumn id="5672" xr3:uid="{27A4E55E-E9D1-4253-86F3-37B9491753FA}" name="Column5669"/>
    <tableColumn id="5673" xr3:uid="{24E09076-3DFF-43F3-8DC1-1D5432857A04}" name="Column5670"/>
    <tableColumn id="5674" xr3:uid="{6D230CD7-1889-4B19-8929-EC7A73C9AC49}" name="Column5671"/>
    <tableColumn id="5675" xr3:uid="{FAB6BA03-34E5-41D8-8ECE-15955F39A2F1}" name="Column5672"/>
    <tableColumn id="5676" xr3:uid="{55FF558E-3022-41AB-B0E8-4E37B3C1C021}" name="Column5673"/>
    <tableColumn id="5677" xr3:uid="{61D180AC-F7C1-4B6B-94A4-AB7C517BE975}" name="Column5674"/>
    <tableColumn id="5678" xr3:uid="{2D780818-C324-45D7-A117-51C2AD5D2F3F}" name="Column5675"/>
    <tableColumn id="5679" xr3:uid="{A7D7D7E3-1976-42E1-AEDA-C5B86619B241}" name="Column5676"/>
    <tableColumn id="5680" xr3:uid="{A5967FB7-71E5-4639-BD94-091CF1A352EA}" name="Column5677"/>
    <tableColumn id="5681" xr3:uid="{91A58D04-6C9A-4D19-B301-6203F9E8F740}" name="Column5678"/>
    <tableColumn id="5682" xr3:uid="{5483F6C6-DA39-4340-BF8C-B19E5B323C55}" name="Column5679"/>
    <tableColumn id="5683" xr3:uid="{ECDE917B-7AE3-4EBB-880A-8965A2A6D5EC}" name="Column5680"/>
    <tableColumn id="5684" xr3:uid="{396DE322-D021-4715-A8B3-7CFDBA5A6A09}" name="Column5681"/>
    <tableColumn id="5685" xr3:uid="{93313A9E-0C8A-4307-92CA-32ED540CA971}" name="Column5682"/>
    <tableColumn id="5686" xr3:uid="{33F30478-1118-4092-A223-367B5053FA65}" name="Column5683"/>
    <tableColumn id="5687" xr3:uid="{E49B3C64-5537-4A8A-95E8-E9E3A9A373EF}" name="Column5684"/>
    <tableColumn id="5688" xr3:uid="{CFDDF340-A567-4D26-A9FA-2F9CE3CABC71}" name="Column5685"/>
    <tableColumn id="5689" xr3:uid="{0878F61E-9D1F-47C9-814E-E4E5B8D9FEFD}" name="Column5686"/>
    <tableColumn id="5690" xr3:uid="{55D6C49F-B91E-41C0-94CC-AB2C7530E5B0}" name="Column5687"/>
    <tableColumn id="5691" xr3:uid="{7FCB3D69-21EF-4C4F-816A-9F37837AF51C}" name="Column5688"/>
    <tableColumn id="5692" xr3:uid="{00476951-050A-4BFB-A747-D54549B7E3AD}" name="Column5689"/>
    <tableColumn id="5693" xr3:uid="{DA7C46CC-2C18-4425-AC55-16BFC283BF66}" name="Column5690"/>
    <tableColumn id="5694" xr3:uid="{94745F71-4B80-4C00-A614-F9123FBE0306}" name="Column5691"/>
    <tableColumn id="5695" xr3:uid="{D91B3D77-61C2-4C24-842C-A76CEE0FB3B5}" name="Column5692"/>
    <tableColumn id="5696" xr3:uid="{F5768630-0AA1-4BFE-87E2-23EB91FCE58A}" name="Column5693"/>
    <tableColumn id="5697" xr3:uid="{10708A18-4266-4C9A-B218-CE8307F7440A}" name="Column5694"/>
    <tableColumn id="5698" xr3:uid="{DC398672-2D88-454C-BDD6-2203FB1D923F}" name="Column5695"/>
    <tableColumn id="5699" xr3:uid="{4F333729-920A-4934-992A-68A455B72AEB}" name="Column5696"/>
    <tableColumn id="5700" xr3:uid="{EF8C2879-4845-4D69-909F-1A1328FFDD44}" name="Column5697"/>
    <tableColumn id="5701" xr3:uid="{BFCFB752-7709-4626-A148-3A59680053E5}" name="Column5698"/>
    <tableColumn id="5702" xr3:uid="{54E2B8EF-DC38-4224-8D99-ECCA850A00B3}" name="Column5699"/>
    <tableColumn id="5703" xr3:uid="{BDD7A566-6C70-4FFA-A098-4552F752BFAB}" name="Column5700"/>
    <tableColumn id="5704" xr3:uid="{B721D1D5-9CB8-4BAB-A308-76C6C43FEA39}" name="Column5701"/>
    <tableColumn id="5705" xr3:uid="{8FDF425B-C038-4295-89C3-A427658652E4}" name="Column5702"/>
    <tableColumn id="5706" xr3:uid="{5A496D19-084B-437B-A70E-0315DA98BA38}" name="Column5703"/>
    <tableColumn id="5707" xr3:uid="{99521E2B-9786-43F5-87CC-23FC97C65A90}" name="Column5704"/>
    <tableColumn id="5708" xr3:uid="{2BCB27EE-0886-4910-A62F-0160EA873E14}" name="Column5705"/>
    <tableColumn id="5709" xr3:uid="{B3C8AACD-AF24-4207-A304-8982C5860EF3}" name="Column5706"/>
    <tableColumn id="5710" xr3:uid="{770D05E7-116A-4B34-8E9C-BAB685C6469F}" name="Column5707"/>
    <tableColumn id="5711" xr3:uid="{684CF081-DEDD-462B-8FF7-2466DBC1AF8B}" name="Column5708"/>
    <tableColumn id="5712" xr3:uid="{42B9E055-AD7E-49C8-A672-953E5DDF0886}" name="Column5709"/>
    <tableColumn id="5713" xr3:uid="{B1484683-DD42-4D63-B517-B38D6A8DBD67}" name="Column5710"/>
    <tableColumn id="5714" xr3:uid="{63FE6BE1-0A63-4D3B-8C9A-22AB09BB2F7A}" name="Column5711"/>
    <tableColumn id="5715" xr3:uid="{CE4D9AC3-9914-4213-A704-AB9A8DEC0B01}" name="Column5712"/>
    <tableColumn id="5716" xr3:uid="{64A990CB-CD1E-4687-B2B3-A6616F8EED3E}" name="Column5713"/>
    <tableColumn id="5717" xr3:uid="{022D6220-3A4D-41B0-A928-871C7CEB2C24}" name="Column5714"/>
    <tableColumn id="5718" xr3:uid="{1CCA79D3-93B0-47CA-A77A-3553638C72FA}" name="Column5715"/>
    <tableColumn id="5719" xr3:uid="{E80F9EFE-68FE-432A-A7A6-35C7F64D24D5}" name="Column5716"/>
    <tableColumn id="5720" xr3:uid="{DF996DD3-DF20-44B9-86E3-3987CF38B7C2}" name="Column5717"/>
    <tableColumn id="5721" xr3:uid="{98B64F43-FE31-4A8E-90BB-6F1E9BCD28E9}" name="Column5718"/>
    <tableColumn id="5722" xr3:uid="{CDE014EE-CE3D-4F0D-B936-EF6C0D3E0AB0}" name="Column5719"/>
    <tableColumn id="5723" xr3:uid="{8813F419-4E65-487D-93A2-06583CBB6474}" name="Column5720"/>
    <tableColumn id="5724" xr3:uid="{A7C1E751-CC22-4E04-8F5E-971DDA1BB111}" name="Column5721"/>
    <tableColumn id="5725" xr3:uid="{672A4112-F91C-4E88-A93A-2D73570ED6B7}" name="Column5722"/>
    <tableColumn id="5726" xr3:uid="{8AD19528-31B8-46D8-9D30-956B0F08CD73}" name="Column5723"/>
    <tableColumn id="5727" xr3:uid="{A8343920-5FED-43CB-ABDF-0D1842177498}" name="Column5724"/>
    <tableColumn id="5728" xr3:uid="{58826CEA-3145-43EC-ABEC-6947C95E6F59}" name="Column5725"/>
    <tableColumn id="5729" xr3:uid="{C91EA453-D7B6-4032-B095-7EF38BE2BD46}" name="Column5726"/>
    <tableColumn id="5730" xr3:uid="{D504F7E2-CC1C-4373-9EA0-3C9F8A853174}" name="Column5727"/>
    <tableColumn id="5731" xr3:uid="{4AF9A39B-AED6-474D-A07C-51242A0F2E04}" name="Column5728"/>
    <tableColumn id="5732" xr3:uid="{986E6208-247C-4145-A2D2-1DE978D16883}" name="Column5729"/>
    <tableColumn id="5733" xr3:uid="{52B9ED03-B7BE-4107-A48F-39960450BD03}" name="Column5730"/>
    <tableColumn id="5734" xr3:uid="{B3D20128-36BF-46FB-BC6A-C002046FAF93}" name="Column5731"/>
    <tableColumn id="5735" xr3:uid="{BE5AE27D-55D1-4C1D-9189-640D1829E1EB}" name="Column5732"/>
    <tableColumn id="5736" xr3:uid="{E8B27EB3-286D-4879-B5CD-138631AF7356}" name="Column5733"/>
    <tableColumn id="5737" xr3:uid="{FAC3F466-0132-4AB4-B1AB-C80D2B088A23}" name="Column5734"/>
    <tableColumn id="5738" xr3:uid="{D017B7A5-5176-4B08-A121-AD7EF361F40A}" name="Column5735"/>
    <tableColumn id="5739" xr3:uid="{2F4C6719-0168-45D8-A16D-70FF6A6BA47C}" name="Column5736"/>
    <tableColumn id="5740" xr3:uid="{7B930F0D-D187-496F-BA6D-3863291E2982}" name="Column5737"/>
    <tableColumn id="5741" xr3:uid="{BA880D0D-287E-4AF5-965B-7D7E78C54DB7}" name="Column5738"/>
    <tableColumn id="5742" xr3:uid="{67703C3B-77EC-42FA-8A4A-B34ED742F72A}" name="Column5739"/>
    <tableColumn id="5743" xr3:uid="{A3DB54A6-8E5A-405C-99AB-61B1CBF97420}" name="Column5740"/>
    <tableColumn id="5744" xr3:uid="{7EDE9155-3F70-4368-BC04-9D938DFCE2B3}" name="Column5741"/>
    <tableColumn id="5745" xr3:uid="{1689D518-FA4C-4965-BAFB-9D5A2D34D982}" name="Column5742"/>
    <tableColumn id="5746" xr3:uid="{A1D2416D-B1C9-4747-ABDA-088A32E3C001}" name="Column5743"/>
    <tableColumn id="5747" xr3:uid="{9577BCDC-5409-4782-A9D5-EBBF1AC5CE24}" name="Column5744"/>
    <tableColumn id="5748" xr3:uid="{903305D1-C365-40DD-A9A7-4BF84B33C8CB}" name="Column5745"/>
    <tableColumn id="5749" xr3:uid="{DA854648-B37D-49A4-B80C-338E8980CAEF}" name="Column5746"/>
    <tableColumn id="5750" xr3:uid="{F0530CAA-5D22-4F4B-8560-40ED7E125A67}" name="Column5747"/>
    <tableColumn id="5751" xr3:uid="{DB93AA09-37B3-4461-AC7E-F8F371C314E2}" name="Column5748"/>
    <tableColumn id="5752" xr3:uid="{D9ECABDF-9367-4B24-B801-1A2AFA2201A9}" name="Column5749"/>
    <tableColumn id="5753" xr3:uid="{E8B8BAAC-3F61-4AAF-85F1-FA11F6FF07EE}" name="Column5750"/>
    <tableColumn id="5754" xr3:uid="{19B48974-4FE0-4DD4-ABA7-E817FC1B731A}" name="Column5751"/>
    <tableColumn id="5755" xr3:uid="{07BC51C0-AD92-4DE1-A32A-8F84CCCED0FD}" name="Column5752"/>
    <tableColumn id="5756" xr3:uid="{67450B3D-6DD5-4F19-BF76-1EEA0CC84F2D}" name="Column5753"/>
    <tableColumn id="5757" xr3:uid="{BCE4AA38-2484-4DB3-8414-8968AA67F318}" name="Column5754"/>
    <tableColumn id="5758" xr3:uid="{3B87EA8C-7691-4CD3-A14D-D4C1CD7713EE}" name="Column5755"/>
    <tableColumn id="5759" xr3:uid="{388501E1-DAE1-4F89-8E4F-39FEBDBD73AD}" name="Column5756"/>
    <tableColumn id="5760" xr3:uid="{36A62CC0-1C36-420B-9EF8-90D1D2CA3443}" name="Column5757"/>
    <tableColumn id="5761" xr3:uid="{8F175BF1-AFFA-4977-B4C0-3ECEB8E1F332}" name="Column5758"/>
    <tableColumn id="5762" xr3:uid="{2C22F17E-97BF-44F1-99B8-CE65211D4966}" name="Column5759"/>
    <tableColumn id="5763" xr3:uid="{87E5E241-7FC7-492D-B8DA-586C526A7977}" name="Column5760"/>
    <tableColumn id="5764" xr3:uid="{E3BB1CF4-4761-428E-B52D-01D7DAEC199B}" name="Column5761"/>
    <tableColumn id="5765" xr3:uid="{E2937B1D-099D-48E2-A6C8-06CC5CE683B3}" name="Column5762"/>
    <tableColumn id="5766" xr3:uid="{88BAA8B7-1ACE-4A87-A2EE-C0E4C6641F29}" name="Column5763"/>
    <tableColumn id="5767" xr3:uid="{D6C6235E-12E3-4885-9AC2-F85946157A35}" name="Column5764"/>
    <tableColumn id="5768" xr3:uid="{C95D18C8-2926-4350-A6B6-09C6B197CC10}" name="Column5765"/>
    <tableColumn id="5769" xr3:uid="{35F70DE0-EC30-4606-824F-47E30C963083}" name="Column5766"/>
    <tableColumn id="5770" xr3:uid="{6A0D9E96-24C0-466C-A21E-43E7E435645A}" name="Column5767"/>
    <tableColumn id="5771" xr3:uid="{F20481B5-E06F-452C-9091-A87211C683C7}" name="Column5768"/>
    <tableColumn id="5772" xr3:uid="{7C35C784-467A-4499-A461-4A4683F266CB}" name="Column5769"/>
    <tableColumn id="5773" xr3:uid="{5559C215-FA13-411F-9C63-615244881EA7}" name="Column5770"/>
    <tableColumn id="5774" xr3:uid="{699326F5-5CB6-4821-A51F-584460FA965B}" name="Column5771"/>
    <tableColumn id="5775" xr3:uid="{D7DE8F2E-A391-4D19-BF1F-FA9571E9F943}" name="Column5772"/>
    <tableColumn id="5776" xr3:uid="{974C3357-6656-4AD6-9C36-422E9359B02D}" name="Column5773"/>
    <tableColumn id="5777" xr3:uid="{12CA639C-3D73-44FF-A147-B53B62A0DEED}" name="Column5774"/>
    <tableColumn id="5778" xr3:uid="{5AD9C1C7-07FC-4684-8179-75573D0F2096}" name="Column5775"/>
    <tableColumn id="5779" xr3:uid="{FB6D7712-2165-4758-96AC-D5E18C343345}" name="Column5776"/>
    <tableColumn id="5780" xr3:uid="{F746DA4C-28EA-4524-A44D-FADEBC0E4A02}" name="Column5777"/>
    <tableColumn id="5781" xr3:uid="{BB40C948-4910-4F98-A38E-B0EFCE154FE5}" name="Column5778"/>
    <tableColumn id="5782" xr3:uid="{45DF3830-9920-4335-8CE0-64BCB10D9EC2}" name="Column5779"/>
    <tableColumn id="5783" xr3:uid="{90CCA848-2DA3-4409-9C55-68FCAD57329A}" name="Column5780"/>
    <tableColumn id="5784" xr3:uid="{F13B7B44-ADB9-42DE-9E31-4EF41ED0E6B4}" name="Column5781"/>
    <tableColumn id="5785" xr3:uid="{A70D349C-B0FE-4BA4-8572-11F537284110}" name="Column5782"/>
    <tableColumn id="5786" xr3:uid="{D5FF2C57-58EF-49F5-BE12-DC8AE63BFECA}" name="Column5783"/>
    <tableColumn id="5787" xr3:uid="{946AE9FD-A7B7-4C99-A0F4-A6E1E65A6E80}" name="Column5784"/>
    <tableColumn id="5788" xr3:uid="{B614A59A-059C-46C5-93B4-28ED72EE00B3}" name="Column5785"/>
    <tableColumn id="5789" xr3:uid="{53A9CF1F-5710-4DEB-9BDB-BA79EE45E81E}" name="Column5786"/>
    <tableColumn id="5790" xr3:uid="{6DF448C4-0D64-40B4-89F1-B8E6E66F2FF2}" name="Column5787"/>
    <tableColumn id="5791" xr3:uid="{78E0EACE-66F2-41E8-94F9-F885822B8E66}" name="Column5788"/>
    <tableColumn id="5792" xr3:uid="{FC8915EB-157C-4D8E-B02D-12D67C08C5D4}" name="Column5789"/>
    <tableColumn id="5793" xr3:uid="{49E805AA-85D7-4289-84BB-0086122573BF}" name="Column5790"/>
    <tableColumn id="5794" xr3:uid="{A54A6435-6F29-444E-BFD5-64F65DD594F7}" name="Column5791"/>
    <tableColumn id="5795" xr3:uid="{833E5A56-2271-4CED-B485-5B9E533D6EA6}" name="Column5792"/>
    <tableColumn id="5796" xr3:uid="{2387FDBE-A978-4531-9871-92991565913D}" name="Column5793"/>
    <tableColumn id="5797" xr3:uid="{3459F66B-66D9-4E7B-BDF5-4FE8CFDBC805}" name="Column5794"/>
    <tableColumn id="5798" xr3:uid="{41E342C1-028A-49DB-9120-CF4AD798A1E5}" name="Column5795"/>
    <tableColumn id="5799" xr3:uid="{D0BFB968-8FF7-4C58-B97B-21BF5B91258E}" name="Column5796"/>
    <tableColumn id="5800" xr3:uid="{E1C90665-54EA-4B86-B9FB-338178BAD7D5}" name="Column5797"/>
    <tableColumn id="5801" xr3:uid="{DEA23847-C254-4EB4-A025-704A214101B3}" name="Column5798"/>
    <tableColumn id="5802" xr3:uid="{7ECF9E26-E8E7-4166-941A-622707DAFF4F}" name="Column5799"/>
    <tableColumn id="5803" xr3:uid="{E0D72A77-2E26-4754-B503-3B39FD6AF958}" name="Column5800"/>
    <tableColumn id="5804" xr3:uid="{B1BCC15B-6067-4C63-8D9F-EC5AB096015E}" name="Column5801"/>
    <tableColumn id="5805" xr3:uid="{0F764CE1-691B-4E98-B2D6-B5A4987CA1B2}" name="Column5802"/>
    <tableColumn id="5806" xr3:uid="{FA4C1751-7F60-4E12-BC12-7F2E24E495B2}" name="Column5803"/>
    <tableColumn id="5807" xr3:uid="{D5D41E38-8F57-47F6-93F1-837EA29678BD}" name="Column5804"/>
    <tableColumn id="5808" xr3:uid="{7D5C2003-D748-46A8-B5BA-7E13FCE2058D}" name="Column5805"/>
    <tableColumn id="5809" xr3:uid="{058FE9F8-438C-4E98-83C9-C5B54ECEE6C8}" name="Column5806"/>
    <tableColumn id="5810" xr3:uid="{3179265F-EE29-41B9-9CA8-1A1677CA8F40}" name="Column5807"/>
    <tableColumn id="5811" xr3:uid="{BACFEDC3-6444-4ED6-B54A-7292294B02E7}" name="Column5808"/>
    <tableColumn id="5812" xr3:uid="{BC2AC1DC-D78B-41F3-8055-34B3E83049D1}" name="Column5809"/>
    <tableColumn id="5813" xr3:uid="{1E4AF2C5-7F17-4653-860A-0DB19DDF12D7}" name="Column5810"/>
    <tableColumn id="5814" xr3:uid="{4B5C59A4-EB93-4124-89BE-576850EB168D}" name="Column5811"/>
    <tableColumn id="5815" xr3:uid="{A927FD58-F7D8-4DE6-A297-419CA085FD37}" name="Column5812"/>
    <tableColumn id="5816" xr3:uid="{235D8C00-285A-418D-B561-DFA6E54D396B}" name="Column5813"/>
    <tableColumn id="5817" xr3:uid="{4F0D4BCD-5650-4CA9-8DEE-7F25059452EE}" name="Column5814"/>
    <tableColumn id="5818" xr3:uid="{8D8B8A7D-E17C-4310-AA8B-C695554F01C9}" name="Column5815"/>
    <tableColumn id="5819" xr3:uid="{3EFF1FFE-F698-498B-9671-0CC2831ED99B}" name="Column5816"/>
    <tableColumn id="5820" xr3:uid="{6EE861F7-D769-40CD-94B0-FA49F6FC10AA}" name="Column5817"/>
    <tableColumn id="5821" xr3:uid="{F7EB84D4-344C-46D2-B3A3-219CAE1347F7}" name="Column5818"/>
    <tableColumn id="5822" xr3:uid="{05825D1B-1775-43C9-873B-B1EBCD7107B1}" name="Column5819"/>
    <tableColumn id="5823" xr3:uid="{401B8EB5-1DBD-4E24-83C2-6AC40F3DEBCB}" name="Column5820"/>
    <tableColumn id="5824" xr3:uid="{23920A6C-5CA6-45E9-B087-B60E040A0277}" name="Column5821"/>
    <tableColumn id="5825" xr3:uid="{CCC1243F-37F6-4D3E-86BF-C630071014AE}" name="Column5822"/>
    <tableColumn id="5826" xr3:uid="{EACFC489-53CD-4D40-BB12-219D52DD3C0C}" name="Column5823"/>
    <tableColumn id="5827" xr3:uid="{B957F87B-CEE0-42F1-9DF1-EA42809C1398}" name="Column5824"/>
    <tableColumn id="5828" xr3:uid="{8E284C4E-1E41-4C2A-9670-AFEA0163C052}" name="Column5825"/>
    <tableColumn id="5829" xr3:uid="{574F4E14-F37E-4236-BDEC-186D584B04B2}" name="Column5826"/>
    <tableColumn id="5830" xr3:uid="{8FD82979-DB9C-49A4-A28E-375478CE848F}" name="Column5827"/>
    <tableColumn id="5831" xr3:uid="{FBC3ADCA-E584-4456-B812-D40DC39999CC}" name="Column5828"/>
    <tableColumn id="5832" xr3:uid="{D637BF9F-93AD-4698-B862-C51FC616FFA0}" name="Column5829"/>
    <tableColumn id="5833" xr3:uid="{35146942-481C-443A-91E7-B6B47FCD1BEC}" name="Column5830"/>
    <tableColumn id="5834" xr3:uid="{0F808819-A2D1-45B7-B1EE-31EB749FC834}" name="Column5831"/>
    <tableColumn id="5835" xr3:uid="{5F32F508-0898-4C9B-A03B-0359A5B93E1C}" name="Column5832"/>
    <tableColumn id="5836" xr3:uid="{3B106574-688C-48F8-AB74-22172169B656}" name="Column5833"/>
    <tableColumn id="5837" xr3:uid="{6700FBC8-9B2D-482F-B3AC-140E8C9513CC}" name="Column5834"/>
    <tableColumn id="5838" xr3:uid="{BE702AFE-FF8C-425C-91CF-26FB05FABC0C}" name="Column5835"/>
    <tableColumn id="5839" xr3:uid="{8C7B6FD6-9D43-4194-AB84-C6B1A083DA81}" name="Column5836"/>
    <tableColumn id="5840" xr3:uid="{559E99B5-E20A-4EC1-8401-EAE0C9421A12}" name="Column5837"/>
    <tableColumn id="5841" xr3:uid="{0E1DB426-8194-4D49-B7E7-5E042A6697D6}" name="Column5838"/>
    <tableColumn id="5842" xr3:uid="{CAE9F6B6-3F40-4F26-A7C6-B81F26DC8A18}" name="Column5839"/>
    <tableColumn id="5843" xr3:uid="{85BEE2C4-33AD-44EB-8B47-A424B31030BA}" name="Column5840"/>
    <tableColumn id="5844" xr3:uid="{CBBA2AD5-ADEF-4ED5-A872-42BB2A1CC5EF}" name="Column5841"/>
    <tableColumn id="5845" xr3:uid="{ED3441C7-A7FD-4EB9-A1A4-B2C41F5898A5}" name="Column5842"/>
    <tableColumn id="5846" xr3:uid="{42E299DA-AD3C-41D4-B750-68EC7427D45A}" name="Column5843"/>
    <tableColumn id="5847" xr3:uid="{D8AD1050-A997-4371-B149-7D45E4C0450F}" name="Column5844"/>
    <tableColumn id="5848" xr3:uid="{B78FA5BF-D296-42F0-89F8-6545971BF4E9}" name="Column5845"/>
    <tableColumn id="5849" xr3:uid="{0FADF74A-92AA-4024-A299-48F81B11F2F4}" name="Column5846"/>
    <tableColumn id="5850" xr3:uid="{ACB82E47-3E03-4A6F-893F-6D6167C54387}" name="Column5847"/>
    <tableColumn id="5851" xr3:uid="{3CC3D403-5D2D-4F4C-9A16-BFF9582C6AF5}" name="Column5848"/>
    <tableColumn id="5852" xr3:uid="{6575A74D-2783-4A61-80CC-F3A545FB7AD4}" name="Column5849"/>
    <tableColumn id="5853" xr3:uid="{4284A8D0-730B-46F3-8D3F-1AAA2FE5CF7D}" name="Column5850"/>
    <tableColumn id="5854" xr3:uid="{22FB71D2-68F8-4B0A-8BD3-7F20B01A7E90}" name="Column5851"/>
    <tableColumn id="5855" xr3:uid="{61E88B38-070C-4F80-B0A9-0759FAAEEDF1}" name="Column5852"/>
    <tableColumn id="5856" xr3:uid="{08774327-6802-407E-93EB-88F580AA9524}" name="Column5853"/>
    <tableColumn id="5857" xr3:uid="{243A58DB-71DE-4410-8F15-5724E9620D66}" name="Column5854"/>
    <tableColumn id="5858" xr3:uid="{65D29444-1075-41DB-874B-73C227B75D96}" name="Column5855"/>
    <tableColumn id="5859" xr3:uid="{11B7E6EC-68ED-47C3-8BD1-5CF58EB517E5}" name="Column5856"/>
    <tableColumn id="5860" xr3:uid="{E419F68F-2491-48AB-926A-D1CDAE319EEB}" name="Column5857"/>
    <tableColumn id="5861" xr3:uid="{7F078833-02B3-4715-9D83-4D172845496D}" name="Column5858"/>
    <tableColumn id="5862" xr3:uid="{4B145119-65BE-4E27-9D04-27720FDA2976}" name="Column5859"/>
    <tableColumn id="5863" xr3:uid="{9E988F81-A232-42A5-9986-63AFBF13F463}" name="Column5860"/>
    <tableColumn id="5864" xr3:uid="{47C911A6-7194-42EB-98DB-8D15DD3B8D18}" name="Column5861"/>
    <tableColumn id="5865" xr3:uid="{A0F5B126-5C9D-401F-A01A-EF797DC39C0C}" name="Column5862"/>
    <tableColumn id="5866" xr3:uid="{B4DE136E-3F31-40BB-9D9C-D5AA2F4E113F}" name="Column5863"/>
    <tableColumn id="5867" xr3:uid="{470468EB-F8CA-4DF9-ABCE-8493FF810418}" name="Column5864"/>
    <tableColumn id="5868" xr3:uid="{16474900-F37B-43EE-A3B2-C1A797BB8AA4}" name="Column5865"/>
    <tableColumn id="5869" xr3:uid="{BB4EFEDB-35F5-4977-BE96-D301BC51650D}" name="Column5866"/>
    <tableColumn id="5870" xr3:uid="{530FCC6A-25D3-46D8-862F-95061A67BADE}" name="Column5867"/>
    <tableColumn id="5871" xr3:uid="{387C3F0A-8767-4E2E-B8B7-892E48F870AB}" name="Column5868"/>
    <tableColumn id="5872" xr3:uid="{6E071783-C7B0-4679-BD15-83DDE12DA03F}" name="Column5869"/>
    <tableColumn id="5873" xr3:uid="{10CA2C40-F4F2-42E9-9911-8D21160EA9BD}" name="Column5870"/>
    <tableColumn id="5874" xr3:uid="{7D7E0D87-45D7-4BC5-A247-9AA6A2126E27}" name="Column5871"/>
    <tableColumn id="5875" xr3:uid="{498A34BE-65C7-477A-A04B-01F260D4C6AF}" name="Column5872"/>
    <tableColumn id="5876" xr3:uid="{F764F677-8D7F-488B-A946-6D6852AB7546}" name="Column5873"/>
    <tableColumn id="5877" xr3:uid="{1A9E5C10-1793-4785-AA48-56BE494523FC}" name="Column5874"/>
    <tableColumn id="5878" xr3:uid="{5A4A9404-F216-4DCD-A6F4-54BFB1240E9A}" name="Column5875"/>
    <tableColumn id="5879" xr3:uid="{C5E96DB6-3CCC-433F-AE31-BCFBC23C8945}" name="Column5876"/>
    <tableColumn id="5880" xr3:uid="{F899403D-4DCF-4643-AE1C-F79303605E32}" name="Column5877"/>
    <tableColumn id="5881" xr3:uid="{918A711A-73B2-4C1A-9EB2-2146BD53AA02}" name="Column5878"/>
    <tableColumn id="5882" xr3:uid="{B063076A-0ED6-4BDD-AFCE-47066C6C0C1A}" name="Column5879"/>
    <tableColumn id="5883" xr3:uid="{8DBBC476-122A-4100-AC35-FE0DE800CF91}" name="Column5880"/>
    <tableColumn id="5884" xr3:uid="{AB88CC94-AC34-4634-87E2-7433044F6FBB}" name="Column5881"/>
    <tableColumn id="5885" xr3:uid="{5E1D28DC-F1F9-42CD-B900-0852D2CFEE25}" name="Column5882"/>
    <tableColumn id="5886" xr3:uid="{94316A6E-96A5-41A2-8A47-6D42DD15762A}" name="Column5883"/>
    <tableColumn id="5887" xr3:uid="{EEFDF628-6EEB-4C87-8C12-6C61087692E8}" name="Column5884"/>
    <tableColumn id="5888" xr3:uid="{1D78D190-0F4C-45F1-8739-E8C9C44D44F0}" name="Column5885"/>
    <tableColumn id="5889" xr3:uid="{5777B28A-76A6-4554-839E-99BC5098B27C}" name="Column5886"/>
    <tableColumn id="5890" xr3:uid="{717168F2-D4F1-4C4B-8A53-E28CFFC23F50}" name="Column5887"/>
    <tableColumn id="5891" xr3:uid="{C58DA79B-C5C8-4AF2-84C0-01F2793B4C61}" name="Column5888"/>
    <tableColumn id="5892" xr3:uid="{B0D7DC13-13ED-43E2-A1ED-D55BEEA015B7}" name="Column5889"/>
    <tableColumn id="5893" xr3:uid="{F50E3C45-201E-41C5-A795-62AC35AF625B}" name="Column5890"/>
    <tableColumn id="5894" xr3:uid="{DF6E8B4E-E08A-454F-A65E-AF544C7D3F7F}" name="Column5891"/>
    <tableColumn id="5895" xr3:uid="{62FDD819-6FF5-43FD-B24C-6C6B2E0B08AF}" name="Column5892"/>
    <tableColumn id="5896" xr3:uid="{EDBA48D9-ADCD-4B1D-AF6F-64B2F53109A5}" name="Column5893"/>
    <tableColumn id="5897" xr3:uid="{0D4C3F94-3C21-49EE-8CA9-DF04C8239A62}" name="Column5894"/>
    <tableColumn id="5898" xr3:uid="{62BEF177-A141-4AB6-A8E5-17C0EBA4E6DE}" name="Column5895"/>
    <tableColumn id="5899" xr3:uid="{31FDC074-9C55-4325-937D-9B54630A0892}" name="Column5896"/>
    <tableColumn id="5900" xr3:uid="{C4319500-1AB3-47E4-A31A-667F9EBED106}" name="Column5897"/>
    <tableColumn id="5901" xr3:uid="{430F5A42-A3A0-4C19-9253-A4AEA134CF08}" name="Column5898"/>
    <tableColumn id="5902" xr3:uid="{48F02809-9034-4CC1-BDB2-A3D12ABCABA6}" name="Column5899"/>
    <tableColumn id="5903" xr3:uid="{F569F100-2D0B-439C-9FC1-F2D0E86D2B88}" name="Column5900"/>
    <tableColumn id="5904" xr3:uid="{7A583F98-2176-4F07-95D5-15A489B25B14}" name="Column5901"/>
    <tableColumn id="5905" xr3:uid="{CF9F1700-9DE1-4691-907E-8541EC906E0C}" name="Column5902"/>
    <tableColumn id="5906" xr3:uid="{DD1D9B9E-B42A-4ABB-AB3A-2EA2E96F394D}" name="Column5903"/>
    <tableColumn id="5907" xr3:uid="{905F9058-DCE7-4271-B47A-2A54228C5357}" name="Column5904"/>
    <tableColumn id="5908" xr3:uid="{863902A4-D7E0-4485-BBF5-8EC12CF2643B}" name="Column5905"/>
    <tableColumn id="5909" xr3:uid="{004686AF-B297-40C1-ABB0-3C9CBA07E991}" name="Column5906"/>
    <tableColumn id="5910" xr3:uid="{8E67930C-019F-4645-A8C5-DAB8F2BBC811}" name="Column5907"/>
    <tableColumn id="5911" xr3:uid="{85F67EF1-D10D-4AB8-8033-687B27AE4A91}" name="Column5908"/>
    <tableColumn id="5912" xr3:uid="{82543CD1-4513-4446-AB7D-39F117653188}" name="Column5909"/>
    <tableColumn id="5913" xr3:uid="{3282ADE8-B55B-4494-927E-DF20C0A1FE6A}" name="Column5910"/>
    <tableColumn id="5914" xr3:uid="{DD512151-50C1-4D69-AE9E-DA1D37199E61}" name="Column5911"/>
    <tableColumn id="5915" xr3:uid="{59E69B2A-D6AF-46FD-B2A8-6CFD6DE7C945}" name="Column5912"/>
    <tableColumn id="5916" xr3:uid="{32BE9788-12AE-41AB-B44B-3BC72179364E}" name="Column5913"/>
    <tableColumn id="5917" xr3:uid="{437A6D71-218D-4010-A103-52157CEEB47D}" name="Column5914"/>
    <tableColumn id="5918" xr3:uid="{A2C22E88-D0D9-4514-8FE5-4795F558AB87}" name="Column5915"/>
    <tableColumn id="5919" xr3:uid="{DD6C1654-F1AB-48B0-9B27-0ED43094D157}" name="Column5916"/>
    <tableColumn id="5920" xr3:uid="{C0F4332A-D500-410B-8399-F6763CBC6D38}" name="Column5917"/>
    <tableColumn id="5921" xr3:uid="{FBE0E446-9418-498F-8C6E-285F0D2E9B40}" name="Column5918"/>
    <tableColumn id="5922" xr3:uid="{9DE892D3-1AA3-4355-AF1B-12AFD39822EA}" name="Column5919"/>
    <tableColumn id="5923" xr3:uid="{59FEA769-829D-413C-85D4-6A4DB03DA426}" name="Column5920"/>
    <tableColumn id="5924" xr3:uid="{402EB95F-11CB-4202-A62B-8BC5661DCC77}" name="Column5921"/>
    <tableColumn id="5925" xr3:uid="{C8BAF434-5E2F-4FB7-961B-04DF73976335}" name="Column5922"/>
    <tableColumn id="5926" xr3:uid="{F7BC466C-FCBC-4BB4-85D5-A9014294F991}" name="Column5923"/>
    <tableColumn id="5927" xr3:uid="{6EAEE04F-AB00-4046-AF8F-851B982EEEF7}" name="Column5924"/>
    <tableColumn id="5928" xr3:uid="{3C21852F-9A27-4EC8-BB34-5534A79929FB}" name="Column5925"/>
    <tableColumn id="5929" xr3:uid="{372B3EAD-EB9D-4E81-8623-3AAE07AB98D3}" name="Column5926"/>
    <tableColumn id="5930" xr3:uid="{2CFD5B4A-4C7E-4D85-BD77-E3607E917F78}" name="Column5927"/>
    <tableColumn id="5931" xr3:uid="{C4E7EA21-CCE7-4333-985B-57E625C9B379}" name="Column5928"/>
    <tableColumn id="5932" xr3:uid="{4E4A5E7B-98B0-457D-924D-432F7DC714A9}" name="Column5929"/>
    <tableColumn id="5933" xr3:uid="{38BC084E-F54E-4376-AD3D-7F8E2DD0C919}" name="Column5930"/>
    <tableColumn id="5934" xr3:uid="{406EC95F-6F4C-4B9F-AA8F-3675DC0B7FD1}" name="Column5931"/>
    <tableColumn id="5935" xr3:uid="{8A3FCA8B-BE1F-43BE-AD77-89EE2582E87D}" name="Column5932"/>
    <tableColumn id="5936" xr3:uid="{7DA27A1B-4B8E-4924-B44A-B8CAE63C99A3}" name="Column5933"/>
    <tableColumn id="5937" xr3:uid="{20C274D1-C8E5-4352-B500-96B596600A5E}" name="Column5934"/>
    <tableColumn id="5938" xr3:uid="{412AB4C5-BBCA-4115-B971-362900E133C8}" name="Column5935"/>
    <tableColumn id="5939" xr3:uid="{5A3DDE9D-E420-425E-B965-5A14EB3F40CE}" name="Column5936"/>
    <tableColumn id="5940" xr3:uid="{0A221916-73BC-4729-85F6-E2E63EB20F09}" name="Column5937"/>
    <tableColumn id="5941" xr3:uid="{092597BF-A3B0-4A87-8EFE-77BD0866C43D}" name="Column5938"/>
    <tableColumn id="5942" xr3:uid="{C534E360-A8B8-4033-B363-BD1B60169200}" name="Column5939"/>
    <tableColumn id="5943" xr3:uid="{83810F42-53CB-4A87-99E6-CE4DAE57E918}" name="Column5940"/>
    <tableColumn id="5944" xr3:uid="{EF364D6E-8AB8-47D8-8DE6-CEEAD65ECDDB}" name="Column5941"/>
    <tableColumn id="5945" xr3:uid="{16646609-4550-4795-822F-F3B46CA21C6D}" name="Column5942"/>
    <tableColumn id="5946" xr3:uid="{B8932E9A-9B40-4C3B-872E-A5E6B1724741}" name="Column5943"/>
    <tableColumn id="5947" xr3:uid="{57E9B394-03E0-4CCE-B3B8-F4254F030DFA}" name="Column5944"/>
    <tableColumn id="5948" xr3:uid="{F29BEAEB-D8C4-435C-B753-F2B79D7DA58F}" name="Column5945"/>
    <tableColumn id="5949" xr3:uid="{5862E444-295E-4E42-A676-EAFBE644730E}" name="Column5946"/>
    <tableColumn id="5950" xr3:uid="{AA8F3594-7D3D-4080-B3C6-102592069597}" name="Column5947"/>
    <tableColumn id="5951" xr3:uid="{2F8C941D-1332-4CCC-85CD-0A23AE5120F0}" name="Column5948"/>
    <tableColumn id="5952" xr3:uid="{924BBC8F-8A7D-46C9-A438-738253312DE9}" name="Column5949"/>
    <tableColumn id="5953" xr3:uid="{C1281F35-0C03-4799-BB62-A135B76A4B09}" name="Column5950"/>
    <tableColumn id="5954" xr3:uid="{7E1B3792-855E-43B7-ADA7-0C238664ADF8}" name="Column5951"/>
    <tableColumn id="5955" xr3:uid="{66B73266-3938-491B-9D30-DF2588C8CBF8}" name="Column5952"/>
    <tableColumn id="5956" xr3:uid="{25632800-8BF6-4694-AA74-AF5EE77C00D0}" name="Column5953"/>
    <tableColumn id="5957" xr3:uid="{0F6789AD-857D-4FE8-A6B3-B3353559626A}" name="Column5954"/>
    <tableColumn id="5958" xr3:uid="{24180C5C-B7A0-47BA-ABA8-7517DBC87D91}" name="Column5955"/>
    <tableColumn id="5959" xr3:uid="{5892209D-6A09-4AAD-BD0A-F58CD2ADCBAA}" name="Column5956"/>
    <tableColumn id="5960" xr3:uid="{00226A11-A905-4069-ABB7-D1C163D95E62}" name="Column5957"/>
    <tableColumn id="5961" xr3:uid="{5EE77FDF-2D8E-41E1-B649-FD4DDF49C684}" name="Column5958"/>
    <tableColumn id="5962" xr3:uid="{8BCCFBC5-D7D1-418D-8066-4C2E1B0A97B4}" name="Column5959"/>
    <tableColumn id="5963" xr3:uid="{E119AC37-5D05-4BF4-B02F-D2AF315DC053}" name="Column5960"/>
    <tableColumn id="5964" xr3:uid="{ACE77CC6-9CA1-433F-87B8-A2D95C54F6AD}" name="Column5961"/>
    <tableColumn id="5965" xr3:uid="{0A0095BE-7C03-4EAE-8EA8-76F0577E91BC}" name="Column5962"/>
    <tableColumn id="5966" xr3:uid="{D6BF93A0-DC47-4C76-A640-ABF975DC99EE}" name="Column5963"/>
    <tableColumn id="5967" xr3:uid="{30437394-CDA4-4A91-863A-B827BBA56DDB}" name="Column5964"/>
    <tableColumn id="5968" xr3:uid="{45D48873-6834-4805-9E99-6E5A042CE074}" name="Column5965"/>
    <tableColumn id="5969" xr3:uid="{A2ECCCF3-FFED-41DD-8465-2F806DE17759}" name="Column5966"/>
    <tableColumn id="5970" xr3:uid="{0CEABF6C-AD34-4040-B98E-34E934EB3C4C}" name="Column5967"/>
    <tableColumn id="5971" xr3:uid="{D91224D9-47A1-4305-BC61-01544F160626}" name="Column5968"/>
    <tableColumn id="5972" xr3:uid="{107EF206-DF84-4EB0-851D-28647165EBBE}" name="Column5969"/>
    <tableColumn id="5973" xr3:uid="{1B3E2455-C717-42FA-BA9E-123F748A4408}" name="Column5970"/>
    <tableColumn id="5974" xr3:uid="{61B0799D-0381-4516-A13B-13A784E360E0}" name="Column5971"/>
    <tableColumn id="5975" xr3:uid="{03804228-AA17-426B-A070-BAB7BA067C65}" name="Column5972"/>
    <tableColumn id="5976" xr3:uid="{93881885-72A9-4A43-B2C6-D45323C1C718}" name="Column5973"/>
    <tableColumn id="5977" xr3:uid="{685D0C2E-3552-448B-AFB4-89BDE6085D5C}" name="Column5974"/>
    <tableColumn id="5978" xr3:uid="{09F68C6E-29BE-47DA-A953-28CCD5EA89BE}" name="Column5975"/>
    <tableColumn id="5979" xr3:uid="{DBF5EE83-71BB-405D-BB02-FAC49F18FA59}" name="Column5976"/>
    <tableColumn id="5980" xr3:uid="{B1FAF9F3-4A34-4F69-BD30-DF1EA1D08903}" name="Column5977"/>
    <tableColumn id="5981" xr3:uid="{7B9D016D-CAF8-458C-89A5-46DA43552088}" name="Column5978"/>
    <tableColumn id="5982" xr3:uid="{3CE2C180-0315-4B9B-B8BC-CAC8923357CD}" name="Column5979"/>
    <tableColumn id="5983" xr3:uid="{C1A17B0C-03FF-49D8-8C08-3301BA1E6DA7}" name="Column5980"/>
    <tableColumn id="5984" xr3:uid="{4A2DAF30-9BEE-4756-9EBF-577C45B614D4}" name="Column5981"/>
    <tableColumn id="5985" xr3:uid="{AAE23CAE-3769-41CE-B263-2221A347F604}" name="Column5982"/>
    <tableColumn id="5986" xr3:uid="{DEC709F1-A721-4D88-9FFC-60D07734E066}" name="Column5983"/>
    <tableColumn id="5987" xr3:uid="{4B6A1BA5-C487-4E48-AACB-8F520C783B53}" name="Column5984"/>
    <tableColumn id="5988" xr3:uid="{BCC0400E-BE6D-409B-B54A-38AB1A89C34C}" name="Column5985"/>
    <tableColumn id="5989" xr3:uid="{13FC1118-0772-446A-90BC-654E3543329C}" name="Column5986"/>
    <tableColumn id="5990" xr3:uid="{304F2BA9-70FD-4DD5-8A68-165135F2E275}" name="Column5987"/>
    <tableColumn id="5991" xr3:uid="{7932F13D-CC25-4A8A-BFA2-6769F65F1C9B}" name="Column5988"/>
    <tableColumn id="5992" xr3:uid="{925E27CC-D349-4E06-BB19-F7C6C29BE18A}" name="Column5989"/>
    <tableColumn id="5993" xr3:uid="{2D0230CB-1C59-4137-8C07-F589A49C8B1E}" name="Column5990"/>
    <tableColumn id="5994" xr3:uid="{0694538D-7797-468E-A47C-698B176D736B}" name="Column5991"/>
    <tableColumn id="5995" xr3:uid="{197B88D9-0138-47A7-BE2D-24512E3724AB}" name="Column5992"/>
    <tableColumn id="5996" xr3:uid="{84758247-E84F-4339-B4E5-6C64E0F70612}" name="Column5993"/>
    <tableColumn id="5997" xr3:uid="{741E85B0-3D15-4CC1-9304-7369FD2125AD}" name="Column5994"/>
    <tableColumn id="5998" xr3:uid="{706C827C-4A7D-43A2-B6B9-26A82350AE5D}" name="Column5995"/>
    <tableColumn id="5999" xr3:uid="{CBA73800-7518-4593-8B9E-E4B6E522CC83}" name="Column5996"/>
    <tableColumn id="6000" xr3:uid="{AEAC42CC-8889-402B-83E4-6A317C6D3E04}" name="Column5997"/>
    <tableColumn id="6001" xr3:uid="{738F254C-88D6-4322-BD5E-83C491125D59}" name="Column5998"/>
    <tableColumn id="6002" xr3:uid="{75E81F64-6554-4F1E-8B4D-9F0877FC9D96}" name="Column5999"/>
    <tableColumn id="6003" xr3:uid="{AE4DFC4A-D649-48EA-8AF7-A21C383F8316}" name="Column6000"/>
    <tableColumn id="6004" xr3:uid="{7A130228-F21E-4566-9521-97B7588D103D}" name="Column6001"/>
    <tableColumn id="6005" xr3:uid="{1833D80D-3E59-4616-A2CA-84137986DAFD}" name="Column6002"/>
    <tableColumn id="6006" xr3:uid="{53F1ED02-E9A5-4B33-ADF7-3387C1140473}" name="Column6003"/>
    <tableColumn id="6007" xr3:uid="{7F7633C9-B13D-407A-8323-D41DAB01A607}" name="Column6004"/>
    <tableColumn id="6008" xr3:uid="{0A397449-388F-41EC-8CA1-92AD2E27EC61}" name="Column6005"/>
    <tableColumn id="6009" xr3:uid="{FE442528-88FF-4B2B-827E-52A8A8631005}" name="Column6006"/>
    <tableColumn id="6010" xr3:uid="{42EC60AB-E61C-4193-8FDB-5B68BEBEC158}" name="Column6007"/>
    <tableColumn id="6011" xr3:uid="{DF70C61D-A44E-4D93-A0E3-8D3881621290}" name="Column6008"/>
    <tableColumn id="6012" xr3:uid="{D7CEDA60-FA31-4068-9F8A-B33428264126}" name="Column6009"/>
    <tableColumn id="6013" xr3:uid="{A9B72570-8AF5-4A53-A73B-827DADFD06AB}" name="Column6010"/>
    <tableColumn id="6014" xr3:uid="{6E9817D4-2270-45BB-9C59-E346E34DBA87}" name="Column6011"/>
    <tableColumn id="6015" xr3:uid="{41DBA1FF-F8AA-4BC0-B4A2-D167F408C180}" name="Column6012"/>
    <tableColumn id="6016" xr3:uid="{5D4868C8-C9B7-4C44-9A9B-3D516D458FAF}" name="Column6013"/>
    <tableColumn id="6017" xr3:uid="{08D95066-6F49-4C7C-AED1-64FCE3F6B1BE}" name="Column6014"/>
    <tableColumn id="6018" xr3:uid="{7765B580-23DC-4FD8-8844-D916F9B00E3E}" name="Column6015"/>
    <tableColumn id="6019" xr3:uid="{9B0B91DE-2EEF-471F-BC43-C03113EAFA1C}" name="Column6016"/>
    <tableColumn id="6020" xr3:uid="{9706C4EB-B692-4FCC-9C9C-CF3B08F092E8}" name="Column6017"/>
    <tableColumn id="6021" xr3:uid="{49A06AF8-409B-4750-9C6B-D38F3815D244}" name="Column6018"/>
    <tableColumn id="6022" xr3:uid="{6A118A22-D14A-4313-AD27-7E3E819BDD02}" name="Column6019"/>
    <tableColumn id="6023" xr3:uid="{D979EC64-A9BC-4E37-9445-ED70FB3202D8}" name="Column6020"/>
    <tableColumn id="6024" xr3:uid="{BF30C9FF-A4DF-40E8-882F-7A4B4D4E39DC}" name="Column6021"/>
    <tableColumn id="6025" xr3:uid="{5879F3A9-2312-457B-8935-5FC78EF09F4A}" name="Column6022"/>
    <tableColumn id="6026" xr3:uid="{43AB18E3-DCBB-457B-817A-256D58B0EB16}" name="Column6023"/>
    <tableColumn id="6027" xr3:uid="{17560959-5DE6-4A10-907F-DA929999CEE5}" name="Column6024"/>
    <tableColumn id="6028" xr3:uid="{8F184E7E-3C35-41DB-BA59-4EE7A92D4E77}" name="Column6025"/>
    <tableColumn id="6029" xr3:uid="{C6C98651-EFC1-4B93-B21A-75D8BD75D040}" name="Column6026"/>
    <tableColumn id="6030" xr3:uid="{972179EA-4A5A-4C21-9209-0C09E35E85E6}" name="Column6027"/>
    <tableColumn id="6031" xr3:uid="{25AA39FD-E730-4ECC-BE1A-D49F5BC5FE0D}" name="Column6028"/>
    <tableColumn id="6032" xr3:uid="{D250C4D3-F913-4B1F-8FEB-1B1B27DA3565}" name="Column6029"/>
    <tableColumn id="6033" xr3:uid="{C93070FA-2D33-4AE5-BE63-FEADFD1BF562}" name="Column6030"/>
    <tableColumn id="6034" xr3:uid="{287D859E-6CEE-4145-B13C-820DCAC412DA}" name="Column6031"/>
    <tableColumn id="6035" xr3:uid="{3D707235-F8A2-46BA-A776-35351D9A5A7A}" name="Column6032"/>
    <tableColumn id="6036" xr3:uid="{00B9A8DA-C049-40B9-930D-63C5496362E9}" name="Column6033"/>
    <tableColumn id="6037" xr3:uid="{80CB4C06-EA47-4E58-9D43-1D71AFF65C96}" name="Column6034"/>
    <tableColumn id="6038" xr3:uid="{2786BD33-8A74-41BE-AAE3-78ADE291A42C}" name="Column6035"/>
    <tableColumn id="6039" xr3:uid="{C518CB68-47F3-49DC-B816-C2B3B8C4E952}" name="Column6036"/>
    <tableColumn id="6040" xr3:uid="{B85E8E2E-4CAE-4714-BF52-E0ECBB2839B4}" name="Column6037"/>
    <tableColumn id="6041" xr3:uid="{03902219-AF5E-4DF5-AAED-EC31DC3DE7A7}" name="Column6038"/>
    <tableColumn id="6042" xr3:uid="{39659DF5-5D66-4737-9BF4-FEEEEBD4279C}" name="Column6039"/>
    <tableColumn id="6043" xr3:uid="{B4C58029-2DBF-4767-A2CD-0213523244E9}" name="Column6040"/>
    <tableColumn id="6044" xr3:uid="{CA4CA2E1-3245-4B97-9973-68CE40DCB64B}" name="Column6041"/>
    <tableColumn id="6045" xr3:uid="{A1ABC7B5-F65F-4D54-8FE1-BC806E76A3E3}" name="Column6042"/>
    <tableColumn id="6046" xr3:uid="{B656DD6D-224B-46EB-AA54-3C0DE90F0B9F}" name="Column6043"/>
    <tableColumn id="6047" xr3:uid="{ACB623E9-2F98-48F1-9390-E55B120C85A2}" name="Column6044"/>
    <tableColumn id="6048" xr3:uid="{B2881F3E-E7C0-40A3-8C02-53B54F026767}" name="Column6045"/>
    <tableColumn id="6049" xr3:uid="{60ECD74C-3B27-4E81-A1DC-4AA1FF3E047C}" name="Column6046"/>
    <tableColumn id="6050" xr3:uid="{53334603-0760-4FAE-9473-BB12CF73506B}" name="Column6047"/>
    <tableColumn id="6051" xr3:uid="{FD74F7D2-B2EC-4D9B-BC52-910B15A848EB}" name="Column6048"/>
    <tableColumn id="6052" xr3:uid="{14DF63F1-F926-468A-9DC7-370E438F1101}" name="Column6049"/>
    <tableColumn id="6053" xr3:uid="{CD97394A-F840-4C61-9D46-D89E924DD476}" name="Column6050"/>
    <tableColumn id="6054" xr3:uid="{50696EAC-3341-42A5-A56B-FF0F62FDD17D}" name="Column6051"/>
    <tableColumn id="6055" xr3:uid="{36961BE0-C384-433D-B5AA-33EB6F36BBF6}" name="Column6052"/>
    <tableColumn id="6056" xr3:uid="{E07D7476-D31C-4BAE-ACC2-5BEF4BF9F812}" name="Column6053"/>
    <tableColumn id="6057" xr3:uid="{A10AEDA0-2C9F-4D84-AF30-A31B966F67D7}" name="Column6054"/>
    <tableColumn id="6058" xr3:uid="{58BDF97D-A572-40F2-8265-E8DE32C0D5F3}" name="Column6055"/>
    <tableColumn id="6059" xr3:uid="{E164F809-4611-416D-992D-19A0E1B49590}" name="Column6056"/>
    <tableColumn id="6060" xr3:uid="{0C6437FA-93F1-45D3-8F0C-C77FCFBF472B}" name="Column6057"/>
    <tableColumn id="6061" xr3:uid="{F2FF3BD5-D04D-4273-913A-60DB8C27F2D3}" name="Column6058"/>
    <tableColumn id="6062" xr3:uid="{03D4348F-6554-49CA-BE98-42FB0EFDA8D3}" name="Column6059"/>
    <tableColumn id="6063" xr3:uid="{789A9670-C0A0-48E7-A5BD-C9DBD98B6714}" name="Column6060"/>
    <tableColumn id="6064" xr3:uid="{602456F3-26CC-4675-8021-4B6475C46C08}" name="Column6061"/>
    <tableColumn id="6065" xr3:uid="{7CB9C5D6-4808-4A8E-9A91-1F36F9C6467A}" name="Column6062"/>
    <tableColumn id="6066" xr3:uid="{75E3D20C-D1A7-4897-B521-E1AD6B272ECB}" name="Column6063"/>
    <tableColumn id="6067" xr3:uid="{F0E885D8-A51B-407A-A3DF-2D7650198DF1}" name="Column6064"/>
    <tableColumn id="6068" xr3:uid="{DED7A11E-B500-446F-81E9-7A8FD862B0BC}" name="Column6065"/>
    <tableColumn id="6069" xr3:uid="{717D185F-9625-4291-8F06-EDCB8FD532D3}" name="Column6066"/>
    <tableColumn id="6070" xr3:uid="{A1B40053-CE2B-425D-B2E7-85BE4A0A6286}" name="Column6067"/>
    <tableColumn id="6071" xr3:uid="{E0D1855C-725B-4A6B-8743-3AC5ACE6F9DD}" name="Column6068"/>
    <tableColumn id="6072" xr3:uid="{96B33F96-60C6-49E5-BA35-B8D82EFD7F06}" name="Column6069"/>
    <tableColumn id="6073" xr3:uid="{072D26F3-47D7-4ED4-96C2-82653C3E4AC9}" name="Column6070"/>
    <tableColumn id="6074" xr3:uid="{C8338728-4A56-4240-9E64-7175E333E978}" name="Column6071"/>
    <tableColumn id="6075" xr3:uid="{418705B9-47A5-422D-8840-52316C97B2FB}" name="Column6072"/>
    <tableColumn id="6076" xr3:uid="{E333AF14-A094-4F93-9507-8A6B36F18787}" name="Column6073"/>
    <tableColumn id="6077" xr3:uid="{0E9AD293-80A3-46BC-B083-54A02F87BFBD}" name="Column6074"/>
    <tableColumn id="6078" xr3:uid="{6CF28BB9-9B5D-478B-B91F-9CAB2264DD87}" name="Column6075"/>
    <tableColumn id="6079" xr3:uid="{218AB22D-F093-4D05-8D42-1EDA2FE063CD}" name="Column6076"/>
    <tableColumn id="6080" xr3:uid="{9FC2EC02-1DEC-4EB0-B12C-6A35B26702A5}" name="Column6077"/>
    <tableColumn id="6081" xr3:uid="{1755D2E2-24BB-47FD-A083-1594C2E71935}" name="Column6078"/>
    <tableColumn id="6082" xr3:uid="{3B2499B1-62AD-40CB-9A61-2603F0A145F5}" name="Column6079"/>
    <tableColumn id="6083" xr3:uid="{948E94E2-D741-4D4C-A31C-3B096B224A40}" name="Column6080"/>
    <tableColumn id="6084" xr3:uid="{6968E31E-C04B-4669-B105-5A37E5BE98A5}" name="Column6081"/>
    <tableColumn id="6085" xr3:uid="{3303100E-B5C9-4AD3-A450-F044736838EA}" name="Column6082"/>
    <tableColumn id="6086" xr3:uid="{3DB4E9CC-9B2E-4C27-AD7F-49C04D10863A}" name="Column6083"/>
    <tableColumn id="6087" xr3:uid="{64D6CAE3-22C7-463E-9177-08837EB7D15B}" name="Column6084"/>
    <tableColumn id="6088" xr3:uid="{D27BE051-A3A1-4869-96A7-C7A82B402BD1}" name="Column6085"/>
    <tableColumn id="6089" xr3:uid="{4E7CCA65-6BF2-4F55-B7FD-90C0B6A22F87}" name="Column6086"/>
    <tableColumn id="6090" xr3:uid="{652C37CE-9F32-486B-869C-96833067C46A}" name="Column6087"/>
    <tableColumn id="6091" xr3:uid="{9BF0FC41-EC72-4047-9A78-B97FA19E9CAE}" name="Column6088"/>
    <tableColumn id="6092" xr3:uid="{DA5F8279-F418-4818-9BC6-0463F502F92C}" name="Column6089"/>
    <tableColumn id="6093" xr3:uid="{38CC32AD-C6A9-4718-83FD-BFCD5E39634B}" name="Column6090"/>
    <tableColumn id="6094" xr3:uid="{ED7D37D5-BAB1-4793-9726-2420B3FCC1C7}" name="Column6091"/>
    <tableColumn id="6095" xr3:uid="{8BF6751D-8E3D-421A-AE4C-9AE0CEE312A4}" name="Column6092"/>
    <tableColumn id="6096" xr3:uid="{DF1135BC-FB62-4BEC-8AA4-E0C789417C18}" name="Column6093"/>
    <tableColumn id="6097" xr3:uid="{0AB5B53E-A7C5-4F0E-B39C-639010306329}" name="Column6094"/>
    <tableColumn id="6098" xr3:uid="{23AA4C12-5F67-4AC8-BF19-47DCF457CFAB}" name="Column6095"/>
    <tableColumn id="6099" xr3:uid="{FE4079ED-1294-4BCB-A23C-D9A483A836EE}" name="Column6096"/>
    <tableColumn id="6100" xr3:uid="{AFDD3BFC-0D72-4FE2-AAAA-25DF36BCEAB5}" name="Column6097"/>
    <tableColumn id="6101" xr3:uid="{F7375716-BF52-4698-9391-25401E0BD38C}" name="Column6098"/>
    <tableColumn id="6102" xr3:uid="{E6AC8665-78A9-4E7F-A516-43ED8055B6B6}" name="Column6099"/>
    <tableColumn id="6103" xr3:uid="{677A5EB4-B96C-4D93-A387-6AB3B6D1526F}" name="Column6100"/>
    <tableColumn id="6104" xr3:uid="{16D309BF-69BC-4BBA-8E68-9A0F5AD12605}" name="Column6101"/>
    <tableColumn id="6105" xr3:uid="{B49EF52A-F7C9-4250-A426-5AA23B50F878}" name="Column6102"/>
    <tableColumn id="6106" xr3:uid="{FBBFFDC6-E6C1-49BC-B02F-7C44B2BC27B5}" name="Column6103"/>
    <tableColumn id="6107" xr3:uid="{FF123A2D-C52C-4584-9B6A-BA815996E012}" name="Column6104"/>
    <tableColumn id="6108" xr3:uid="{E6C434D5-4A10-42DE-98A4-D061EA261741}" name="Column6105"/>
    <tableColumn id="6109" xr3:uid="{05D2CF53-7BCD-459B-9C9D-A37B9BA3F9D4}" name="Column6106"/>
    <tableColumn id="6110" xr3:uid="{6AC5D8C2-E7A9-4090-BACC-54F9AE651822}" name="Column6107"/>
    <tableColumn id="6111" xr3:uid="{5F01F30A-46B0-46F3-B1D2-D0A9E0CFCEA5}" name="Column6108"/>
    <tableColumn id="6112" xr3:uid="{B71E852B-421F-46C7-B40E-941077426881}" name="Column6109"/>
    <tableColumn id="6113" xr3:uid="{A2B69142-C07F-4C97-B24A-EA597FF08863}" name="Column6110"/>
    <tableColumn id="6114" xr3:uid="{6CE6A022-F92E-430B-922E-A17374B1AF06}" name="Column6111"/>
    <tableColumn id="6115" xr3:uid="{122B13F6-F7C5-4CA3-A19D-1A1F6C84C96D}" name="Column6112"/>
    <tableColumn id="6116" xr3:uid="{2DE4849E-9A58-44FC-9399-4AF07342C62A}" name="Column6113"/>
    <tableColumn id="6117" xr3:uid="{4D1C7ABB-D9F6-42DF-BBCE-91E6C18E9DDD}" name="Column6114"/>
    <tableColumn id="6118" xr3:uid="{31DFD6F8-233E-43E4-BF0E-7E267F444AD7}" name="Column6115"/>
    <tableColumn id="6119" xr3:uid="{94EBE931-5356-4C26-9CA8-8BF3BA9F3F0F}" name="Column6116"/>
    <tableColumn id="6120" xr3:uid="{615DBD2B-C77A-42B6-BCAE-053866E21176}" name="Column6117"/>
    <tableColumn id="6121" xr3:uid="{8FC2ECED-FD66-4001-B6D5-2E50187C2413}" name="Column6118"/>
    <tableColumn id="6122" xr3:uid="{A907B415-5E17-45AD-B4D8-8D1D088AFFB7}" name="Column6119"/>
    <tableColumn id="6123" xr3:uid="{80AD7CE8-BD3F-4510-85BF-11B0D1E4D661}" name="Column6120"/>
    <tableColumn id="6124" xr3:uid="{708251A8-9E03-424D-B49D-05D8684ED9B2}" name="Column6121"/>
    <tableColumn id="6125" xr3:uid="{2EA3CCFD-08CD-4B46-AB6D-1ED852C72D77}" name="Column6122"/>
    <tableColumn id="6126" xr3:uid="{8E718B56-CAAE-486B-8A4D-7D217F85BE08}" name="Column6123"/>
    <tableColumn id="6127" xr3:uid="{2290A9BB-73E7-42AC-988C-E104BBC35E8C}" name="Column6124"/>
    <tableColumn id="6128" xr3:uid="{A6091A0B-EF76-4A91-AC6D-E59D871EDFBE}" name="Column6125"/>
    <tableColumn id="6129" xr3:uid="{CEDCD226-486D-478C-9A6A-855AD71E9718}" name="Column6126"/>
    <tableColumn id="6130" xr3:uid="{073CFCA5-515B-4620-B9A5-E43295E2D4E3}" name="Column6127"/>
    <tableColumn id="6131" xr3:uid="{EE6F3E63-A374-4B7A-A6E6-629A21645E78}" name="Column6128"/>
    <tableColumn id="6132" xr3:uid="{6A9E9015-AE92-42B1-B6F3-0218D7B84405}" name="Column6129"/>
    <tableColumn id="6133" xr3:uid="{54898A33-09DF-4D3F-82A5-5AC72ACAEDAA}" name="Column6130"/>
    <tableColumn id="6134" xr3:uid="{31BBE89B-9ABC-4D10-B926-0F20B00EC86B}" name="Column6131"/>
    <tableColumn id="6135" xr3:uid="{32203AE3-54E2-4EC4-B1D4-D2DD31836F86}" name="Column6132"/>
    <tableColumn id="6136" xr3:uid="{B73DDC55-3C88-45C5-A665-4DD05A293E4A}" name="Column6133"/>
    <tableColumn id="6137" xr3:uid="{9000F028-44BF-495D-8CF1-4D072A6F655C}" name="Column6134"/>
    <tableColumn id="6138" xr3:uid="{8477E52E-8822-46FA-8A7C-C7E51AD2069E}" name="Column6135"/>
    <tableColumn id="6139" xr3:uid="{D303A051-C4C5-470F-9F0E-C850FC98CC3D}" name="Column6136"/>
    <tableColumn id="6140" xr3:uid="{CD85D2E5-665E-43F7-970B-851275095D6A}" name="Column6137"/>
    <tableColumn id="6141" xr3:uid="{7E190DB5-2A31-490A-80A4-5B026CE9CB5C}" name="Column6138"/>
    <tableColumn id="6142" xr3:uid="{15BD20B1-B57A-4081-87DF-78E2EBCEE4E4}" name="Column6139"/>
    <tableColumn id="6143" xr3:uid="{F3C6B902-F518-4220-B97D-87C3562ADF31}" name="Column6140"/>
    <tableColumn id="6144" xr3:uid="{8138F362-939F-418D-8873-1C93B9D67E30}" name="Column6141"/>
    <tableColumn id="6145" xr3:uid="{C7D9FEEA-F577-4096-8D6B-BC1028C9D0A7}" name="Column6142"/>
    <tableColumn id="6146" xr3:uid="{3455CB68-671A-4163-9947-8131FE108A35}" name="Column6143"/>
    <tableColumn id="6147" xr3:uid="{C6D1232B-F9F9-47CF-9175-1D40CD32D228}" name="Column6144"/>
    <tableColumn id="6148" xr3:uid="{D60FF3E7-1974-4C91-8061-21BE27594A19}" name="Column6145"/>
    <tableColumn id="6149" xr3:uid="{6EADE301-A030-46BD-B351-A917E943A7F0}" name="Column6146"/>
    <tableColumn id="6150" xr3:uid="{4F6E42B3-6AEB-491E-86DC-1556D5E9F300}" name="Column6147"/>
    <tableColumn id="6151" xr3:uid="{070C57CE-D37E-4457-9C16-81CDC48A65F1}" name="Column6148"/>
    <tableColumn id="6152" xr3:uid="{24223BAA-58FE-4740-AD1B-B75E83769EBB}" name="Column6149"/>
    <tableColumn id="6153" xr3:uid="{1F1798FF-A447-4310-ACF2-4FB4F82D04C1}" name="Column6150"/>
    <tableColumn id="6154" xr3:uid="{BFB04943-B17E-4CA3-BEFD-971A32D2F09F}" name="Column6151"/>
    <tableColumn id="6155" xr3:uid="{E6FCD2D3-5C0F-40E1-8E42-93B6A1EDC91A}" name="Column6152"/>
    <tableColumn id="6156" xr3:uid="{20F3873A-F3F7-40D4-9A25-B85F290D5280}" name="Column6153"/>
    <tableColumn id="6157" xr3:uid="{BC3CDAFA-34B8-4183-9C10-DBC69048A6CB}" name="Column6154"/>
    <tableColumn id="6158" xr3:uid="{38002B19-EB16-4C03-B6BA-C165AC9ADD7F}" name="Column6155"/>
    <tableColumn id="6159" xr3:uid="{7E4210B6-F1B7-4E82-8A84-992AA05C8A6A}" name="Column6156"/>
    <tableColumn id="6160" xr3:uid="{A0A17E96-EE2E-4FA6-BE25-21EFD4A26C11}" name="Column6157"/>
    <tableColumn id="6161" xr3:uid="{82CF1570-5B37-4511-BF9D-DCB03677F4E2}" name="Column6158"/>
    <tableColumn id="6162" xr3:uid="{6C0B8F47-DC8E-4780-B733-95B750C1431A}" name="Column6159"/>
    <tableColumn id="6163" xr3:uid="{DBC230B6-FB5F-48F6-90F0-ADA3654D23C1}" name="Column6160"/>
    <tableColumn id="6164" xr3:uid="{6F512872-6289-4897-AB1B-D9189662270B}" name="Column6161"/>
    <tableColumn id="6165" xr3:uid="{26DDC8CD-B78B-4969-B834-32A7E14E3ED6}" name="Column6162"/>
    <tableColumn id="6166" xr3:uid="{1C9FBF4D-8C13-416B-AFE0-960C0010CA17}" name="Column6163"/>
    <tableColumn id="6167" xr3:uid="{F7462A39-21D8-41B4-B10C-985FB53F73F6}" name="Column6164"/>
    <tableColumn id="6168" xr3:uid="{B8F0010E-6989-4B72-AC4D-E2829C76CD49}" name="Column6165"/>
    <tableColumn id="6169" xr3:uid="{651C39B7-7422-468D-A8C2-489428CEA667}" name="Column6166"/>
    <tableColumn id="6170" xr3:uid="{B77FE5E7-E02D-4178-B347-6DFE64E8CCFD}" name="Column6167"/>
    <tableColumn id="6171" xr3:uid="{FBD9DE7B-23EF-4B05-86BB-D5609FFE4000}" name="Column6168"/>
    <tableColumn id="6172" xr3:uid="{1714F422-88C5-4DD4-AF1F-E62C708A4AB9}" name="Column6169"/>
    <tableColumn id="6173" xr3:uid="{FF7E8035-B9C8-46F1-82EE-73DE1B535EA2}" name="Column6170"/>
    <tableColumn id="6174" xr3:uid="{910B1061-6EB8-42EC-831D-2D6AF26203AD}" name="Column6171"/>
    <tableColumn id="6175" xr3:uid="{257DB8D6-AB23-45F6-B0DF-1BE1261F9ADF}" name="Column6172"/>
    <tableColumn id="6176" xr3:uid="{4B846AC7-E7E4-48CF-9731-949D2555CF4B}" name="Column6173"/>
    <tableColumn id="6177" xr3:uid="{16108BA4-4C07-489D-8ED3-EECA69DB34E1}" name="Column6174"/>
    <tableColumn id="6178" xr3:uid="{D1DE2C5D-EB78-4FF3-BB76-04245A1DB549}" name="Column6175"/>
    <tableColumn id="6179" xr3:uid="{95A43CE3-0864-4C17-A1BD-42043DA78790}" name="Column6176"/>
    <tableColumn id="6180" xr3:uid="{5E83E754-32F8-40D9-A4DC-708256BDFA14}" name="Column6177"/>
    <tableColumn id="6181" xr3:uid="{CEF85C62-E69F-4910-A778-F42F9562AAFA}" name="Column6178"/>
    <tableColumn id="6182" xr3:uid="{5A2B0566-5968-488E-B565-059F594CC0A5}" name="Column6179"/>
    <tableColumn id="6183" xr3:uid="{9507F9CF-6B25-435A-944F-BB1DC8F3FA2A}" name="Column6180"/>
    <tableColumn id="6184" xr3:uid="{7751656F-09C8-461C-A9FD-323ED8F2D25D}" name="Column6181"/>
    <tableColumn id="6185" xr3:uid="{4AF14DA4-D22A-493D-981E-1DABCA44C222}" name="Column6182"/>
    <tableColumn id="6186" xr3:uid="{C945DDDD-6005-4E09-9B4B-E66EDD3BA8CE}" name="Column6183"/>
    <tableColumn id="6187" xr3:uid="{CAAB983C-F4AA-4897-995D-52E5A41364DB}" name="Column6184"/>
    <tableColumn id="6188" xr3:uid="{69C5873D-4D00-4CAF-BBC7-075B4F8E5040}" name="Column6185"/>
    <tableColumn id="6189" xr3:uid="{5C1B47F4-B247-48A7-AB77-3B9F45698AB6}" name="Column6186"/>
    <tableColumn id="6190" xr3:uid="{94638DAC-10DC-4CE8-B008-CDDEBBF06D26}" name="Column6187"/>
    <tableColumn id="6191" xr3:uid="{FEA97183-B9F5-4F3B-8BD5-383415A95A87}" name="Column6188"/>
    <tableColumn id="6192" xr3:uid="{2C93EED2-975D-4267-A9B8-C5C7910041C3}" name="Column6189"/>
    <tableColumn id="6193" xr3:uid="{C3226370-0248-41B3-AB47-8B06C4D91F4C}" name="Column6190"/>
    <tableColumn id="6194" xr3:uid="{72012CB7-4FB3-412E-B047-D80256A7DB42}" name="Column6191"/>
    <tableColumn id="6195" xr3:uid="{CA7115CB-CCED-4E8C-863F-3ED241D84C3D}" name="Column6192"/>
    <tableColumn id="6196" xr3:uid="{AA91B0A2-EBA9-4F2A-B0DE-3990CB3C8B3F}" name="Column6193"/>
    <tableColumn id="6197" xr3:uid="{7E0CFE28-6610-4B7B-AB28-1F15E996FFBC}" name="Column6194"/>
    <tableColumn id="6198" xr3:uid="{74259A35-E65E-4590-93AA-20AA031DF143}" name="Column6195"/>
    <tableColumn id="6199" xr3:uid="{E21F5802-F660-40D2-96C2-8AED45857729}" name="Column6196"/>
    <tableColumn id="6200" xr3:uid="{EB7145D6-CBAD-4222-B240-8CA68AF7B33F}" name="Column6197"/>
    <tableColumn id="6201" xr3:uid="{5F4C12CB-044D-43FF-AADE-85BB77EB3408}" name="Column6198"/>
    <tableColumn id="6202" xr3:uid="{7BB854EA-2561-4398-B116-9C0D9D0F61B4}" name="Column6199"/>
    <tableColumn id="6203" xr3:uid="{AC1F1BC2-1F4A-478C-B56E-3E03B63F0B55}" name="Column6200"/>
    <tableColumn id="6204" xr3:uid="{7E07D0E8-C0CB-4BB7-BA84-BA1BDDF73E89}" name="Column6201"/>
    <tableColumn id="6205" xr3:uid="{C1AB9BB2-4CB1-4D64-83B0-1ED1533EB485}" name="Column6202"/>
    <tableColumn id="6206" xr3:uid="{0E4C8761-E962-4E58-9E7A-ABCCDE50CEFA}" name="Column6203"/>
    <tableColumn id="6207" xr3:uid="{CDB3C52A-D26F-4815-BA51-D5FCC2E3814C}" name="Column6204"/>
    <tableColumn id="6208" xr3:uid="{A72FCA7A-F8AD-4172-83D2-872959B7658D}" name="Column6205"/>
    <tableColumn id="6209" xr3:uid="{0B29B8FA-A253-4A6C-89F7-39A729E9F208}" name="Column6206"/>
    <tableColumn id="6210" xr3:uid="{97EEBCCF-A328-4DE2-A91C-6E770B16ABAC}" name="Column6207"/>
    <tableColumn id="6211" xr3:uid="{6CD2FCD1-05E0-4CF1-B08A-CABAA2047FD2}" name="Column6208"/>
    <tableColumn id="6212" xr3:uid="{AAD35D75-EEB7-41FA-8A08-58BCE3282C4C}" name="Column6209"/>
    <tableColumn id="6213" xr3:uid="{292D1A7E-082A-496F-89DA-B23FD1D28E77}" name="Column6210"/>
    <tableColumn id="6214" xr3:uid="{19C9ED02-743B-4150-81F9-CCDDBEB72A63}" name="Column6211"/>
    <tableColumn id="6215" xr3:uid="{F9C5E1C7-C5F3-4ED9-A8BD-D7F895031376}" name="Column6212"/>
    <tableColumn id="6216" xr3:uid="{4D568673-5917-4915-8B5A-BAEF078262BA}" name="Column6213"/>
    <tableColumn id="6217" xr3:uid="{3CB13C9F-34F1-4038-AB4E-576E34F199BD}" name="Column6214"/>
    <tableColumn id="6218" xr3:uid="{2A97E559-43A9-4440-8F92-931971F00955}" name="Column6215"/>
    <tableColumn id="6219" xr3:uid="{5208DD70-4CD3-4825-99BF-79DA9550C122}" name="Column6216"/>
    <tableColumn id="6220" xr3:uid="{E0A7A75B-BF9B-4EF1-989A-B627863A9C20}" name="Column6217"/>
    <tableColumn id="6221" xr3:uid="{5CEC709D-88FA-4F4E-8023-34A5BA9EC87A}" name="Column6218"/>
    <tableColumn id="6222" xr3:uid="{8D07E95F-CEDC-4869-8B18-0FD6B263016F}" name="Column6219"/>
    <tableColumn id="6223" xr3:uid="{076582A6-CCA4-455B-8856-C1FD36043510}" name="Column6220"/>
    <tableColumn id="6224" xr3:uid="{5822C1E2-C787-444D-A1E3-FCB39FCBBB18}" name="Column6221"/>
    <tableColumn id="6225" xr3:uid="{D357D5E6-9191-4CA8-AD02-88D89BAE3A96}" name="Column6222"/>
    <tableColumn id="6226" xr3:uid="{A352D9C1-ACB4-4D92-B1FE-1D4758839206}" name="Column6223"/>
    <tableColumn id="6227" xr3:uid="{1A958EC4-C115-490A-8E45-9D757CA768E6}" name="Column6224"/>
    <tableColumn id="6228" xr3:uid="{34FAF645-4161-45A7-88B4-46BEAD2C619A}" name="Column6225"/>
    <tableColumn id="6229" xr3:uid="{A62BC82B-DA90-428C-BB0C-6E55678D9894}" name="Column6226"/>
    <tableColumn id="6230" xr3:uid="{7B434E7F-E86E-4E51-B726-8E2AA0345F6E}" name="Column6227"/>
    <tableColumn id="6231" xr3:uid="{3C974A05-49F0-4D63-B922-F65059C14B40}" name="Column6228"/>
    <tableColumn id="6232" xr3:uid="{4D82CD4F-D89E-460C-AF9C-F73591C94AC6}" name="Column6229"/>
    <tableColumn id="6233" xr3:uid="{AC9C3EA3-191A-43C8-B929-414BFEA4C4D7}" name="Column6230"/>
    <tableColumn id="6234" xr3:uid="{CA7D4809-BA31-4400-9EB6-3D9E3AC25E04}" name="Column6231"/>
    <tableColumn id="6235" xr3:uid="{52F3796C-5EB9-46A7-8B07-FC1FCF89A2CF}" name="Column6232"/>
    <tableColumn id="6236" xr3:uid="{3B65967B-2961-478B-BB15-3AAA406D6D0F}" name="Column6233"/>
    <tableColumn id="6237" xr3:uid="{E126FBD1-6181-4B09-B784-BF72C6148F7D}" name="Column6234"/>
    <tableColumn id="6238" xr3:uid="{7A1A02D9-AE42-4592-A3D9-24FE7CEB5A89}" name="Column6235"/>
    <tableColumn id="6239" xr3:uid="{60B1854B-CDF8-4B7E-B206-B8A76305DC31}" name="Column6236"/>
    <tableColumn id="6240" xr3:uid="{8DAA1AA3-F734-494F-B56B-E5ACA0788E30}" name="Column6237"/>
    <tableColumn id="6241" xr3:uid="{47750051-B772-4FE7-9A72-8A4A2F4E0494}" name="Column6238"/>
    <tableColumn id="6242" xr3:uid="{DCF5C5A3-F758-42A8-ADA4-4306490F8B9C}" name="Column6239"/>
    <tableColumn id="6243" xr3:uid="{81B6A5CE-3936-44F7-B7FC-AECBB0C992A6}" name="Column6240"/>
    <tableColumn id="6244" xr3:uid="{C1728B58-33AA-44FD-86F1-F15F87783BF2}" name="Column6241"/>
    <tableColumn id="6245" xr3:uid="{970DED88-1E6B-479B-A9AE-B405DA3EC041}" name="Column6242"/>
    <tableColumn id="6246" xr3:uid="{F7EF3958-0589-4004-B351-518F0787C2B1}" name="Column6243"/>
    <tableColumn id="6247" xr3:uid="{6A991796-96FA-4DF0-902B-5984135FBF46}" name="Column6244"/>
    <tableColumn id="6248" xr3:uid="{F428935E-6A0D-4F35-B78D-A477D0A38D68}" name="Column6245"/>
    <tableColumn id="6249" xr3:uid="{2996116F-C6AC-452D-A1E4-BDC0D2582D01}" name="Column6246"/>
    <tableColumn id="6250" xr3:uid="{96722781-26C3-473D-90AF-1F0ADC16873E}" name="Column6247"/>
    <tableColumn id="6251" xr3:uid="{2644E205-015D-4D6D-B10D-D5E4CE5313D2}" name="Column6248"/>
    <tableColumn id="6252" xr3:uid="{BB8182BC-4BCC-4C35-9C39-DF1F2B218AB9}" name="Column6249"/>
    <tableColumn id="6253" xr3:uid="{AF5307B5-8029-455D-84C8-629F945DF641}" name="Column6250"/>
    <tableColumn id="6254" xr3:uid="{CE02515C-2998-4070-8C33-82D0F25BD1EF}" name="Column6251"/>
    <tableColumn id="6255" xr3:uid="{201A7479-C4E6-4C49-9997-EEE8CA7B22DD}" name="Column6252"/>
    <tableColumn id="6256" xr3:uid="{A79BB3EC-09EC-4E54-BE25-F13C23701F88}" name="Column6253"/>
    <tableColumn id="6257" xr3:uid="{F7981550-06CB-4E0C-92B5-97ED90090D21}" name="Column6254"/>
    <tableColumn id="6258" xr3:uid="{2DF54552-F75B-4414-A856-64DC7C11F0BE}" name="Column6255"/>
    <tableColumn id="6259" xr3:uid="{4ED52855-8231-49E1-B211-009CB17953F1}" name="Column6256"/>
    <tableColumn id="6260" xr3:uid="{BD740677-7A64-4C01-A2EC-AFE0BE4B734D}" name="Column6257"/>
    <tableColumn id="6261" xr3:uid="{67A45AF1-3CEB-4D60-A6B4-F7133A36B111}" name="Column6258"/>
    <tableColumn id="6262" xr3:uid="{D4EB39C5-DC57-4C28-8B22-A389C10C8891}" name="Column6259"/>
    <tableColumn id="6263" xr3:uid="{DF68F41A-6999-41C1-8EB9-41567E0F582F}" name="Column6260"/>
    <tableColumn id="6264" xr3:uid="{F21F5698-FF79-41FE-A095-C03DFBE7D2CE}" name="Column6261"/>
    <tableColumn id="6265" xr3:uid="{207F18D3-1D88-4A8C-AFE8-74C40CCF2C27}" name="Column6262"/>
    <tableColumn id="6266" xr3:uid="{953B8B2C-102C-4E64-9D6B-84E5B510BF1F}" name="Column6263"/>
    <tableColumn id="6267" xr3:uid="{0D9BB554-F574-4D88-B695-62E32C337BB3}" name="Column6264"/>
    <tableColumn id="6268" xr3:uid="{3D8BC771-390B-40E5-B60E-352D6A7B00FF}" name="Column6265"/>
    <tableColumn id="6269" xr3:uid="{EAD2C5DA-4D7D-4647-A987-AC6E951DCCC2}" name="Column6266"/>
    <tableColumn id="6270" xr3:uid="{DE9ADDDF-484B-4F3F-B0EE-835454387BBF}" name="Column6267"/>
    <tableColumn id="6271" xr3:uid="{4DEC61E8-A12B-44C9-9053-A5465BF92914}" name="Column6268"/>
    <tableColumn id="6272" xr3:uid="{CC97FE16-A691-44AA-B89B-3D19ED837252}" name="Column6269"/>
    <tableColumn id="6273" xr3:uid="{DD9D58CF-16BC-430B-8195-01956D0F00C0}" name="Column6270"/>
    <tableColumn id="6274" xr3:uid="{211AF55A-DC82-48DB-9349-2AE25DC58BFE}" name="Column6271"/>
    <tableColumn id="6275" xr3:uid="{F5007BFB-7287-4D33-9FE6-CB7AAC5ABCB9}" name="Column6272"/>
    <tableColumn id="6276" xr3:uid="{4DD2313F-529D-43D0-9AEF-0036FCC19C1F}" name="Column6273"/>
    <tableColumn id="6277" xr3:uid="{D1C204C9-CA7E-49E3-B97A-0A57943BE373}" name="Column6274"/>
    <tableColumn id="6278" xr3:uid="{79541E55-354A-41B2-B84A-8C0A97D9AB8B}" name="Column6275"/>
    <tableColumn id="6279" xr3:uid="{93B28386-9A6E-4EAA-B70B-9D3FB9B22269}" name="Column6276"/>
    <tableColumn id="6280" xr3:uid="{FEE5FA5D-08F9-4D0D-85D2-ED72102E8020}" name="Column6277"/>
    <tableColumn id="6281" xr3:uid="{E32E0B8F-DBC9-420F-894B-5DD802D0DAC4}" name="Column6278"/>
    <tableColumn id="6282" xr3:uid="{449CB1DF-8114-4857-A832-42377C329AED}" name="Column6279"/>
    <tableColumn id="6283" xr3:uid="{EEFDB0C5-3650-476A-B81C-94A694E2EBB9}" name="Column6280"/>
    <tableColumn id="6284" xr3:uid="{EC8FE704-27AB-4426-A25A-9B0F040CD15F}" name="Column6281"/>
    <tableColumn id="6285" xr3:uid="{197FE034-FAA0-4574-A667-D84ACCFFDE6E}" name="Column6282"/>
    <tableColumn id="6286" xr3:uid="{ECE6BD78-0F5C-457C-A97F-66682D354415}" name="Column6283"/>
    <tableColumn id="6287" xr3:uid="{B7894FF3-B066-4B45-AB4B-64490BF1EE37}" name="Column6284"/>
    <tableColumn id="6288" xr3:uid="{8441348F-C2A9-43DE-BEF2-222299A780C8}" name="Column6285"/>
    <tableColumn id="6289" xr3:uid="{92B9274F-9194-473F-BBF7-53A5049D649E}" name="Column6286"/>
    <tableColumn id="6290" xr3:uid="{086E83D8-C5DB-4666-AC2A-856850DCB974}" name="Column6287"/>
    <tableColumn id="6291" xr3:uid="{F81A5F40-95DD-405A-A9DD-99F11DEC939A}" name="Column6288"/>
    <tableColumn id="6292" xr3:uid="{8D4964B2-0911-4EAB-81E2-576A3482A897}" name="Column6289"/>
    <tableColumn id="6293" xr3:uid="{05ECB183-3222-4F5B-897E-309A16180F56}" name="Column6290"/>
    <tableColumn id="6294" xr3:uid="{687618BB-5CC9-4BFF-ABB2-E520E7490239}" name="Column6291"/>
    <tableColumn id="6295" xr3:uid="{E74041D4-ADE7-4DDC-B6F2-1F30C2AD8248}" name="Column6292"/>
    <tableColumn id="6296" xr3:uid="{E220ACFB-77D5-4ACF-88CE-8831DE49506A}" name="Column6293"/>
    <tableColumn id="6297" xr3:uid="{970B25B8-687F-4F65-95FA-04DDCDF75AA7}" name="Column6294"/>
    <tableColumn id="6298" xr3:uid="{A4B2F3C6-9CF7-43FA-809D-3E1DEC946D97}" name="Column6295"/>
    <tableColumn id="6299" xr3:uid="{55ED09AE-E412-4D7A-BA1B-1E6A30A2D9C5}" name="Column6296"/>
    <tableColumn id="6300" xr3:uid="{8EB6632D-D7C5-48F1-B9BE-D9077545A99B}" name="Column6297"/>
    <tableColumn id="6301" xr3:uid="{84B2D6BF-1280-4463-890C-EA2CA930CCBC}" name="Column6298"/>
    <tableColumn id="6302" xr3:uid="{415FAD65-B7DD-4D23-85F5-6C2B3DFCBCD9}" name="Column6299"/>
    <tableColumn id="6303" xr3:uid="{90BC48C3-5CF2-4FB4-887B-52B2DC6347DC}" name="Column6300"/>
    <tableColumn id="6304" xr3:uid="{71694E42-0F86-4427-889A-F8D32CA1E55E}" name="Column6301"/>
    <tableColumn id="6305" xr3:uid="{0FD94CF6-3874-4E58-8939-F8C680A729CF}" name="Column6302"/>
    <tableColumn id="6306" xr3:uid="{FF8573B1-B319-4178-8E40-14DA8C3DF22F}" name="Column6303"/>
    <tableColumn id="6307" xr3:uid="{AEF6E7AB-E76F-4243-B555-E74361B3FAC4}" name="Column6304"/>
    <tableColumn id="6308" xr3:uid="{52D5CCA5-F6B4-4F15-9A62-6613421956BC}" name="Column6305"/>
    <tableColumn id="6309" xr3:uid="{4CECBE45-99D6-41EB-AFDB-A117CB9D6BB5}" name="Column6306"/>
    <tableColumn id="6310" xr3:uid="{44C85D2F-CEEB-4DF3-A0C8-2234266324C8}" name="Column6307"/>
    <tableColumn id="6311" xr3:uid="{2703B619-EE1A-4DC2-AA80-9C76E563DB5E}" name="Column6308"/>
    <tableColumn id="6312" xr3:uid="{22B5BA43-B46A-478B-BC1C-C7FB9584EA13}" name="Column6309"/>
    <tableColumn id="6313" xr3:uid="{E815090C-E348-4CC2-84D1-C07744A5F414}" name="Column6310"/>
    <tableColumn id="6314" xr3:uid="{EB10B4E5-1CEF-4E3A-84B3-4D1D905936CC}" name="Column6311"/>
    <tableColumn id="6315" xr3:uid="{BA81C50D-8E2D-41B5-8702-E1AB93452497}" name="Column6312"/>
    <tableColumn id="6316" xr3:uid="{2FD86AE7-34CF-4C3C-A68C-29BBC37FC0D6}" name="Column6313"/>
    <tableColumn id="6317" xr3:uid="{B4B29A67-5B77-4FE5-A6F8-9EE7F9A5C1E7}" name="Column6314"/>
    <tableColumn id="6318" xr3:uid="{F9450117-561B-45BD-814D-6D7E6AF92E59}" name="Column6315"/>
    <tableColumn id="6319" xr3:uid="{1613DDF9-C8A6-4760-B145-5FB952D088C7}" name="Column6316"/>
    <tableColumn id="6320" xr3:uid="{EA1700B7-65DE-4AC3-8DA2-4697DAC35136}" name="Column6317"/>
    <tableColumn id="6321" xr3:uid="{4CF0719A-C2B3-48D4-A779-500CD210C308}" name="Column6318"/>
    <tableColumn id="6322" xr3:uid="{A6F261F5-ED01-44E0-AB79-64D4CABFD61B}" name="Column6319"/>
    <tableColumn id="6323" xr3:uid="{8D1604FE-87E0-44B5-A393-82473978E758}" name="Column6320"/>
    <tableColumn id="6324" xr3:uid="{F9960052-B53C-4F7A-915F-FD7CE2894EE2}" name="Column6321"/>
    <tableColumn id="6325" xr3:uid="{3970AA45-7898-4D4D-AD25-847F491201CF}" name="Column6322"/>
    <tableColumn id="6326" xr3:uid="{F7B5F5AA-17F8-4CA7-8EF8-3892DB5277A4}" name="Column6323"/>
    <tableColumn id="6327" xr3:uid="{F5CB093C-9F1A-4DEF-BFF6-F4936696559A}" name="Column6324"/>
    <tableColumn id="6328" xr3:uid="{72B80995-291D-4C61-A0BC-E4D779910D05}" name="Column6325"/>
    <tableColumn id="6329" xr3:uid="{8A97AF98-6D66-4580-8B57-58B969B27332}" name="Column6326"/>
    <tableColumn id="6330" xr3:uid="{8298BB7D-A6A1-4854-BC53-4EB46FB8E8D5}" name="Column6327"/>
    <tableColumn id="6331" xr3:uid="{86524804-88CA-4C9E-A214-0E02C8CFFEFE}" name="Column6328"/>
    <tableColumn id="6332" xr3:uid="{5AAD1FA8-4D9D-4606-93DA-A37705E85F1C}" name="Column6329"/>
    <tableColumn id="6333" xr3:uid="{2421B313-8A78-41AC-AB03-FBC60F28FFBE}" name="Column6330"/>
    <tableColumn id="6334" xr3:uid="{2DD7517D-3187-4BC0-B404-E12C5B230AC1}" name="Column6331"/>
    <tableColumn id="6335" xr3:uid="{3D59BD2F-3A79-4AB9-A402-9EF81BA75494}" name="Column6332"/>
    <tableColumn id="6336" xr3:uid="{1802FBE4-612A-4E31-BF11-4B43875B975D}" name="Column6333"/>
    <tableColumn id="6337" xr3:uid="{D6ADFBEF-4B57-4BDD-8D9E-0F37E76B197E}" name="Column6334"/>
    <tableColumn id="6338" xr3:uid="{5D4AA1C1-4E2D-43AC-80C3-8A7EBCC10986}" name="Column6335"/>
    <tableColumn id="6339" xr3:uid="{15009477-084E-4361-92B8-12682F297EBC}" name="Column6336"/>
    <tableColumn id="6340" xr3:uid="{CB52E7D7-B6A6-4348-B781-8D7797C9D030}" name="Column6337"/>
    <tableColumn id="6341" xr3:uid="{1E5B62BF-F4F1-40D8-8E8B-59786E0CD234}" name="Column6338"/>
    <tableColumn id="6342" xr3:uid="{A054258A-98DC-4504-8BDF-303E7A902EBD}" name="Column6339"/>
    <tableColumn id="6343" xr3:uid="{B165A739-5A8F-41B8-92D4-80A3934B639E}" name="Column6340"/>
    <tableColumn id="6344" xr3:uid="{548C4CF1-09EF-4C56-8E9F-F4ADA39DDA97}" name="Column6341"/>
    <tableColumn id="6345" xr3:uid="{63167A7B-A9A6-4126-BF27-A4815FC0BFA9}" name="Column6342"/>
    <tableColumn id="6346" xr3:uid="{5757CA22-7F74-4359-A96E-A516526E8450}" name="Column6343"/>
    <tableColumn id="6347" xr3:uid="{6559D683-ED6B-4DE3-BB79-37A76824F440}" name="Column6344"/>
    <tableColumn id="6348" xr3:uid="{23D04A20-C3B5-4E65-96DF-0D0FC7BA667B}" name="Column6345"/>
    <tableColumn id="6349" xr3:uid="{6E3B9830-DDE4-4A71-A6BF-CD1D58943BC0}" name="Column6346"/>
    <tableColumn id="6350" xr3:uid="{10029C58-8B9D-430B-8C8E-A00156BDE3A5}" name="Column6347"/>
    <tableColumn id="6351" xr3:uid="{9BEA4A05-8775-4615-A025-C682CAEF369A}" name="Column6348"/>
    <tableColumn id="6352" xr3:uid="{BA1AD711-AD4D-4232-A067-C045AA9FFD03}" name="Column6349"/>
    <tableColumn id="6353" xr3:uid="{B1B4B765-4D0D-426D-949C-D12EFD9E1228}" name="Column6350"/>
    <tableColumn id="6354" xr3:uid="{2825C1CC-0D2E-4AD2-A336-F5F212DA8066}" name="Column6351"/>
    <tableColumn id="6355" xr3:uid="{7AE65D7F-136B-4905-B11D-D185ABC3FDAC}" name="Column6352"/>
    <tableColumn id="6356" xr3:uid="{7FFD633F-5B5C-4B42-9DBE-7290E377610D}" name="Column6353"/>
    <tableColumn id="6357" xr3:uid="{380F76F3-FBAC-4396-AEC2-CAD86645C2C8}" name="Column6354"/>
    <tableColumn id="6358" xr3:uid="{C49A9083-22CA-4768-9EFF-3E0F3A97F48E}" name="Column6355"/>
    <tableColumn id="6359" xr3:uid="{56DA7B6C-FA8B-40BC-8B1A-D7DD29E6E859}" name="Column6356"/>
    <tableColumn id="6360" xr3:uid="{3B1F848C-2DC8-4D6C-A51C-F0E687E02BEA}" name="Column6357"/>
    <tableColumn id="6361" xr3:uid="{C16C1E02-0C7C-4CC0-8731-72DF74C94F7F}" name="Column6358"/>
    <tableColumn id="6362" xr3:uid="{33F1ABE4-12DC-4DA0-B06F-8ED7FD5618B1}" name="Column6359"/>
    <tableColumn id="6363" xr3:uid="{00C80212-12C5-43A7-9A52-A2320892B9E4}" name="Column6360"/>
    <tableColumn id="6364" xr3:uid="{DAF3625D-E942-4130-B3E1-32B00B04C7BE}" name="Column6361"/>
    <tableColumn id="6365" xr3:uid="{C386B331-5AC3-4FBF-BDDD-1D57348ED81A}" name="Column6362"/>
    <tableColumn id="6366" xr3:uid="{A9A41F9F-DD67-4AD7-A95E-27BFB28EADF2}" name="Column6363"/>
    <tableColumn id="6367" xr3:uid="{A2DF2EEB-4160-436A-AE86-3BD63B6D54FD}" name="Column6364"/>
    <tableColumn id="6368" xr3:uid="{AFED0C9F-56DB-4289-90A8-FF133E9F7992}" name="Column6365"/>
    <tableColumn id="6369" xr3:uid="{8BE47143-E2F8-45E5-BFD7-11D1A74966F2}" name="Column6366"/>
    <tableColumn id="6370" xr3:uid="{9DA974D7-BE58-48E6-BD74-897E2490154C}" name="Column6367"/>
    <tableColumn id="6371" xr3:uid="{5E200BF6-62DA-43A0-83D4-0CEAF9EF51A1}" name="Column6368"/>
    <tableColumn id="6372" xr3:uid="{00A4B291-C352-4577-8643-C75254680EE2}" name="Column6369"/>
    <tableColumn id="6373" xr3:uid="{6E71ABF7-AF62-4A46-AE7B-734FE3439885}" name="Column6370"/>
    <tableColumn id="6374" xr3:uid="{489EB428-40EF-4719-B416-3EFC3C065CA6}" name="Column6371"/>
    <tableColumn id="6375" xr3:uid="{527E4C5F-49C3-436A-90A6-1BC5C62CE443}" name="Column6372"/>
    <tableColumn id="6376" xr3:uid="{C15638AE-A649-4D65-B822-CBAAB53D4A75}" name="Column6373"/>
    <tableColumn id="6377" xr3:uid="{6948C220-53FB-4D35-809F-F1D2CA849662}" name="Column6374"/>
    <tableColumn id="6378" xr3:uid="{E1627150-A343-4D9E-8964-645E048B0ED2}" name="Column6375"/>
    <tableColumn id="6379" xr3:uid="{8E69754D-ECB6-43E3-BE10-892F80251408}" name="Column6376"/>
    <tableColumn id="6380" xr3:uid="{86060FD2-2CEF-4798-AA78-0AEB7AC5801A}" name="Column6377"/>
    <tableColumn id="6381" xr3:uid="{2B4745A5-7007-49CD-8E36-2457EE755719}" name="Column6378"/>
    <tableColumn id="6382" xr3:uid="{CA9A75BE-61CD-4E2C-A90A-2DDA28D5E17C}" name="Column6379"/>
    <tableColumn id="6383" xr3:uid="{BF2780BE-ED86-4A52-A4D6-EAA097913292}" name="Column6380"/>
    <tableColumn id="6384" xr3:uid="{6000AC86-B297-43D0-8CA3-73F853C0892A}" name="Column6381"/>
    <tableColumn id="6385" xr3:uid="{6DAB5F6C-F929-4AF7-8A57-4DB767A33D9E}" name="Column6382"/>
    <tableColumn id="6386" xr3:uid="{BAD86231-DE0E-4252-B0A1-A4BB4009AC7C}" name="Column6383"/>
    <tableColumn id="6387" xr3:uid="{7B55B2FE-9C6B-46C1-9517-82A11AB2DB31}" name="Column6384"/>
    <tableColumn id="6388" xr3:uid="{FCBF6663-112B-4406-AB39-4004325C9E66}" name="Column6385"/>
    <tableColumn id="6389" xr3:uid="{36CB4D1B-486A-411D-9289-D169D3835AAC}" name="Column6386"/>
    <tableColumn id="6390" xr3:uid="{1D8B2C70-C174-451E-8D65-E4651CB8A004}" name="Column6387"/>
    <tableColumn id="6391" xr3:uid="{B4A471BF-11FB-49E4-A4AF-E3BA5D8870A0}" name="Column6388"/>
    <tableColumn id="6392" xr3:uid="{226BAA04-226B-4AA4-BF4C-CC984C0FF5A8}" name="Column6389"/>
    <tableColumn id="6393" xr3:uid="{118D1711-2873-4DB5-88BA-B8639F90CFFD}" name="Column6390"/>
    <tableColumn id="6394" xr3:uid="{28E4AAA6-226D-4A25-BAC8-E7B7EDCA2B77}" name="Column6391"/>
    <tableColumn id="6395" xr3:uid="{CAE6E3B4-E698-471E-803F-8FCD816369A5}" name="Column6392"/>
    <tableColumn id="6396" xr3:uid="{3CEA1852-4749-4B1F-B3E9-D115551519B2}" name="Column6393"/>
    <tableColumn id="6397" xr3:uid="{F342C6D6-7764-4EC9-9C90-94BC7335F95F}" name="Column6394"/>
    <tableColumn id="6398" xr3:uid="{D0F34534-3C57-48A2-8702-B1E15605B186}" name="Column6395"/>
    <tableColumn id="6399" xr3:uid="{D61F77DE-46CD-4896-98EB-B940CA9A8D41}" name="Column6396"/>
    <tableColumn id="6400" xr3:uid="{0D38FC26-65C6-4152-8B44-F0A62F77394E}" name="Column6397"/>
    <tableColumn id="6401" xr3:uid="{2BED85C3-1147-4685-9AB1-E05C95BC4F8A}" name="Column6398"/>
    <tableColumn id="6402" xr3:uid="{7AF89663-2FC1-4DEE-AE26-9190D8F05047}" name="Column6399"/>
    <tableColumn id="6403" xr3:uid="{88D37AE7-A591-450D-B429-D6C6049E4FAF}" name="Column6400"/>
    <tableColumn id="6404" xr3:uid="{9097EE28-BA48-4751-A801-8A6C7F761304}" name="Column6401"/>
    <tableColumn id="6405" xr3:uid="{CFE89BAE-0DEE-41D6-B3E4-968A0C01030F}" name="Column6402"/>
    <tableColumn id="6406" xr3:uid="{82A76E8F-7D10-4EA1-B864-84B163F98A36}" name="Column6403"/>
    <tableColumn id="6407" xr3:uid="{966157DF-0039-43F2-B083-3CFC397A4E00}" name="Column6404"/>
    <tableColumn id="6408" xr3:uid="{193F246D-0002-4A26-A7B9-A6A9C05F1B17}" name="Column6405"/>
    <tableColumn id="6409" xr3:uid="{41FB5751-9DA0-4D5E-BED1-F51BE491AEBD}" name="Column6406"/>
    <tableColumn id="6410" xr3:uid="{EF58F859-4319-4B7D-A4AA-F62D4EDAB4D0}" name="Column6407"/>
    <tableColumn id="6411" xr3:uid="{88BEE3B2-2C5A-47A1-9906-7F6E2F72B2BB}" name="Column6408"/>
    <tableColumn id="6412" xr3:uid="{082DF04F-7EFC-4DB7-85AE-3C1AEEC970EB}" name="Column6409"/>
    <tableColumn id="6413" xr3:uid="{456E1BBE-1EEA-4D57-A8CF-E7696870813C}" name="Column6410"/>
    <tableColumn id="6414" xr3:uid="{A9B73F61-9124-4091-A1D7-A8D924C00733}" name="Column6411"/>
    <tableColumn id="6415" xr3:uid="{E843819D-2800-47C3-A43E-07EAF8874E0A}" name="Column6412"/>
    <tableColumn id="6416" xr3:uid="{396A260A-809D-4521-8704-F926B718CC6C}" name="Column6413"/>
    <tableColumn id="6417" xr3:uid="{BE65439F-3656-4161-BC84-EBA77BD7DB84}" name="Column6414"/>
    <tableColumn id="6418" xr3:uid="{22A4D11F-5CBB-43D7-8AE8-4757A49604AB}" name="Column6415"/>
    <tableColumn id="6419" xr3:uid="{78818817-BF91-44B6-88F4-DF5331F7C6BA}" name="Column6416"/>
    <tableColumn id="6420" xr3:uid="{C1477C5E-1A37-4F77-801A-BB4A6E76B1BA}" name="Column6417"/>
    <tableColumn id="6421" xr3:uid="{F4713937-D16C-4B19-B57F-37237F13C27F}" name="Column6418"/>
    <tableColumn id="6422" xr3:uid="{1A21F05C-AB5E-4A52-8DF6-12824E5FF218}" name="Column6419"/>
    <tableColumn id="6423" xr3:uid="{3050FD52-DCDF-4FF5-A94B-56BF560F72C3}" name="Column6420"/>
    <tableColumn id="6424" xr3:uid="{ADFBCD9D-8138-4392-9A78-0B101AFB9815}" name="Column6421"/>
    <tableColumn id="6425" xr3:uid="{BB8BD896-B277-4579-BDD4-8FBF5BD7421F}" name="Column6422"/>
    <tableColumn id="6426" xr3:uid="{217C13DF-2837-4D69-8119-F2ED92697B87}" name="Column6423"/>
    <tableColumn id="6427" xr3:uid="{65DA12C5-D6B0-47F9-AB26-16B719BED9BE}" name="Column6424"/>
    <tableColumn id="6428" xr3:uid="{D08D1E3A-78B0-4005-AB65-B1631B0AF440}" name="Column6425"/>
    <tableColumn id="6429" xr3:uid="{66FDB9E4-87C7-4A66-8A4E-1E5B472FE2C0}" name="Column6426"/>
    <tableColumn id="6430" xr3:uid="{2E8D7695-1AC0-4E31-8881-F01C93933EC8}" name="Column6427"/>
    <tableColumn id="6431" xr3:uid="{3EFAF7A2-87F3-4FD3-9434-3FCCD5113BF9}" name="Column6428"/>
    <tableColumn id="6432" xr3:uid="{45809231-5771-4B58-BB05-34B1C5F073FD}" name="Column6429"/>
    <tableColumn id="6433" xr3:uid="{C346BBD8-D3E1-4059-9F41-699D63C2583C}" name="Column6430"/>
    <tableColumn id="6434" xr3:uid="{09C5D2DD-3022-4154-BA10-CB7BB166F64E}" name="Column6431"/>
    <tableColumn id="6435" xr3:uid="{3E310ABF-0FC1-4CD5-8783-BC07B4B5CA64}" name="Column6432"/>
    <tableColumn id="6436" xr3:uid="{55C01BCC-119D-40A0-818C-02A5B055D050}" name="Column6433"/>
    <tableColumn id="6437" xr3:uid="{2BC2450D-4EA4-4F8F-869C-9CBCF323152D}" name="Column6434"/>
    <tableColumn id="6438" xr3:uid="{F4F1FAC7-6945-4810-A755-37F4B823BACE}" name="Column6435"/>
    <tableColumn id="6439" xr3:uid="{915774FC-2C0B-4415-A46A-D4A7B32C0754}" name="Column6436"/>
    <tableColumn id="6440" xr3:uid="{3EABC0BE-4E21-4399-BC5D-1ACF0ECD7FAD}" name="Column6437"/>
    <tableColumn id="6441" xr3:uid="{491742C4-A862-432B-81DE-EC866FB71E40}" name="Column6438"/>
    <tableColumn id="6442" xr3:uid="{ACA72A4D-6062-42D5-B22C-1CFE29444405}" name="Column6439"/>
    <tableColumn id="6443" xr3:uid="{59234513-A27E-44FD-90CB-CE8F4298225A}" name="Column6440"/>
    <tableColumn id="6444" xr3:uid="{C91BEE01-75F0-479B-9067-89B7803EF469}" name="Column6441"/>
    <tableColumn id="6445" xr3:uid="{2E04DD3E-7565-49A8-8BB5-E9B3A6AEDFFA}" name="Column6442"/>
    <tableColumn id="6446" xr3:uid="{E3B0118E-B93F-4ACE-8F9E-8D9817CA2BE2}" name="Column6443"/>
    <tableColumn id="6447" xr3:uid="{403E25FF-D89B-45A5-8C27-C6A7BD647112}" name="Column6444"/>
    <tableColumn id="6448" xr3:uid="{05BCBF33-2D77-484C-A004-E8FDEC42EA06}" name="Column6445"/>
    <tableColumn id="6449" xr3:uid="{2D5CEBE3-7D16-4027-8C75-3E8DEAF2A1F7}" name="Column6446"/>
    <tableColumn id="6450" xr3:uid="{505569E7-6C46-4B28-8640-EC67323742CB}" name="Column6447"/>
    <tableColumn id="6451" xr3:uid="{D23DC121-A00E-4CB8-B054-32FF6CA98EBD}" name="Column6448"/>
    <tableColumn id="6452" xr3:uid="{F30E2D93-8F29-4018-8F79-26EFE09CD31A}" name="Column6449"/>
    <tableColumn id="6453" xr3:uid="{599375A5-172B-4A94-AF3A-D44AD02A379E}" name="Column6450"/>
    <tableColumn id="6454" xr3:uid="{DFE0D792-945F-4218-874C-57540E2AE3DD}" name="Column6451"/>
    <tableColumn id="6455" xr3:uid="{9A415BA1-DB9D-444D-A91A-88E0F3827CC1}" name="Column6452"/>
    <tableColumn id="6456" xr3:uid="{7B502A92-DDF3-439A-97E4-2838E777C41C}" name="Column6453"/>
    <tableColumn id="6457" xr3:uid="{53B45F43-D8B7-430D-95B2-5353B4B79734}" name="Column6454"/>
    <tableColumn id="6458" xr3:uid="{2A322DEC-080F-4902-97BD-6FDCE9487877}" name="Column6455"/>
    <tableColumn id="6459" xr3:uid="{C9D14F8A-0D53-488E-897B-989CE1309C66}" name="Column6456"/>
    <tableColumn id="6460" xr3:uid="{4BE23D01-D13A-4A89-97E7-FF0979A8D72C}" name="Column6457"/>
    <tableColumn id="6461" xr3:uid="{C2BF0629-A7A5-4DEE-8549-156BB6BDE82C}" name="Column6458"/>
    <tableColumn id="6462" xr3:uid="{8FB8FC3D-A0CF-4677-83D3-FFA1F0668763}" name="Column6459"/>
    <tableColumn id="6463" xr3:uid="{B49345D9-6311-4258-BC3B-DAAB6D5F2F62}" name="Column6460"/>
    <tableColumn id="6464" xr3:uid="{EB65A6A0-C490-4C6D-B980-5689E65D3CD5}" name="Column6461"/>
    <tableColumn id="6465" xr3:uid="{86102621-B67B-4EAD-95A9-B7CB5234DF89}" name="Column6462"/>
    <tableColumn id="6466" xr3:uid="{C9B84CBF-9A4E-4247-B9AC-2AAF279C2942}" name="Column6463"/>
    <tableColumn id="6467" xr3:uid="{F0B1F699-7845-4378-8A8F-C7E2936A9B6F}" name="Column6464"/>
    <tableColumn id="6468" xr3:uid="{7A530387-AB92-49FC-B7A4-A697F461EB6E}" name="Column6465"/>
    <tableColumn id="6469" xr3:uid="{56E3EBEE-0072-4511-AF17-0C0BAFAA7C51}" name="Column6466"/>
    <tableColumn id="6470" xr3:uid="{535C8EEC-42F3-4A88-A49A-052FF234FD31}" name="Column6467"/>
    <tableColumn id="6471" xr3:uid="{7A874C94-CE32-458A-9356-F8AF419816BB}" name="Column6468"/>
    <tableColumn id="6472" xr3:uid="{CCFDE5CA-2D5C-4D48-A4CA-1719172A096B}" name="Column6469"/>
    <tableColumn id="6473" xr3:uid="{3C42A621-A834-4F54-A6D3-6B45DC3D35E2}" name="Column6470"/>
    <tableColumn id="6474" xr3:uid="{F739DC62-68D0-4914-A5C3-B13EC748B01A}" name="Column6471"/>
    <tableColumn id="6475" xr3:uid="{4892B6E8-5ED0-4A21-A990-8C84D0AC8ADD}" name="Column6472"/>
    <tableColumn id="6476" xr3:uid="{60FB4BEB-B17F-461C-806E-A4106FD2E0FF}" name="Column6473"/>
    <tableColumn id="6477" xr3:uid="{E95ECB65-FEE0-4021-B9AA-AB5D5755078C}" name="Column6474"/>
    <tableColumn id="6478" xr3:uid="{CFE684C0-827D-4BB5-B354-C191241059CC}" name="Column6475"/>
    <tableColumn id="6479" xr3:uid="{DBAD240C-196C-4214-A6DB-46A1944018AC}" name="Column6476"/>
    <tableColumn id="6480" xr3:uid="{3580D320-A97A-4266-A479-C64A67F1D679}" name="Column6477"/>
    <tableColumn id="6481" xr3:uid="{5F68FCB7-F157-41E6-9307-31C01538B65B}" name="Column6478"/>
    <tableColumn id="6482" xr3:uid="{538E195A-19BD-4910-8A63-42A5DD70868C}" name="Column6479"/>
    <tableColumn id="6483" xr3:uid="{3DD5B843-A504-4919-A89E-A71F4E05C696}" name="Column6480"/>
    <tableColumn id="6484" xr3:uid="{5307D79B-2DA0-40F7-BB66-F331FF2E9B42}" name="Column6481"/>
    <tableColumn id="6485" xr3:uid="{FD1F505D-04B0-4B97-BE73-C4B00157B4A3}" name="Column6482"/>
    <tableColumn id="6486" xr3:uid="{5164F379-5A6F-425A-B25E-2EA4F3B1979E}" name="Column6483"/>
    <tableColumn id="6487" xr3:uid="{0F764590-6B1C-4569-A6E8-CA1E1B222B4A}" name="Column6484"/>
    <tableColumn id="6488" xr3:uid="{2119B3E7-46F9-458D-9E33-27C65DB49500}" name="Column6485"/>
    <tableColumn id="6489" xr3:uid="{636C13B5-8455-4EFC-B672-A1B03A66AAA7}" name="Column6486"/>
    <tableColumn id="6490" xr3:uid="{AE04FD8C-D8BC-4CBD-977E-C787089790F6}" name="Column6487"/>
    <tableColumn id="6491" xr3:uid="{57FB3196-293E-4D47-A1C1-E463456BEF34}" name="Column6488"/>
    <tableColumn id="6492" xr3:uid="{3EF51FB7-FA9B-4189-8DA4-11DB94C8560D}" name="Column6489"/>
    <tableColumn id="6493" xr3:uid="{AB5EAF53-6910-42BF-81A3-24794383D959}" name="Column6490"/>
    <tableColumn id="6494" xr3:uid="{0DAAAAF2-A149-434C-AA3A-A285165AC4DA}" name="Column6491"/>
    <tableColumn id="6495" xr3:uid="{DD2A62CC-9BC2-46C5-9FF1-F1C2F697E832}" name="Column6492"/>
    <tableColumn id="6496" xr3:uid="{0ED1F301-19A3-4656-9F6B-EE547014309B}" name="Column6493"/>
    <tableColumn id="6497" xr3:uid="{53B6F1B7-E8D5-4F5A-8D79-C4FC79A03657}" name="Column6494"/>
    <tableColumn id="6498" xr3:uid="{470EB505-78FC-4C21-BA5A-2C520348AA9E}" name="Column6495"/>
    <tableColumn id="6499" xr3:uid="{BDD63ABB-67B4-49BD-877B-B1E8A5D8DEA4}" name="Column6496"/>
    <tableColumn id="6500" xr3:uid="{F37350CB-DACB-4229-98B8-4BE5562A1DFF}" name="Column6497"/>
    <tableColumn id="6501" xr3:uid="{B1B7E630-FB04-4EAF-AB62-9BE8CF71840D}" name="Column6498"/>
    <tableColumn id="6502" xr3:uid="{32EA74C8-404E-4D6A-B315-12AC1B06A454}" name="Column6499"/>
    <tableColumn id="6503" xr3:uid="{24BC3C22-04A0-4829-BC8D-DA8A76E78668}" name="Column6500"/>
    <tableColumn id="6504" xr3:uid="{EB3A575C-7399-4750-90AE-CF19470D623E}" name="Column6501"/>
    <tableColumn id="6505" xr3:uid="{C98082B5-0A7E-4B53-9C31-752B3573ABD4}" name="Column6502"/>
    <tableColumn id="6506" xr3:uid="{CA054491-F05B-4565-B4D1-98B977D3A1FD}" name="Column6503"/>
    <tableColumn id="6507" xr3:uid="{517CC8DC-A5CB-42E0-B6A1-0A9C438F0F94}" name="Column6504"/>
    <tableColumn id="6508" xr3:uid="{0F0317CC-AE48-464F-9F29-E3AA8E511723}" name="Column6505"/>
    <tableColumn id="6509" xr3:uid="{254B512D-4C32-4404-B897-DDB6B6553F9B}" name="Column6506"/>
    <tableColumn id="6510" xr3:uid="{20075068-32C3-4F19-8B85-C7BF5AAEA726}" name="Column6507"/>
    <tableColumn id="6511" xr3:uid="{0577C599-4920-40DF-863A-F5AC4F1F5F46}" name="Column6508"/>
    <tableColumn id="6512" xr3:uid="{7D2EF42F-A540-4231-AE18-3D6A6F660E56}" name="Column6509"/>
    <tableColumn id="6513" xr3:uid="{C1C96A60-1F04-4D41-879B-5D6D40C8C718}" name="Column6510"/>
    <tableColumn id="6514" xr3:uid="{3B24051B-4B5E-42FE-9DEC-5C6B1A28A01E}" name="Column6511"/>
    <tableColumn id="6515" xr3:uid="{A6AA68E8-A715-4575-8C06-5F408BAC0C71}" name="Column6512"/>
    <tableColumn id="6516" xr3:uid="{8876E5BB-8210-4700-8411-8501646C7791}" name="Column6513"/>
    <tableColumn id="6517" xr3:uid="{5C7FC9E9-E82C-4B6B-951D-3413E6D4A796}" name="Column6514"/>
    <tableColumn id="6518" xr3:uid="{F35549DA-6216-4AED-8691-CEA4681D443F}" name="Column6515"/>
    <tableColumn id="6519" xr3:uid="{0BEB5BB6-A8E4-4076-91EA-A672D800A486}" name="Column6516"/>
    <tableColumn id="6520" xr3:uid="{7C507A26-BAD8-4B95-ADE6-4356A48E033F}" name="Column6517"/>
    <tableColumn id="6521" xr3:uid="{32E51104-DCF9-4A70-99E1-0F10F4B2F248}" name="Column6518"/>
    <tableColumn id="6522" xr3:uid="{A58DC3E1-7A73-487D-8E00-076D988BCE33}" name="Column6519"/>
    <tableColumn id="6523" xr3:uid="{E0EB9DCD-8DE5-44DA-9CE1-2E9085C16BFD}" name="Column6520"/>
    <tableColumn id="6524" xr3:uid="{52D9815B-1C78-44A8-B440-8CB2BE0C98FC}" name="Column6521"/>
    <tableColumn id="6525" xr3:uid="{6C7CA15E-242B-459D-9CB7-B81505F4B67E}" name="Column6522"/>
    <tableColumn id="6526" xr3:uid="{D1EE1868-3F0B-4882-BBA1-2B9F6CC458EE}" name="Column6523"/>
    <tableColumn id="6527" xr3:uid="{331CDCF5-4670-471E-89B8-A5DA5916C4DA}" name="Column6524"/>
    <tableColumn id="6528" xr3:uid="{A16679B0-3D74-4D10-A4B1-31DCF87E55A9}" name="Column6525"/>
    <tableColumn id="6529" xr3:uid="{E6D90C0E-96BE-4D8C-A4E9-B46AB4CAFD2A}" name="Column6526"/>
    <tableColumn id="6530" xr3:uid="{54CBDEF7-4B04-432B-869D-031D61E7569E}" name="Column6527"/>
    <tableColumn id="6531" xr3:uid="{9CD67DED-CBBA-42CA-B355-F03537107649}" name="Column6528"/>
    <tableColumn id="6532" xr3:uid="{49229AA1-F538-43EF-8512-A4FA3A00A66B}" name="Column6529"/>
    <tableColumn id="6533" xr3:uid="{6502DE94-7B87-4607-A440-2D0102E7884D}" name="Column6530"/>
    <tableColumn id="6534" xr3:uid="{CE8E974E-5B01-4A6D-A444-0FD8DA19B824}" name="Column6531"/>
    <tableColumn id="6535" xr3:uid="{433E5CEC-D67C-478B-8C30-5432AE0A9D20}" name="Column6532"/>
    <tableColumn id="6536" xr3:uid="{E25144ED-57B2-46FE-AC9B-C72435182CD0}" name="Column6533"/>
    <tableColumn id="6537" xr3:uid="{87CF3E93-7572-4525-A463-B192878943D5}" name="Column6534"/>
    <tableColumn id="6538" xr3:uid="{C3A2C267-3CB8-4F0A-84AF-2CB5FC232609}" name="Column6535"/>
    <tableColumn id="6539" xr3:uid="{DE38F345-1BD2-47BB-BE14-3EEC482DEDC8}" name="Column6536"/>
    <tableColumn id="6540" xr3:uid="{5DD6D47B-57AB-4FA3-9E71-372E7A6D1BC0}" name="Column6537"/>
    <tableColumn id="6541" xr3:uid="{7AF56BC4-C605-4C7A-87A3-065B6BF0A5F4}" name="Column6538"/>
    <tableColumn id="6542" xr3:uid="{F223398C-D326-4FA4-95A8-D404735406DE}" name="Column6539"/>
    <tableColumn id="6543" xr3:uid="{5D25EC94-4121-402B-8AE1-126711790AFE}" name="Column6540"/>
    <tableColumn id="6544" xr3:uid="{BD78CF86-39FB-48A0-B914-9E428A56E0D4}" name="Column6541"/>
    <tableColumn id="6545" xr3:uid="{8699AC50-9E6F-4582-ADA7-7CB543ADD178}" name="Column6542"/>
    <tableColumn id="6546" xr3:uid="{8B5ECF87-AA43-4BFC-BEB4-E07701BFC426}" name="Column6543"/>
    <tableColumn id="6547" xr3:uid="{B4B7EE1E-5901-4351-AE84-B32886719CF8}" name="Column6544"/>
    <tableColumn id="6548" xr3:uid="{52DFF097-3622-49FB-BBF0-857B877B8E6D}" name="Column6545"/>
    <tableColumn id="6549" xr3:uid="{E54D3093-96B0-4D46-841A-919C21C6CBEA}" name="Column6546"/>
    <tableColumn id="6550" xr3:uid="{35E5605F-5DEE-4BC1-83FF-0794206DADE4}" name="Column6547"/>
    <tableColumn id="6551" xr3:uid="{48CB3C15-FC7F-4BA4-AB67-162A26EF463A}" name="Column6548"/>
    <tableColumn id="6552" xr3:uid="{535078F2-9801-4A21-A26A-9F8CB952ED25}" name="Column6549"/>
    <tableColumn id="6553" xr3:uid="{472FB82F-3D35-4775-84E0-C9332DA4B381}" name="Column6550"/>
    <tableColumn id="6554" xr3:uid="{F89CE75E-E997-4D73-BAD1-4011CB647A11}" name="Column6551"/>
    <tableColumn id="6555" xr3:uid="{A68AF82A-286E-4B57-8765-C46D28DC1701}" name="Column6552"/>
    <tableColumn id="6556" xr3:uid="{B5FDDC46-35B2-4E8B-92E8-5634105C55AC}" name="Column6553"/>
    <tableColumn id="6557" xr3:uid="{62E17EED-871F-4CE4-987E-CD84E2745C1A}" name="Column6554"/>
    <tableColumn id="6558" xr3:uid="{08A9B8D6-70C7-41EB-8171-06D879FCD1CE}" name="Column6555"/>
    <tableColumn id="6559" xr3:uid="{2633A0CE-1CCB-4181-97B2-6DAA60CE60A1}" name="Column6556"/>
    <tableColumn id="6560" xr3:uid="{55802979-A485-4A29-97FB-9521537DD06C}" name="Column6557"/>
    <tableColumn id="6561" xr3:uid="{AC99D16A-06C9-4CE5-A9CF-902B1D8E0E2F}" name="Column6558"/>
    <tableColumn id="6562" xr3:uid="{EBF0941F-A9B2-4F35-88FC-A89390DD7564}" name="Column6559"/>
    <tableColumn id="6563" xr3:uid="{D95AE43A-F69C-4831-805F-FC720964BF0F}" name="Column6560"/>
    <tableColumn id="6564" xr3:uid="{7768D16C-A222-4AB9-B56C-26A14D217E3B}" name="Column6561"/>
    <tableColumn id="6565" xr3:uid="{E6C39E85-8D15-4F0A-B752-899B3595DCDE}" name="Column6562"/>
    <tableColumn id="6566" xr3:uid="{D64A2CBA-3DFB-4B95-85A9-54372AF3D07A}" name="Column6563"/>
    <tableColumn id="6567" xr3:uid="{B14E3BBA-95A9-49A5-94BF-1F667BB5B187}" name="Column6564"/>
    <tableColumn id="6568" xr3:uid="{FC393A7A-0902-48B5-AD8D-97036EBBC671}" name="Column6565"/>
    <tableColumn id="6569" xr3:uid="{7CF94F2E-EB8C-4B1D-B564-DCFA7D97A0B1}" name="Column6566"/>
    <tableColumn id="6570" xr3:uid="{3FE4EC78-A527-4520-8216-219CB86DE371}" name="Column6567"/>
    <tableColumn id="6571" xr3:uid="{D0E2807F-D0B2-42D1-BDEC-96F884CBB434}" name="Column6568"/>
    <tableColumn id="6572" xr3:uid="{CDE70406-4B06-4558-A606-2512D22EFA80}" name="Column6569"/>
    <tableColumn id="6573" xr3:uid="{F39B7CF6-7BA2-45D8-9CFC-BD418CC07E14}" name="Column6570"/>
    <tableColumn id="6574" xr3:uid="{A63F91AD-9E8C-49AC-ABE0-85AFDBDCE16E}" name="Column6571"/>
    <tableColumn id="6575" xr3:uid="{252B2AA2-1E12-4B53-9941-230B25443427}" name="Column6572"/>
    <tableColumn id="6576" xr3:uid="{E77000E9-153D-4E90-818A-8CD2B238218F}" name="Column6573"/>
    <tableColumn id="6577" xr3:uid="{570A3B30-F55D-4451-8C64-12908CAEAADA}" name="Column6574"/>
    <tableColumn id="6578" xr3:uid="{E6D4F0BE-464E-4213-9515-960515D3BC6C}" name="Column6575"/>
    <tableColumn id="6579" xr3:uid="{09FE22CF-D45B-4C00-B130-45BF88734C72}" name="Column6576"/>
    <tableColumn id="6580" xr3:uid="{09D3B11B-E217-4031-8FDD-D6CEF9E10F99}" name="Column6577"/>
    <tableColumn id="6581" xr3:uid="{ECEFC85F-8FF7-4A01-95F8-F1CBE1B9FFB8}" name="Column6578"/>
    <tableColumn id="6582" xr3:uid="{20B8EC8F-18C2-4F1B-8EE8-F6C44A042E9F}" name="Column6579"/>
    <tableColumn id="6583" xr3:uid="{A9DAF978-7D68-4E9C-9A2A-9C598FD5664B}" name="Column6580"/>
    <tableColumn id="6584" xr3:uid="{664F430F-57A8-4886-A681-8F583CA77B25}" name="Column6581"/>
    <tableColumn id="6585" xr3:uid="{72E21D8B-4BC1-413D-88C6-5ACD68F3661E}" name="Column6582"/>
    <tableColumn id="6586" xr3:uid="{2A029C37-BDD1-491D-9E7C-88F31CDBF97F}" name="Column6583"/>
    <tableColumn id="6587" xr3:uid="{60EF214D-2E62-4A86-BC03-D94BA94C1315}" name="Column6584"/>
    <tableColumn id="6588" xr3:uid="{BB0E9305-FF9A-4244-801F-A3236839B66A}" name="Column6585"/>
    <tableColumn id="6589" xr3:uid="{EFBE6565-C13D-477B-A748-9CE26A0739B6}" name="Column6586"/>
    <tableColumn id="6590" xr3:uid="{9E74181D-26C3-4082-A189-13AC0EFFCA94}" name="Column6587"/>
    <tableColumn id="6591" xr3:uid="{3756591D-1A71-49BE-B31F-A78F6401C653}" name="Column6588"/>
    <tableColumn id="6592" xr3:uid="{9A68CD0E-5908-4BA0-8926-7CA6ABFAC46A}" name="Column6589"/>
    <tableColumn id="6593" xr3:uid="{C742EA37-5E41-4987-B284-480AD173BAB8}" name="Column6590"/>
    <tableColumn id="6594" xr3:uid="{DBEC95E0-C205-497D-9A31-04450D2D568D}" name="Column6591"/>
    <tableColumn id="6595" xr3:uid="{34BEE7D4-A016-4F1E-812D-93FF5223C9EE}" name="Column6592"/>
    <tableColumn id="6596" xr3:uid="{A3366F73-26C6-496F-A488-A929A49009F9}" name="Column6593"/>
    <tableColumn id="6597" xr3:uid="{5164132E-326E-4A95-83C9-E6E44221D4A4}" name="Column6594"/>
    <tableColumn id="6598" xr3:uid="{825A0D26-B916-4316-897C-9067AEB92B3D}" name="Column6595"/>
    <tableColumn id="6599" xr3:uid="{6FC81D59-E711-4F34-A96D-71DF2B263C0B}" name="Column6596"/>
    <tableColumn id="6600" xr3:uid="{6657FE84-036F-4BAA-8A4D-BF3383AF1B60}" name="Column6597"/>
    <tableColumn id="6601" xr3:uid="{8963011A-AE00-48C5-94D3-617804D902F4}" name="Column6598"/>
    <tableColumn id="6602" xr3:uid="{742B45BB-7194-485C-9F76-0F78593F31FD}" name="Column6599"/>
    <tableColumn id="6603" xr3:uid="{213BFB0A-2D6B-455A-8949-61C8F394E2E3}" name="Column6600"/>
    <tableColumn id="6604" xr3:uid="{769542F9-7FFB-4F2A-9C74-09F5625672C8}" name="Column6601"/>
    <tableColumn id="6605" xr3:uid="{7BA46CD7-49BE-49D8-9D12-66D7A6162DDB}" name="Column6602"/>
    <tableColumn id="6606" xr3:uid="{D57DD4C7-E9FA-441D-A10C-5E58528C583A}" name="Column6603"/>
    <tableColumn id="6607" xr3:uid="{DD53A24E-0E5F-47B6-A560-5B98A308FEA1}" name="Column6604"/>
    <tableColumn id="6608" xr3:uid="{33048A6A-1590-46BF-9F45-C1583BBE9F1D}" name="Column6605"/>
    <tableColumn id="6609" xr3:uid="{73B67C39-A97B-4FE5-A1F4-1C9428A62D4A}" name="Column6606"/>
    <tableColumn id="6610" xr3:uid="{0CC43E3D-74BE-4548-8C7C-5ED52BA01581}" name="Column6607"/>
    <tableColumn id="6611" xr3:uid="{B29752EE-BBC9-4028-B3D5-651DD799D2D4}" name="Column6608"/>
    <tableColumn id="6612" xr3:uid="{9A402793-2C29-4BEE-86B8-FD1497A9BD76}" name="Column6609"/>
    <tableColumn id="6613" xr3:uid="{DD07CB7D-29D3-4AC5-9EAD-35D05ED73CA6}" name="Column6610"/>
    <tableColumn id="6614" xr3:uid="{1A205E83-813B-4F20-8418-6FB4A29AE267}" name="Column6611"/>
    <tableColumn id="6615" xr3:uid="{FC13FD48-DC01-4788-B4B0-1629E9C901EC}" name="Column6612"/>
    <tableColumn id="6616" xr3:uid="{97652698-F301-43D9-83DC-756BE2B9050C}" name="Column6613"/>
    <tableColumn id="6617" xr3:uid="{AC8C7651-3DCF-47C5-975B-55D84E3326B1}" name="Column6614"/>
    <tableColumn id="6618" xr3:uid="{28A697C2-DACB-4654-9FBB-C70810EC49A3}" name="Column6615"/>
    <tableColumn id="6619" xr3:uid="{6EBD675E-31E0-4C20-A0CB-5B6642FC4D58}" name="Column6616"/>
    <tableColumn id="6620" xr3:uid="{2B45B2A8-DB4A-4412-A15A-45E2AECA82B0}" name="Column6617"/>
    <tableColumn id="6621" xr3:uid="{E82ED80E-115F-4724-9708-A8275BCDF1DD}" name="Column6618"/>
    <tableColumn id="6622" xr3:uid="{41F268E4-C65E-4C99-A9E5-F36F22D29E17}" name="Column6619"/>
    <tableColumn id="6623" xr3:uid="{F5A60EB8-A77B-4373-B75F-B1CDE22B343C}" name="Column6620"/>
    <tableColumn id="6624" xr3:uid="{4C417164-5799-4B38-BE5C-7E70E343DEA4}" name="Column6621"/>
    <tableColumn id="6625" xr3:uid="{7C19956E-C760-494D-9A45-48654F53E92D}" name="Column6622"/>
    <tableColumn id="6626" xr3:uid="{7E8414BA-828B-4568-B786-3395762E2C84}" name="Column6623"/>
    <tableColumn id="6627" xr3:uid="{7148347C-9B69-4FCB-884B-3EC729F815BD}" name="Column6624"/>
    <tableColumn id="6628" xr3:uid="{7BA656F1-9952-48E1-9AE2-8B1218CF2732}" name="Column6625"/>
    <tableColumn id="6629" xr3:uid="{B8264147-0695-4C3C-A094-D92BDE5A995B}" name="Column6626"/>
    <tableColumn id="6630" xr3:uid="{99131F65-1067-4B19-BC36-377726D7DC88}" name="Column6627"/>
    <tableColumn id="6631" xr3:uid="{875C89B7-AEE0-424F-A7D6-0B1797DB1626}" name="Column6628"/>
    <tableColumn id="6632" xr3:uid="{292C3232-DF68-4FB9-BF3F-C1F9789866C2}" name="Column6629"/>
    <tableColumn id="6633" xr3:uid="{A074139D-3A95-408C-9C00-091BD0C3E8AE}" name="Column6630"/>
    <tableColumn id="6634" xr3:uid="{ED06606F-2E9C-4C1D-A446-47D093EDDC4D}" name="Column6631"/>
    <tableColumn id="6635" xr3:uid="{9B2E3956-FE80-4D95-8C50-0556DC316D9B}" name="Column6632"/>
    <tableColumn id="6636" xr3:uid="{F7B5A432-CCD6-41E5-B6F0-DD07270D07E4}" name="Column6633"/>
    <tableColumn id="6637" xr3:uid="{2DCD069C-B7AD-413B-B8F2-17A16F7C5E6A}" name="Column6634"/>
    <tableColumn id="6638" xr3:uid="{CD567467-4A18-44DE-AC14-3008DA425AF6}" name="Column6635"/>
    <tableColumn id="6639" xr3:uid="{991B2ACD-C5C6-4BE5-AA42-357EDB94AE89}" name="Column6636"/>
    <tableColumn id="6640" xr3:uid="{291B9015-77A3-42DE-BF31-04B2BE06D8AA}" name="Column6637"/>
    <tableColumn id="6641" xr3:uid="{2B8D4ECC-1F4D-4904-A9DD-1EE059E24723}" name="Column6638"/>
    <tableColumn id="6642" xr3:uid="{08F002C2-FCC9-4191-B2C9-4758F7233BCD}" name="Column6639"/>
    <tableColumn id="6643" xr3:uid="{C97F2B6D-B86B-41BB-94FE-99D2E0829685}" name="Column6640"/>
    <tableColumn id="6644" xr3:uid="{3D8D6CB8-C74F-44DF-ACCD-11705BCFD26D}" name="Column6641"/>
    <tableColumn id="6645" xr3:uid="{65C27B55-8B29-4ACB-84B2-AB9C8AF7A59A}" name="Column6642"/>
    <tableColumn id="6646" xr3:uid="{B6F366EE-BC98-4D72-9AC4-BA66498965A9}" name="Column6643"/>
    <tableColumn id="6647" xr3:uid="{6CB214FE-14EF-451C-A0D1-AEBE75BB411C}" name="Column6644"/>
    <tableColumn id="6648" xr3:uid="{87C2E65D-0C8B-45F3-AC30-6C6C2A159630}" name="Column6645"/>
    <tableColumn id="6649" xr3:uid="{885D9A03-982D-4F56-BC42-CA8135AAA4B1}" name="Column6646"/>
    <tableColumn id="6650" xr3:uid="{5147D729-A953-488D-9966-68F06D25EF2C}" name="Column6647"/>
    <tableColumn id="6651" xr3:uid="{D0757F2F-F472-4F9C-8CAE-655D28C4705D}" name="Column6648"/>
    <tableColumn id="6652" xr3:uid="{9EB6324A-3161-446C-9044-547667E960C7}" name="Column6649"/>
    <tableColumn id="6653" xr3:uid="{CD0B0E80-A208-425D-88C6-E5F875E187D5}" name="Column6650"/>
    <tableColumn id="6654" xr3:uid="{96053ABD-9C3D-4C5F-8C23-A2704AD46811}" name="Column6651"/>
    <tableColumn id="6655" xr3:uid="{86E1AECD-50B0-4830-B2CD-EE9D3311867D}" name="Column6652"/>
    <tableColumn id="6656" xr3:uid="{BE7625E8-EB83-45DB-AC6D-916DCB65E462}" name="Column6653"/>
    <tableColumn id="6657" xr3:uid="{F6EE8EF1-3482-4875-8D5F-3E41F189C585}" name="Column6654"/>
    <tableColumn id="6658" xr3:uid="{75BB4BC4-C1C8-4F8D-A488-7FC91289E17E}" name="Column6655"/>
    <tableColumn id="6659" xr3:uid="{FFD29BB9-F5AB-45C0-8E6D-66FBA9CEF4C1}" name="Column6656"/>
    <tableColumn id="6660" xr3:uid="{40147925-F352-4164-BEB7-82E2B0806281}" name="Column6657"/>
    <tableColumn id="6661" xr3:uid="{646B2F3A-FE25-4DDC-89F9-28A36775186F}" name="Column6658"/>
    <tableColumn id="6662" xr3:uid="{0210147F-9754-4240-9653-59B7139566C8}" name="Column6659"/>
    <tableColumn id="6663" xr3:uid="{EE811ED2-BB61-45D3-84AA-CE7384C26DF7}" name="Column6660"/>
    <tableColumn id="6664" xr3:uid="{903F8784-43CD-4A9D-B0BE-A02928AAF921}" name="Column6661"/>
    <tableColumn id="6665" xr3:uid="{98C50E64-7DD1-49D0-A86D-8DE88052137F}" name="Column6662"/>
    <tableColumn id="6666" xr3:uid="{D5BD4817-2892-4993-B5D5-3EB304D2FB3C}" name="Column6663"/>
    <tableColumn id="6667" xr3:uid="{9DBC2D69-50AA-42AE-BBDF-DE74E01A4F98}" name="Column6664"/>
    <tableColumn id="6668" xr3:uid="{E378B790-AD8A-4DD5-8FFE-6CFA697C034B}" name="Column6665"/>
    <tableColumn id="6669" xr3:uid="{8CEB0EDA-7951-43A5-8272-95BA4A40A4E3}" name="Column6666"/>
    <tableColumn id="6670" xr3:uid="{7C3C3994-DF2B-45B2-A64C-DCAB74278DEE}" name="Column6667"/>
    <tableColumn id="6671" xr3:uid="{1EA93BBD-EDC9-41C5-8BBF-5B4F094085B8}" name="Column6668"/>
    <tableColumn id="6672" xr3:uid="{71FC0ED6-83C3-4EEE-B7DB-D467DE0C69D9}" name="Column6669"/>
    <tableColumn id="6673" xr3:uid="{7A933445-E0DF-4E10-A3D0-5D781F3A539B}" name="Column6670"/>
    <tableColumn id="6674" xr3:uid="{3969013F-D228-4F0E-B738-ACCFA66D4875}" name="Column6671"/>
    <tableColumn id="6675" xr3:uid="{E55C963C-4E98-4FA6-AAD5-5A509D4DDC34}" name="Column6672"/>
    <tableColumn id="6676" xr3:uid="{1FBF6208-3F44-4044-B4BF-9BAFF8D35F0B}" name="Column6673"/>
    <tableColumn id="6677" xr3:uid="{E25D1B77-BCB7-4C43-824F-7B9483927DFD}" name="Column6674"/>
    <tableColumn id="6678" xr3:uid="{C624A883-A551-4F2C-AFAD-C2202E2961F6}" name="Column6675"/>
    <tableColumn id="6679" xr3:uid="{C77C14A1-4593-4F60-9227-1A2EF0E2A663}" name="Column6676"/>
    <tableColumn id="6680" xr3:uid="{101EE7F8-3522-4928-9ADF-451133F67017}" name="Column6677"/>
    <tableColumn id="6681" xr3:uid="{ACCDA63D-8D74-454C-BAE8-516A5CC671A8}" name="Column6678"/>
    <tableColumn id="6682" xr3:uid="{18D4A279-E241-4304-BE87-86C7FE1A6426}" name="Column6679"/>
    <tableColumn id="6683" xr3:uid="{8E022365-EEE5-4039-9FAB-916DD8AEA273}" name="Column6680"/>
    <tableColumn id="6684" xr3:uid="{281F18C2-D582-4439-98DB-82B7A13CFDEA}" name="Column6681"/>
    <tableColumn id="6685" xr3:uid="{60756BA3-ECCA-4456-AC90-A0999C5B0E93}" name="Column6682"/>
    <tableColumn id="6686" xr3:uid="{68B78CD7-2E7E-4FC7-B763-0B717DB78AE1}" name="Column6683"/>
    <tableColumn id="6687" xr3:uid="{55A0E33F-AC9B-45D9-819A-674F7FAE775B}" name="Column6684"/>
    <tableColumn id="6688" xr3:uid="{F59A94AA-6C51-4B96-8D2D-2F484ED40408}" name="Column6685"/>
    <tableColumn id="6689" xr3:uid="{20939F92-A222-4241-80C7-E2C169FF9907}" name="Column6686"/>
    <tableColumn id="6690" xr3:uid="{1685BA78-0FE0-487E-9D99-ABBEB02DEFAC}" name="Column6687"/>
    <tableColumn id="6691" xr3:uid="{08947AA5-D5C8-4BC2-874A-8BEA78301CA2}" name="Column6688"/>
    <tableColumn id="6692" xr3:uid="{B1FB53F2-2DF5-4246-A418-2A194B139393}" name="Column6689"/>
    <tableColumn id="6693" xr3:uid="{9D3F8842-7F34-4183-B7E6-236DA0D29E8D}" name="Column6690"/>
    <tableColumn id="6694" xr3:uid="{FD1CF452-EDC6-4418-A5BC-E946E1CECE93}" name="Column6691"/>
    <tableColumn id="6695" xr3:uid="{BEBB8C5A-CCBD-46D5-A3A2-40DFC64098F3}" name="Column6692"/>
    <tableColumn id="6696" xr3:uid="{8AEAD5CB-249D-43C8-97F1-071325B9B3A5}" name="Column6693"/>
    <tableColumn id="6697" xr3:uid="{BE7752BC-DD0E-4B7E-BF0D-C23B98FCC923}" name="Column6694"/>
    <tableColumn id="6698" xr3:uid="{5A901297-5826-433C-9539-5145211A478B}" name="Column6695"/>
    <tableColumn id="6699" xr3:uid="{82BF9E54-F57C-4C6B-BC69-9A237951C74E}" name="Column6696"/>
    <tableColumn id="6700" xr3:uid="{3C3BE199-A167-42A0-8271-3EA8A8EA8A81}" name="Column6697"/>
    <tableColumn id="6701" xr3:uid="{5DCB8B25-78B8-45F9-BA41-8500C03CE4A8}" name="Column6698"/>
    <tableColumn id="6702" xr3:uid="{78413C4B-3332-4AC9-8711-08287C8E52D6}" name="Column6699"/>
    <tableColumn id="6703" xr3:uid="{77F1A041-EC13-4D44-94B1-3B3B222C47F9}" name="Column6700"/>
    <tableColumn id="6704" xr3:uid="{0FFECBE2-48EF-4A17-998B-99C476F1BF59}" name="Column6701"/>
    <tableColumn id="6705" xr3:uid="{DEB44368-F57B-47ED-A20F-44AD025EDF86}" name="Column6702"/>
    <tableColumn id="6706" xr3:uid="{27F1EC8E-822C-422E-A588-69092DAC2FE6}" name="Column6703"/>
    <tableColumn id="6707" xr3:uid="{BF97B00E-FCDD-48A2-9ACC-5871CC7C35A8}" name="Column6704"/>
    <tableColumn id="6708" xr3:uid="{9F05DE24-7A9D-4ABF-8F2F-50A298C9EFE0}" name="Column6705"/>
    <tableColumn id="6709" xr3:uid="{B0A9F5A7-E1A2-4DA1-A9C0-2EEB19DB2D19}" name="Column6706"/>
    <tableColumn id="6710" xr3:uid="{970F53B6-BB46-4306-A9D8-D8EC3D105F8E}" name="Column6707"/>
    <tableColumn id="6711" xr3:uid="{F1D85B76-7D0B-46F5-A8D9-B5CE547FAF47}" name="Column6708"/>
    <tableColumn id="6712" xr3:uid="{7CFEE201-01DF-430C-908D-D0BEAFF6EB17}" name="Column6709"/>
    <tableColumn id="6713" xr3:uid="{1089AD82-77F5-4722-A380-9F8BED257FAA}" name="Column6710"/>
    <tableColumn id="6714" xr3:uid="{5B51BCEC-821B-4B1D-A401-1E66B15314A5}" name="Column6711"/>
    <tableColumn id="6715" xr3:uid="{F8A18AA0-F42E-48EA-BC2C-0FAD6B004609}" name="Column6712"/>
    <tableColumn id="6716" xr3:uid="{301BA25E-CE33-45D4-B954-0A9FBC2C2892}" name="Column6713"/>
    <tableColumn id="6717" xr3:uid="{4B292BD4-F4F2-46F2-823B-2930FEF7CCC1}" name="Column6714"/>
    <tableColumn id="6718" xr3:uid="{18470E3A-4730-47E6-BBEB-1EE40BAD214E}" name="Column6715"/>
    <tableColumn id="6719" xr3:uid="{267989B6-59DA-490D-A792-91C1573544E9}" name="Column6716"/>
    <tableColumn id="6720" xr3:uid="{19DA10A7-78B9-442E-9286-DB9F2D036B24}" name="Column6717"/>
    <tableColumn id="6721" xr3:uid="{95294561-7F3B-48DD-A426-6C343871BD1C}" name="Column6718"/>
    <tableColumn id="6722" xr3:uid="{5CAF080F-A1BA-4F8C-B509-CB2F320AB8F6}" name="Column6719"/>
    <tableColumn id="6723" xr3:uid="{F9E2D78D-74DA-4FF6-8E5F-F204ED8E71BB}" name="Column6720"/>
    <tableColumn id="6724" xr3:uid="{759C369C-9A73-405E-BF08-E5DDF5486A3E}" name="Column6721"/>
    <tableColumn id="6725" xr3:uid="{FCD1B56D-9995-46F4-94E1-8EEF9FEDF5E3}" name="Column6722"/>
    <tableColumn id="6726" xr3:uid="{8F4FA274-4878-4629-9B0D-A98026DCE169}" name="Column6723"/>
    <tableColumn id="6727" xr3:uid="{2B978921-C66D-485C-A6CA-3AA1920AC5B6}" name="Column6724"/>
    <tableColumn id="6728" xr3:uid="{BC908940-D6EC-4BB8-A4A1-13375C66AECB}" name="Column6725"/>
    <tableColumn id="6729" xr3:uid="{11045633-ABA3-471A-9E05-086B758E30F0}" name="Column6726"/>
    <tableColumn id="6730" xr3:uid="{5A3FD4CF-5896-4410-9889-6349F94D4D2E}" name="Column6727"/>
    <tableColumn id="6731" xr3:uid="{9FC7FE1E-4377-4495-8887-390DB578B916}" name="Column6728"/>
    <tableColumn id="6732" xr3:uid="{B6994564-BE7A-40AE-B0B1-48AFDBCE8149}" name="Column6729"/>
    <tableColumn id="6733" xr3:uid="{FD3020B8-4B63-4C01-9934-104AFA7A7EE3}" name="Column6730"/>
    <tableColumn id="6734" xr3:uid="{01C5A69C-C069-4EC7-87AB-FDBDB613E0FB}" name="Column6731"/>
    <tableColumn id="6735" xr3:uid="{08A9C019-160F-4C71-813D-680C87D0AFD4}" name="Column6732"/>
    <tableColumn id="6736" xr3:uid="{9979CE0F-7CC3-4723-BC0F-4897DF1CD4FF}" name="Column6733"/>
    <tableColumn id="6737" xr3:uid="{0D62A523-0880-41A6-80D4-4F5177CA63BE}" name="Column6734"/>
    <tableColumn id="6738" xr3:uid="{FF26FFA4-2085-48A0-9803-F2A8723F38B8}" name="Column6735"/>
    <tableColumn id="6739" xr3:uid="{D051779C-50ED-43CA-9C1F-BED09243CD79}" name="Column6736"/>
    <tableColumn id="6740" xr3:uid="{E25C9119-2672-426D-998F-499511D4C8E3}" name="Column6737"/>
    <tableColumn id="6741" xr3:uid="{9FE1C7E9-0006-486A-BFC8-DE4A4A90EB66}" name="Column6738"/>
    <tableColumn id="6742" xr3:uid="{27A9F7BB-27B4-45ED-B7B5-8D4430EADC38}" name="Column6739"/>
    <tableColumn id="6743" xr3:uid="{3506BC8E-0AF9-48FF-9D7C-AF2E2DD427AF}" name="Column6740"/>
    <tableColumn id="6744" xr3:uid="{9ABFAE04-A793-466B-972E-3B09E5E0F638}" name="Column6741"/>
    <tableColumn id="6745" xr3:uid="{A646A498-241B-49A8-A3E7-18A50073CC86}" name="Column6742"/>
    <tableColumn id="6746" xr3:uid="{7B50F522-CAE9-472F-9C32-9749F0689D7E}" name="Column6743"/>
    <tableColumn id="6747" xr3:uid="{4329B221-A30B-4A52-A5DF-F859003C7E6C}" name="Column6744"/>
    <tableColumn id="6748" xr3:uid="{850DB2DC-A0C7-4C7F-8CE9-BC65E933D3FD}" name="Column6745"/>
    <tableColumn id="6749" xr3:uid="{F70649B5-12F5-4CCB-8DDC-7CE2E6BD740F}" name="Column6746"/>
    <tableColumn id="6750" xr3:uid="{1D6BF0B4-2557-4AC8-9953-365BC90FBE31}" name="Column6747"/>
    <tableColumn id="6751" xr3:uid="{D70D81BA-1ED3-4F87-B5F6-028E80A66E5C}" name="Column6748"/>
    <tableColumn id="6752" xr3:uid="{CFDF2AF8-D646-4711-B747-6FB7B4DA0468}" name="Column6749"/>
    <tableColumn id="6753" xr3:uid="{D2431D0D-88BC-4B23-85CF-099F976E4D58}" name="Column6750"/>
    <tableColumn id="6754" xr3:uid="{245E46A1-37FD-4B85-942D-E51926617ACD}" name="Column6751"/>
    <tableColumn id="6755" xr3:uid="{C0C095AB-D859-424A-80A5-D33B1630541A}" name="Column6752"/>
    <tableColumn id="6756" xr3:uid="{B49C00B3-380E-484D-8CCA-20E6F70D4168}" name="Column6753"/>
    <tableColumn id="6757" xr3:uid="{3B5561D3-8F10-46E0-B781-01A824EA27F6}" name="Column6754"/>
    <tableColumn id="6758" xr3:uid="{44D01E77-E2C9-484C-B822-D60C7432B0F6}" name="Column6755"/>
    <tableColumn id="6759" xr3:uid="{79E9A2AF-5047-49D1-B2C2-5F16A29AAF53}" name="Column6756"/>
    <tableColumn id="6760" xr3:uid="{A123AF58-ED76-44D3-A8AB-0C15F4B9AAA7}" name="Column6757"/>
    <tableColumn id="6761" xr3:uid="{712B0BCC-A888-4E84-AB2F-F1634A2DD748}" name="Column6758"/>
    <tableColumn id="6762" xr3:uid="{4A19B6D9-4BFF-479D-B4F7-18FFDE025452}" name="Column6759"/>
    <tableColumn id="6763" xr3:uid="{2564194A-506F-47A5-9EB5-F3ECD42BD456}" name="Column6760"/>
    <tableColumn id="6764" xr3:uid="{CA078A9C-7274-4C2D-914A-650378775580}" name="Column6761"/>
    <tableColumn id="6765" xr3:uid="{30927D5D-445C-486E-84AA-7A9ADC643331}" name="Column6762"/>
    <tableColumn id="6766" xr3:uid="{2FB944A4-B9A2-43B1-8CE5-4DA4BF86B5A1}" name="Column6763"/>
    <tableColumn id="6767" xr3:uid="{A20559FA-649E-4526-8F64-5EAAE3DDA6B1}" name="Column6764"/>
    <tableColumn id="6768" xr3:uid="{2A659EE5-3112-43D8-9607-EE90F79033BF}" name="Column6765"/>
    <tableColumn id="6769" xr3:uid="{3C8FF462-C4EE-4A29-ACFC-4A84426BDCC4}" name="Column6766"/>
    <tableColumn id="6770" xr3:uid="{6437446F-A9C7-4020-A9BC-0715790454F2}" name="Column6767"/>
    <tableColumn id="6771" xr3:uid="{724015D3-B8E0-412B-B931-675970A713B3}" name="Column6768"/>
    <tableColumn id="6772" xr3:uid="{B4C82F9C-4399-43EF-A430-36F91C603183}" name="Column6769"/>
    <tableColumn id="6773" xr3:uid="{5B0AA848-FED7-4A59-A3D8-EA1D2FD34EE2}" name="Column6770"/>
    <tableColumn id="6774" xr3:uid="{9CD2D53E-4240-4B02-864C-416AAAAF419C}" name="Column6771"/>
    <tableColumn id="6775" xr3:uid="{624F9157-A4ED-40FC-962F-680904599424}" name="Column6772"/>
    <tableColumn id="6776" xr3:uid="{39BBC87C-7140-4523-9A5C-48362296215B}" name="Column6773"/>
    <tableColumn id="6777" xr3:uid="{F97D9FE4-19A2-4C81-A18B-373782C98C8A}" name="Column6774"/>
    <tableColumn id="6778" xr3:uid="{D6E86EA9-EB1D-4856-BD36-2CAF9C7ACE9A}" name="Column6775"/>
    <tableColumn id="6779" xr3:uid="{D930A9E7-41D0-43CB-912F-ED5DF3B39E0C}" name="Column6776"/>
    <tableColumn id="6780" xr3:uid="{B7B45A6B-F0F0-44F1-B760-C4D234A0EE16}" name="Column6777"/>
    <tableColumn id="6781" xr3:uid="{CB7F791E-125F-4C35-98A0-258273DCA98D}" name="Column6778"/>
    <tableColumn id="6782" xr3:uid="{544B2EB3-2E39-4630-BA67-5C9D5DD3BC52}" name="Column6779"/>
    <tableColumn id="6783" xr3:uid="{037B246F-0720-406D-87B6-F1F9C1893123}" name="Column6780"/>
    <tableColumn id="6784" xr3:uid="{1B8D0AF5-D9AB-4231-9CE2-D7BD0F573883}" name="Column6781"/>
    <tableColumn id="6785" xr3:uid="{2B4CD0DD-0F67-4E45-9BF5-D13CE621AE6A}" name="Column6782"/>
    <tableColumn id="6786" xr3:uid="{CC7BE0EA-53F7-47A0-9887-B8D553E219D3}" name="Column6783"/>
    <tableColumn id="6787" xr3:uid="{F8682C64-9850-4207-9407-D4BD6F32D273}" name="Column6784"/>
    <tableColumn id="6788" xr3:uid="{0E514A7C-0D73-4A7E-A607-3E5A7EBA3E20}" name="Column6785"/>
    <tableColumn id="6789" xr3:uid="{6BF51005-CE9C-4425-AA62-16F96FAB8E59}" name="Column6786"/>
    <tableColumn id="6790" xr3:uid="{F5C5A359-896D-4943-97DD-5654B39B9A9E}" name="Column6787"/>
    <tableColumn id="6791" xr3:uid="{9F1BF5D8-F63C-4B2F-993C-AEA59A409E89}" name="Column6788"/>
    <tableColumn id="6792" xr3:uid="{221D0051-3CB2-4947-8325-9AEE111848D9}" name="Column6789"/>
    <tableColumn id="6793" xr3:uid="{95278DE8-1700-47B2-A4A9-6ACB8EF5A643}" name="Column6790"/>
    <tableColumn id="6794" xr3:uid="{A1649C92-EF2B-4CDE-B5E6-22D52AD80FB6}" name="Column6791"/>
    <tableColumn id="6795" xr3:uid="{232B33A3-614A-451C-BF45-BE75E94E8814}" name="Column6792"/>
    <tableColumn id="6796" xr3:uid="{90CBB708-5C89-4F13-94E1-110F585CE089}" name="Column6793"/>
    <tableColumn id="6797" xr3:uid="{DB44919C-46DE-422B-9258-B054E6BBDDA5}" name="Column6794"/>
    <tableColumn id="6798" xr3:uid="{474B397E-FCBD-48BD-816A-17853B6E3DE1}" name="Column6795"/>
    <tableColumn id="6799" xr3:uid="{186AC9DA-82C6-4698-9F75-74ECCAD3BFDE}" name="Column6796"/>
    <tableColumn id="6800" xr3:uid="{203037DF-0A49-4CBD-8741-B1991288A3FC}" name="Column6797"/>
    <tableColumn id="6801" xr3:uid="{622AB6AF-B2F5-4FFC-A3A0-3518E642C117}" name="Column6798"/>
    <tableColumn id="6802" xr3:uid="{5A053AF2-942E-44DC-9578-709A754F3C4E}" name="Column6799"/>
    <tableColumn id="6803" xr3:uid="{BD29F2EC-A7BD-4AF7-8906-187B1CC5180C}" name="Column6800"/>
    <tableColumn id="6804" xr3:uid="{971AE098-F4F3-40DB-9D59-4457C41AAA87}" name="Column6801"/>
    <tableColumn id="6805" xr3:uid="{27D272D5-BB61-4CD9-8B60-E8F034911364}" name="Column6802"/>
    <tableColumn id="6806" xr3:uid="{EB1163D7-489D-4D7E-8536-3624FB79CA52}" name="Column6803"/>
    <tableColumn id="6807" xr3:uid="{CBE0CB41-D517-429F-9423-1CCC6534757F}" name="Column6804"/>
    <tableColumn id="6808" xr3:uid="{72B8AC97-23E6-4F1D-AAA9-BED62FBB9952}" name="Column6805"/>
    <tableColumn id="6809" xr3:uid="{D03D98EA-A15A-43B4-9F9C-6A4FC5D6D541}" name="Column6806"/>
    <tableColumn id="6810" xr3:uid="{0F543360-3CF5-46E3-8DF4-A32B2FF95EC9}" name="Column6807"/>
    <tableColumn id="6811" xr3:uid="{71A5DE9D-84EC-4FFA-A78D-A40D0D14BCEE}" name="Column6808"/>
    <tableColumn id="6812" xr3:uid="{885DCCA0-DD8B-449A-BA35-1A09A95A7883}" name="Column6809"/>
    <tableColumn id="6813" xr3:uid="{B096F393-B8C0-4A9D-96C6-1D6D8BA4A6DE}" name="Column6810"/>
    <tableColumn id="6814" xr3:uid="{C6B21A1F-FC20-4E9B-8C98-4CB7DA2F0139}" name="Column6811"/>
    <tableColumn id="6815" xr3:uid="{FFA2A8AF-A393-4F64-B635-0EBE95F21CAE}" name="Column6812"/>
    <tableColumn id="6816" xr3:uid="{2CA550B3-07AE-49BC-9B89-40608F68DE06}" name="Column6813"/>
    <tableColumn id="6817" xr3:uid="{C9670256-058D-408B-8D16-F180CD6F6BA1}" name="Column6814"/>
    <tableColumn id="6818" xr3:uid="{A36FFC6B-27F6-4C6D-BB8D-A4FBCC95E843}" name="Column6815"/>
    <tableColumn id="6819" xr3:uid="{AEAD8699-48DC-4D98-9D81-E01EA8D7320E}" name="Column6816"/>
    <tableColumn id="6820" xr3:uid="{58D3D5B5-0A0A-4A3A-B3C0-98637BF88521}" name="Column6817"/>
    <tableColumn id="6821" xr3:uid="{543C9345-6B15-4C86-82E2-80C7D80C765E}" name="Column6818"/>
    <tableColumn id="6822" xr3:uid="{BC89434B-C050-4902-AC24-74FC1BE11F82}" name="Column6819"/>
    <tableColumn id="6823" xr3:uid="{DEC1C31C-E00F-46DC-BB6F-CD519D5CBE80}" name="Column6820"/>
    <tableColumn id="6824" xr3:uid="{36CFFCA8-876E-4A2E-9189-3F6AC3F75479}" name="Column6821"/>
    <tableColumn id="6825" xr3:uid="{AA0CF1E0-C3ED-4DE6-B79B-3335BCCAAEA7}" name="Column6822"/>
    <tableColumn id="6826" xr3:uid="{A94FC34F-D601-491D-98A2-13DEB8C6A891}" name="Column6823"/>
    <tableColumn id="6827" xr3:uid="{1368AF38-B552-4AD1-B74E-5FBF83D71AF4}" name="Column6824"/>
    <tableColumn id="6828" xr3:uid="{01C10A50-1CC0-41A8-A3AA-FC219D35D380}" name="Column6825"/>
    <tableColumn id="6829" xr3:uid="{24B5FC19-15C4-49C8-91D8-2660F4F15B99}" name="Column6826"/>
    <tableColumn id="6830" xr3:uid="{7B980698-C47E-40F4-B848-E2A77A95AE03}" name="Column6827"/>
    <tableColumn id="6831" xr3:uid="{6C4E838B-9873-4901-B43A-636ED5AD5FB0}" name="Column6828"/>
    <tableColumn id="6832" xr3:uid="{47833E8D-D36A-46A8-AA1C-92F376C184F6}" name="Column6829"/>
    <tableColumn id="6833" xr3:uid="{9C7A08AE-8548-4F37-9542-99400A1DFC2E}" name="Column6830"/>
    <tableColumn id="6834" xr3:uid="{9F3A65EF-ADB5-430F-8F53-F94F44228843}" name="Column6831"/>
    <tableColumn id="6835" xr3:uid="{BC458BAC-4D92-4441-A75A-47B84CBC3111}" name="Column6832"/>
    <tableColumn id="6836" xr3:uid="{99B933CB-C236-497A-B26C-D6D1957501CA}" name="Column6833"/>
    <tableColumn id="6837" xr3:uid="{8B807B4B-E842-4BE2-9957-D2C2D080D499}" name="Column6834"/>
    <tableColumn id="6838" xr3:uid="{0776B2FA-436B-4D51-8A96-6B27DC40C743}" name="Column6835"/>
    <tableColumn id="6839" xr3:uid="{E93F859B-9629-43DE-B8FE-E18CABF4C2FD}" name="Column6836"/>
    <tableColumn id="6840" xr3:uid="{C872F807-7A3F-48FB-8903-16266F89461D}" name="Column6837"/>
    <tableColumn id="6841" xr3:uid="{C6BBC848-AA15-4FF8-AF3C-72FCE557C507}" name="Column6838"/>
    <tableColumn id="6842" xr3:uid="{BC4B1B74-F289-4C73-9247-975E8D918233}" name="Column6839"/>
    <tableColumn id="6843" xr3:uid="{F9490F62-421C-454A-B4C2-1BCC3FC8B82B}" name="Column6840"/>
    <tableColumn id="6844" xr3:uid="{BCE47DE7-AAF5-4CDD-B418-778B89EE17BD}" name="Column6841"/>
    <tableColumn id="6845" xr3:uid="{F2714150-9E64-44EA-A1E4-CED534639594}" name="Column6842"/>
    <tableColumn id="6846" xr3:uid="{8B2156D3-65A5-4B55-AE2C-B1BB3578D7F5}" name="Column6843"/>
    <tableColumn id="6847" xr3:uid="{5A22511D-A07B-4B2A-A8E2-604F89799AF0}" name="Column6844"/>
    <tableColumn id="6848" xr3:uid="{83A22157-6986-49F4-B39A-016D94060330}" name="Column6845"/>
    <tableColumn id="6849" xr3:uid="{DC4283BB-0D42-49B2-8493-F759052A7AB5}" name="Column6846"/>
    <tableColumn id="6850" xr3:uid="{07CBFFD4-F6EC-4604-8593-2E810ACE3226}" name="Column6847"/>
    <tableColumn id="6851" xr3:uid="{72928ABC-7F50-4F62-ADC1-9F1B59D7E0AD}" name="Column6848"/>
    <tableColumn id="6852" xr3:uid="{B23364F6-9FB7-40F8-83D6-46A7546E55A0}" name="Column6849"/>
    <tableColumn id="6853" xr3:uid="{1AA039F9-FB95-42CD-A25C-EB2DA611263A}" name="Column6850"/>
    <tableColumn id="6854" xr3:uid="{1D26CBA1-05E6-49BB-9C24-1BCD68A09CEF}" name="Column6851"/>
    <tableColumn id="6855" xr3:uid="{37892C70-3571-4275-8C6E-736DFD596C0F}" name="Column6852"/>
    <tableColumn id="6856" xr3:uid="{2C37DC31-62CB-49EB-BB7D-7328AB29B71F}" name="Column6853"/>
    <tableColumn id="6857" xr3:uid="{A949E171-BF14-4722-8950-4EAED14AA678}" name="Column6854"/>
    <tableColumn id="6858" xr3:uid="{BAF6A8E2-D6D0-4918-9A78-6524EADB6FD5}" name="Column6855"/>
    <tableColumn id="6859" xr3:uid="{2ACD397E-4DCB-4200-B821-248879F71BF8}" name="Column6856"/>
    <tableColumn id="6860" xr3:uid="{9C172AD1-6BAB-4363-BB97-FEA8CEB8D8E2}" name="Column6857"/>
    <tableColumn id="6861" xr3:uid="{E9CE7875-18CF-4BF9-93F9-E163E3E610A3}" name="Column6858"/>
    <tableColumn id="6862" xr3:uid="{E5D89420-30AD-476E-98D1-24D929664C6C}" name="Column6859"/>
    <tableColumn id="6863" xr3:uid="{C1C742F8-626B-4E47-B951-BD46963A37E9}" name="Column6860"/>
    <tableColumn id="6864" xr3:uid="{E6DB6063-10F4-4C7C-82A1-C59C5885DA78}" name="Column6861"/>
    <tableColumn id="6865" xr3:uid="{CF047911-C1DE-41FA-B873-08E3CA970F85}" name="Column6862"/>
    <tableColumn id="6866" xr3:uid="{48F2EAAC-9406-4338-A1E5-40061D92BE3F}" name="Column6863"/>
    <tableColumn id="6867" xr3:uid="{6C5E2E23-7A6A-429B-98B3-3461FB866B01}" name="Column6864"/>
    <tableColumn id="6868" xr3:uid="{8EFA08AA-6A0A-46B7-87FB-2C5848EB8DE8}" name="Column6865"/>
    <tableColumn id="6869" xr3:uid="{85AC4725-F25B-4337-B841-93E8BB2B763D}" name="Column6866"/>
    <tableColumn id="6870" xr3:uid="{17C0F39F-2A77-4E1C-9AE8-F3BFA5FE6557}" name="Column6867"/>
    <tableColumn id="6871" xr3:uid="{42ED036E-4699-46F2-86A3-7CAB3EA8B1B2}" name="Column6868"/>
    <tableColumn id="6872" xr3:uid="{B767DD74-209A-4CE1-9734-E9D058CDF18A}" name="Column6869"/>
    <tableColumn id="6873" xr3:uid="{0AF47024-29A2-49D7-8035-1302F690CDB7}" name="Column6870"/>
    <tableColumn id="6874" xr3:uid="{BD040FEF-FA0B-4AFB-B7CA-CADB94E72E17}" name="Column6871"/>
    <tableColumn id="6875" xr3:uid="{41DAF6CA-2F08-4599-84BD-D0229A0FCDB3}" name="Column6872"/>
    <tableColumn id="6876" xr3:uid="{103A8E53-360D-44F6-892C-29FC6E8C2BAB}" name="Column6873"/>
    <tableColumn id="6877" xr3:uid="{FCCA63A9-D3DB-42F2-AD4D-3119A3E498AD}" name="Column6874"/>
    <tableColumn id="6878" xr3:uid="{536AD9BD-7266-4257-B546-C570787389E8}" name="Column6875"/>
    <tableColumn id="6879" xr3:uid="{AD244483-4375-48C8-B5AD-836A651EC47D}" name="Column6876"/>
    <tableColumn id="6880" xr3:uid="{C4863F65-AFCD-480A-8701-A790A0D676E6}" name="Column6877"/>
    <tableColumn id="6881" xr3:uid="{716E688B-63D0-4954-B28C-50625AAB3589}" name="Column6878"/>
    <tableColumn id="6882" xr3:uid="{21C4B182-FF0C-4019-80E4-B33124146A0B}" name="Column6879"/>
    <tableColumn id="6883" xr3:uid="{A0891A33-0D8F-4AB3-999A-B76CF426BBD2}" name="Column6880"/>
    <tableColumn id="6884" xr3:uid="{8F53B6F0-23A0-4866-B3B3-FB71F6E52E4A}" name="Column6881"/>
    <tableColumn id="6885" xr3:uid="{52C52631-9A09-4985-AB4C-A77D947B8CFF}" name="Column6882"/>
    <tableColumn id="6886" xr3:uid="{8B33A7E6-B54D-42C0-9E48-4711CC63549D}" name="Column6883"/>
    <tableColumn id="6887" xr3:uid="{2F4F7EF3-487B-4F6A-850C-B460756B52D8}" name="Column6884"/>
    <tableColumn id="6888" xr3:uid="{CD6CA17E-40DB-4025-844D-C9A6FCD08D4A}" name="Column6885"/>
    <tableColumn id="6889" xr3:uid="{44EF1010-96A5-4524-A245-B6D97B93B26E}" name="Column6886"/>
    <tableColumn id="6890" xr3:uid="{516092A4-8F36-4E08-8F23-A9528CF13E5E}" name="Column6887"/>
    <tableColumn id="6891" xr3:uid="{388B6022-255E-457B-A246-EBF9FD5977B3}" name="Column6888"/>
    <tableColumn id="6892" xr3:uid="{46E881D0-232A-4DB8-8C18-565E129364DA}" name="Column6889"/>
    <tableColumn id="6893" xr3:uid="{7C3BEA23-2D4B-4A6C-9CBD-0CAEBB96043F}" name="Column6890"/>
    <tableColumn id="6894" xr3:uid="{06A0B379-683B-47C3-8B41-8C611C6AB6CE}" name="Column6891"/>
    <tableColumn id="6895" xr3:uid="{56D041DD-DA1F-409D-A06E-A7753DB5F928}" name="Column6892"/>
    <tableColumn id="6896" xr3:uid="{A97DF29F-44D9-4286-8471-6DDE3B6E27C9}" name="Column6893"/>
    <tableColumn id="6897" xr3:uid="{2725FBDE-1AEF-4EB2-ADB1-41DDD1368C1F}" name="Column6894"/>
    <tableColumn id="6898" xr3:uid="{4D4F295D-6405-4A54-9B3E-1FF23A915E1C}" name="Column6895"/>
    <tableColumn id="6899" xr3:uid="{67C25D25-213F-4A11-92F3-04261EBE3B11}" name="Column6896"/>
    <tableColumn id="6900" xr3:uid="{CFF6CDA7-4E4E-4B86-B9DF-833540FC15E7}" name="Column6897"/>
    <tableColumn id="6901" xr3:uid="{209C81B1-DF5E-4412-8C3A-54D3E078687D}" name="Column6898"/>
    <tableColumn id="6902" xr3:uid="{097A3B3A-74A1-465E-A1F4-D00BC5CE7067}" name="Column6899"/>
    <tableColumn id="6903" xr3:uid="{4F7EF8D1-875F-4726-91DE-6F822B2548CD}" name="Column6900"/>
    <tableColumn id="6904" xr3:uid="{4E0A93DB-A869-450D-BEF9-A0B45F920885}" name="Column6901"/>
    <tableColumn id="6905" xr3:uid="{98D71484-B80A-4266-9BCB-6700028C4E28}" name="Column6902"/>
    <tableColumn id="6906" xr3:uid="{C7C8DB43-E910-4C8E-BC73-FFF8DEBE424E}" name="Column6903"/>
    <tableColumn id="6907" xr3:uid="{A3ABC481-86A3-4304-B435-3CA48CBE6929}" name="Column6904"/>
    <tableColumn id="6908" xr3:uid="{EEE2F517-6606-48B0-AE93-65257650B285}" name="Column6905"/>
    <tableColumn id="6909" xr3:uid="{08B0C8F8-072A-4839-A8B0-AE3F52421FEC}" name="Column6906"/>
    <tableColumn id="6910" xr3:uid="{1F0C54AF-191C-495F-B99D-0F9EAD9A589D}" name="Column6907"/>
    <tableColumn id="6911" xr3:uid="{56F8331A-BA2A-4EE8-B83A-91CA810AC69A}" name="Column6908"/>
    <tableColumn id="6912" xr3:uid="{F39CE069-D2C9-402A-B8D2-65D89AAF233D}" name="Column6909"/>
    <tableColumn id="6913" xr3:uid="{C8B4A75F-527A-419B-9DB9-CBEEB7296C04}" name="Column6910"/>
    <tableColumn id="6914" xr3:uid="{3966317B-6622-4633-A2CD-923AAA013C0F}" name="Column6911"/>
    <tableColumn id="6915" xr3:uid="{F17C891E-A01C-44BB-9955-58433A3DB199}" name="Column6912"/>
    <tableColumn id="6916" xr3:uid="{BB5F029E-EA0C-46D8-AD78-95AECC9B1495}" name="Column6913"/>
    <tableColumn id="6917" xr3:uid="{1644CB9B-31A1-4011-8B9A-9AD1C9426EA0}" name="Column6914"/>
    <tableColumn id="6918" xr3:uid="{73FB4331-E665-4D28-9E05-8B4AA11CD54E}" name="Column6915"/>
    <tableColumn id="6919" xr3:uid="{39877A75-2D32-4AF6-AC22-1584570A32A6}" name="Column6916"/>
    <tableColumn id="6920" xr3:uid="{205BB564-1A35-4426-B93B-225312D00C5C}" name="Column6917"/>
    <tableColumn id="6921" xr3:uid="{CB864793-201F-4B92-9602-AD670E599DF6}" name="Column6918"/>
    <tableColumn id="6922" xr3:uid="{C4D3437D-78A6-41D3-AB2D-58174EF20C95}" name="Column6919"/>
    <tableColumn id="6923" xr3:uid="{7B2BF227-EC04-497F-A499-9D0B89EEC792}" name="Column6920"/>
    <tableColumn id="6924" xr3:uid="{F91336C4-1732-4090-AE72-63CB714A7DCD}" name="Column6921"/>
    <tableColumn id="6925" xr3:uid="{12F99EB0-D28D-4277-AB64-EC73778A4625}" name="Column6922"/>
    <tableColumn id="6926" xr3:uid="{AA1CD70B-CBF8-4E9A-AAF9-34DAECE48114}" name="Column6923"/>
    <tableColumn id="6927" xr3:uid="{D10AE524-F567-4C48-9D19-2C7960045EBA}" name="Column6924"/>
    <tableColumn id="6928" xr3:uid="{4A5F61EF-0C24-4C07-83C6-9878B5A67FD5}" name="Column6925"/>
    <tableColumn id="6929" xr3:uid="{0774E72E-FBDB-494E-8C9E-C3CD2B2F719F}" name="Column6926"/>
    <tableColumn id="6930" xr3:uid="{6017F430-EEB7-4D26-906C-1DE79FBAD4AE}" name="Column6927"/>
    <tableColumn id="6931" xr3:uid="{8EA45312-9941-486C-A26D-D4A15B3336E9}" name="Column6928"/>
    <tableColumn id="6932" xr3:uid="{3EFFEE72-583A-4FD4-BBEE-E84F66C46E6D}" name="Column6929"/>
    <tableColumn id="6933" xr3:uid="{D258D8E7-FA72-4C26-966F-235717923628}" name="Column6930"/>
    <tableColumn id="6934" xr3:uid="{D4166ED3-EA84-4AC7-B878-482943C55469}" name="Column6931"/>
    <tableColumn id="6935" xr3:uid="{AA71086C-52FF-44E2-B069-9542549CA9FE}" name="Column6932"/>
    <tableColumn id="6936" xr3:uid="{41684B41-48E7-4608-8EFA-E390DCA08041}" name="Column6933"/>
    <tableColumn id="6937" xr3:uid="{A995FD42-13AF-49F5-8509-1463B06F187D}" name="Column6934"/>
    <tableColumn id="6938" xr3:uid="{A9D6F30C-132F-409C-B85F-71137EBE0B54}" name="Column6935"/>
    <tableColumn id="6939" xr3:uid="{972B7B7A-DDEA-4154-B49C-83A9495149AA}" name="Column6936"/>
    <tableColumn id="6940" xr3:uid="{7CB2F162-D6C7-4A20-B0CD-39EF7D991405}" name="Column6937"/>
    <tableColumn id="6941" xr3:uid="{62BAD7CF-E854-42FA-9769-38728489FBC9}" name="Column6938"/>
    <tableColumn id="6942" xr3:uid="{2F23ABA7-2FCE-4199-AEF7-5CB5269ECDE3}" name="Column6939"/>
    <tableColumn id="6943" xr3:uid="{F2DED84B-735F-46E4-ABFE-BCD5CC11F022}" name="Column6940"/>
    <tableColumn id="6944" xr3:uid="{F34EF48B-A576-4262-820E-4E8F726ED834}" name="Column6941"/>
    <tableColumn id="6945" xr3:uid="{1413F370-5141-4DEB-A670-B84D350BC5D1}" name="Column6942"/>
    <tableColumn id="6946" xr3:uid="{FBD124B4-C680-45E1-90A2-DA0A14FC2DA7}" name="Column6943"/>
    <tableColumn id="6947" xr3:uid="{113795B5-93D8-471E-8912-48629068659F}" name="Column6944"/>
    <tableColumn id="6948" xr3:uid="{D8839F0C-5144-437F-95AF-7D9A173D0DCA}" name="Column6945"/>
    <tableColumn id="6949" xr3:uid="{C2AE5A4A-5157-4D46-9CFA-AC772B8001FF}" name="Column6946"/>
    <tableColumn id="6950" xr3:uid="{265FCEA2-20E1-45D9-8292-0E75A90100BD}" name="Column6947"/>
    <tableColumn id="6951" xr3:uid="{4693E0FC-5D27-4B03-AE49-EE840E37DC0E}" name="Column6948"/>
    <tableColumn id="6952" xr3:uid="{8AF07C07-0309-472F-B918-1A6D11C96F91}" name="Column6949"/>
    <tableColumn id="6953" xr3:uid="{F7D05F6F-85DB-42F7-9ED7-4E7AB33537AB}" name="Column6950"/>
    <tableColumn id="6954" xr3:uid="{2A1D62A2-DC89-4FB2-B50A-9EBDF38107A1}" name="Column6951"/>
    <tableColumn id="6955" xr3:uid="{A0054280-EB41-45F8-BFB3-CB1272F89B8F}" name="Column6952"/>
    <tableColumn id="6956" xr3:uid="{BC49EA22-A38A-420C-B012-C25E543D1B54}" name="Column6953"/>
    <tableColumn id="6957" xr3:uid="{7952DD27-6C26-469F-97BD-B81E049D8DED}" name="Column6954"/>
    <tableColumn id="6958" xr3:uid="{AA5A2477-BA28-41DC-B992-3F303B3FE053}" name="Column6955"/>
    <tableColumn id="6959" xr3:uid="{A94AB4FF-867C-4226-8A9C-06AD7E4391EB}" name="Column6956"/>
    <tableColumn id="6960" xr3:uid="{1F2A8347-3F9F-425E-B73B-3D5B70F6CA41}" name="Column6957"/>
    <tableColumn id="6961" xr3:uid="{5A624E13-5A8C-4883-B78C-D0A0A65924BD}" name="Column6958"/>
    <tableColumn id="6962" xr3:uid="{E75982AE-C00B-4EFE-AF8B-727F0719FBEC}" name="Column6959"/>
    <tableColumn id="6963" xr3:uid="{8CBB262B-E54F-4024-B5F5-AD9E04AEA09B}" name="Column6960"/>
    <tableColumn id="6964" xr3:uid="{A02BC430-7171-45E5-A6AD-9CAF7E5FDB01}" name="Column6961"/>
    <tableColumn id="6965" xr3:uid="{6E2A608D-3D7F-4802-86CD-FD32C0551D96}" name="Column6962"/>
    <tableColumn id="6966" xr3:uid="{C9DF432E-EDA4-4D68-8041-47176738C99A}" name="Column6963"/>
    <tableColumn id="6967" xr3:uid="{D0FEF0E8-4E7C-43E2-90A8-FF5CD13B062E}" name="Column6964"/>
    <tableColumn id="6968" xr3:uid="{EAEBFB7F-4B43-486A-9660-9BD6D7F63EA0}" name="Column6965"/>
    <tableColumn id="6969" xr3:uid="{BDE56FF9-8440-482E-B075-62843BE9125E}" name="Column6966"/>
    <tableColumn id="6970" xr3:uid="{170D35B7-ADCE-4655-8C47-D097EC3EB84B}" name="Column6967"/>
    <tableColumn id="6971" xr3:uid="{238D8662-7325-4F21-AB4D-F2E7E580CCB4}" name="Column6968"/>
    <tableColumn id="6972" xr3:uid="{94967CEB-9345-4198-8841-F52A52E4A825}" name="Column6969"/>
    <tableColumn id="6973" xr3:uid="{77BB4141-8242-41DF-8640-0FC92BC7592B}" name="Column6970"/>
    <tableColumn id="6974" xr3:uid="{2A5B0F8C-7F9A-4211-83E1-374DE3F18F49}" name="Column6971"/>
    <tableColumn id="6975" xr3:uid="{D9E25579-2B2E-434C-AA70-86C6539351D3}" name="Column6972"/>
    <tableColumn id="6976" xr3:uid="{BCEE8ECE-BD25-428C-BF55-1CA7F47B352B}" name="Column6973"/>
    <tableColumn id="6977" xr3:uid="{2E7F7B3D-5AA3-4D28-BFF0-8AEB975A1157}" name="Column6974"/>
    <tableColumn id="6978" xr3:uid="{02085E03-BE8F-4B3E-99D4-5302C23B3F5A}" name="Column6975"/>
    <tableColumn id="6979" xr3:uid="{ED4B5EA2-AEE0-416B-9BBE-7BD2D621BFBF}" name="Column6976"/>
    <tableColumn id="6980" xr3:uid="{FC112A72-93D1-49C7-91A5-AD442AEF2FEF}" name="Column6977"/>
    <tableColumn id="6981" xr3:uid="{FF7B992E-8023-4FFC-9080-1CF6E9D76CF8}" name="Column6978"/>
    <tableColumn id="6982" xr3:uid="{02E95E8F-5F37-4B7B-BC70-BB6C189E5FBD}" name="Column6979"/>
    <tableColumn id="6983" xr3:uid="{FC3AEFCE-FC68-466B-87E6-BC3637C3A806}" name="Column6980"/>
    <tableColumn id="6984" xr3:uid="{5BC70167-C79A-4274-954A-B9DF5EE913E0}" name="Column6981"/>
    <tableColumn id="6985" xr3:uid="{6F43AD77-76B8-4478-A641-38EC970050B0}" name="Column6982"/>
    <tableColumn id="6986" xr3:uid="{769604D4-3098-4832-AE3F-4D0CC20E620E}" name="Column6983"/>
    <tableColumn id="6987" xr3:uid="{D381C160-B7BD-4FEA-86BF-A5DC6E22BEF0}" name="Column6984"/>
    <tableColumn id="6988" xr3:uid="{22D3EB3F-91D4-40FB-BDCA-ED894C3AD0D5}" name="Column6985"/>
    <tableColumn id="6989" xr3:uid="{F196F2D6-813C-479C-98C4-C9C3C42A8295}" name="Column6986"/>
    <tableColumn id="6990" xr3:uid="{D675F1CA-685B-4C58-BC93-C55F884C5488}" name="Column6987"/>
    <tableColumn id="6991" xr3:uid="{008B6418-C95B-4335-A38A-11D5EB1606DA}" name="Column6988"/>
    <tableColumn id="6992" xr3:uid="{1C22B9DE-0928-4AF0-ACF3-D9E124E04B47}" name="Column6989"/>
    <tableColumn id="6993" xr3:uid="{A6AA10D2-1D4F-44BC-851F-AEB80E6568D5}" name="Column6990"/>
    <tableColumn id="6994" xr3:uid="{23C0B91D-A0FD-49E8-B369-39AB2BF9DC85}" name="Column6991"/>
    <tableColumn id="6995" xr3:uid="{7284AF98-C3CB-47EC-813E-B79DEC32ECE3}" name="Column6992"/>
    <tableColumn id="6996" xr3:uid="{FD5B399F-B860-4FC3-9872-AFBE6EF087B3}" name="Column6993"/>
    <tableColumn id="6997" xr3:uid="{9C57BDEF-0D57-4697-A5BE-37A620027601}" name="Column6994"/>
    <tableColumn id="6998" xr3:uid="{8C9A1E9B-8374-4DB7-8280-D10E7BEE8BA1}" name="Column6995"/>
    <tableColumn id="6999" xr3:uid="{2482DD20-D1E0-4866-A0D1-F38A13F0DBB4}" name="Column6996"/>
    <tableColumn id="7000" xr3:uid="{FFA2B129-E9B7-45AD-8367-411B9DA08BD5}" name="Column6997"/>
    <tableColumn id="7001" xr3:uid="{FC3F9967-F5A7-421F-B074-40F1C2F89624}" name="Column6998"/>
    <tableColumn id="7002" xr3:uid="{69690C63-6CEF-4568-9390-C37D4E3D992D}" name="Column6999"/>
    <tableColumn id="7003" xr3:uid="{15540569-0F85-425E-A563-E281F0685B62}" name="Column7000"/>
    <tableColumn id="7004" xr3:uid="{D717B750-F0F5-4E90-8ED3-533AA713778D}" name="Column7001"/>
    <tableColumn id="7005" xr3:uid="{21CC8DAB-F23F-4F76-97BE-2435353BA455}" name="Column7002"/>
    <tableColumn id="7006" xr3:uid="{24AFFE8B-6308-4858-A1EE-F353F537DBDC}" name="Column7003"/>
    <tableColumn id="7007" xr3:uid="{B1326C85-CD7E-4B7A-86E1-39F5F947AB64}" name="Column7004"/>
    <tableColumn id="7008" xr3:uid="{7395F7E2-AAC9-45EF-9CC4-96C577E0363F}" name="Column7005"/>
    <tableColumn id="7009" xr3:uid="{6507DBAC-8DF4-4B46-9A0E-314DAF5FAB3A}" name="Column7006"/>
    <tableColumn id="7010" xr3:uid="{05982F1A-670D-493E-A46A-DDC87D551CBE}" name="Column7007"/>
    <tableColumn id="7011" xr3:uid="{819C5A3E-1AA8-4EA3-808B-1858DB169E33}" name="Column7008"/>
    <tableColumn id="7012" xr3:uid="{CEA5A8F9-612F-4771-9E51-3843F844B965}" name="Column7009"/>
    <tableColumn id="7013" xr3:uid="{AFB1316D-6C54-46F3-99D5-63D362B13F15}" name="Column7010"/>
    <tableColumn id="7014" xr3:uid="{04FB1720-88C3-4DA3-95EC-90A2FF119566}" name="Column7011"/>
    <tableColumn id="7015" xr3:uid="{6F530AEC-2BAB-445B-8800-0B746C225DFB}" name="Column7012"/>
    <tableColumn id="7016" xr3:uid="{6A74F348-4ADE-42F0-87E2-114865F89895}" name="Column7013"/>
    <tableColumn id="7017" xr3:uid="{E71D8E97-F99D-4426-AA78-D9FE77E5A1BC}" name="Column7014"/>
    <tableColumn id="7018" xr3:uid="{57D6DC79-5835-4882-9C03-EB1721415F03}" name="Column7015"/>
    <tableColumn id="7019" xr3:uid="{758499C1-D188-41DB-B17C-58CD27F8BD09}" name="Column7016"/>
    <tableColumn id="7020" xr3:uid="{84C09B57-7E87-4AE4-B28A-6FC4E3815248}" name="Column7017"/>
    <tableColumn id="7021" xr3:uid="{5ED52E49-42E7-442A-A41E-3E033BBFEECE}" name="Column7018"/>
    <tableColumn id="7022" xr3:uid="{1B36EFF5-35FE-4293-B403-823EFF5EACF6}" name="Column7019"/>
    <tableColumn id="7023" xr3:uid="{33D0F602-6AFA-4D36-A350-215BEF8D4D1B}" name="Column7020"/>
    <tableColumn id="7024" xr3:uid="{FACB886C-2016-4CE7-81AD-1E27B1A5D2B5}" name="Column7021"/>
    <tableColumn id="7025" xr3:uid="{C3EA2C48-D273-4FAF-8349-2240B22BD36A}" name="Column7022"/>
    <tableColumn id="7026" xr3:uid="{894718A9-857F-4667-BFFD-8099E3E25A16}" name="Column7023"/>
    <tableColumn id="7027" xr3:uid="{CD4E7E94-8F3D-4B9D-85B2-0C91881624EC}" name="Column7024"/>
    <tableColumn id="7028" xr3:uid="{C56A8CC8-DBE2-4840-924E-FA8C6F5974B0}" name="Column7025"/>
    <tableColumn id="7029" xr3:uid="{945EBC42-47C4-40A5-B6BD-9759B6F12F8E}" name="Column7026"/>
    <tableColumn id="7030" xr3:uid="{1A9AD76D-55AB-428E-BD1F-7B7813A6B772}" name="Column7027"/>
    <tableColumn id="7031" xr3:uid="{B5388EC6-E519-461A-9BA2-4408425FC929}" name="Column7028"/>
    <tableColumn id="7032" xr3:uid="{362CCA65-33FE-4E5D-8401-EE6C64A2156C}" name="Column7029"/>
    <tableColumn id="7033" xr3:uid="{EA893637-2B6C-4D7F-95C6-63B2235B6322}" name="Column7030"/>
    <tableColumn id="7034" xr3:uid="{2A6A58AD-7A9E-44C7-8D0D-7EBE50FC5FB5}" name="Column7031"/>
    <tableColumn id="7035" xr3:uid="{5D20F10F-969C-4ABC-BE5E-7BBC9BF049BC}" name="Column7032"/>
    <tableColumn id="7036" xr3:uid="{CCB48AFE-3578-4B37-868C-6A2A04BF240D}" name="Column7033"/>
    <tableColumn id="7037" xr3:uid="{7552E524-4177-4DE7-A7C1-995B2C02D989}" name="Column7034"/>
    <tableColumn id="7038" xr3:uid="{0669E8F5-E707-4B3D-941A-9651AF6CDBEA}" name="Column7035"/>
    <tableColumn id="7039" xr3:uid="{427AB7D7-D76F-4069-A0CE-F29ED1538FC9}" name="Column7036"/>
    <tableColumn id="7040" xr3:uid="{66A22AF8-3548-4D91-B3A7-BE2E50F00BE5}" name="Column7037"/>
    <tableColumn id="7041" xr3:uid="{8120101C-D5CC-40E4-980E-95E13FB986BD}" name="Column7038"/>
    <tableColumn id="7042" xr3:uid="{9B28706C-C178-4460-A25A-F34F3AB76740}" name="Column7039"/>
    <tableColumn id="7043" xr3:uid="{C04AF7DE-76F0-42D2-A4A1-E989700E68E6}" name="Column7040"/>
    <tableColumn id="7044" xr3:uid="{28B6E6B9-DBE8-4F26-AFDD-FFEDBB41ED9B}" name="Column7041"/>
    <tableColumn id="7045" xr3:uid="{3680C0AC-4EAD-49EF-8EDD-94B997BEE584}" name="Column7042"/>
    <tableColumn id="7046" xr3:uid="{C72B99ED-D2D3-4E28-8B7C-992419297DF3}" name="Column7043"/>
    <tableColumn id="7047" xr3:uid="{2E27EF99-47D5-482F-90C3-FE1C5B561370}" name="Column7044"/>
    <tableColumn id="7048" xr3:uid="{F404C5DD-201F-42B0-BB65-A27FAA8C6AE1}" name="Column7045"/>
    <tableColumn id="7049" xr3:uid="{ED4FB8B7-1F70-49E6-91C6-CD93AA00B6C1}" name="Column7046"/>
    <tableColumn id="7050" xr3:uid="{C6F65731-9C9D-40C2-AAAA-A183E8014D1F}" name="Column7047"/>
    <tableColumn id="7051" xr3:uid="{4A5586F9-088B-40CC-A005-A61500DE2872}" name="Column7048"/>
    <tableColumn id="7052" xr3:uid="{85AADCF4-81EB-4188-B284-A115250587DF}" name="Column7049"/>
    <tableColumn id="7053" xr3:uid="{C90A66AB-2DC9-4FC7-B579-C474654979FE}" name="Column7050"/>
    <tableColumn id="7054" xr3:uid="{1C5E52C7-0A77-44E8-B2D6-FAFABAA22D03}" name="Column7051"/>
    <tableColumn id="7055" xr3:uid="{58EEB6E8-40F0-47DE-866E-FCE3D4631E8D}" name="Column7052"/>
    <tableColumn id="7056" xr3:uid="{C636D329-E112-4556-9FEC-7065095A49AF}" name="Column7053"/>
    <tableColumn id="7057" xr3:uid="{420C4DD9-65AC-4DBD-9751-3E2DCDCEAD69}" name="Column7054"/>
    <tableColumn id="7058" xr3:uid="{66763AD6-1FF0-46A5-BD56-C28D3CCB4BE6}" name="Column7055"/>
    <tableColumn id="7059" xr3:uid="{337D5ED7-7F54-4725-AFA6-93D42D32CE26}" name="Column7056"/>
    <tableColumn id="7060" xr3:uid="{01239FA0-1650-494D-BCB4-E909D69D643E}" name="Column7057"/>
    <tableColumn id="7061" xr3:uid="{CE487009-247E-41BD-BCB1-26885A7A491C}" name="Column7058"/>
    <tableColumn id="7062" xr3:uid="{B0E3565A-37F6-4628-B79A-BA4BFB4B4CB8}" name="Column7059"/>
    <tableColumn id="7063" xr3:uid="{C3CDADA7-03D9-45B0-88D5-2F50605BAFB3}" name="Column7060"/>
    <tableColumn id="7064" xr3:uid="{6F56AD55-081E-41D6-8D29-7772EA4E46D2}" name="Column7061"/>
    <tableColumn id="7065" xr3:uid="{120B976D-A092-453E-994C-9533ADE4BA78}" name="Column7062"/>
    <tableColumn id="7066" xr3:uid="{7FDBA6C2-9B6F-4CC4-A8BE-7D329B133D71}" name="Column7063"/>
    <tableColumn id="7067" xr3:uid="{5A1A7050-A50C-4291-82D8-0D2B4AB4C9DE}" name="Column7064"/>
    <tableColumn id="7068" xr3:uid="{F9493EE9-700F-4A4B-AB8A-59BBD630C841}" name="Column7065"/>
    <tableColumn id="7069" xr3:uid="{6F2A9684-8D8B-417C-A953-49A093DB0028}" name="Column7066"/>
    <tableColumn id="7070" xr3:uid="{A58A6447-77CA-4BF6-B344-155B4D9DF80D}" name="Column7067"/>
    <tableColumn id="7071" xr3:uid="{D10EB70A-CD73-49A3-B8C7-277B65BA3C20}" name="Column7068"/>
    <tableColumn id="7072" xr3:uid="{769A441F-64C4-409F-9A7A-B7EADCF3A01A}" name="Column7069"/>
    <tableColumn id="7073" xr3:uid="{483D4F87-A212-45AC-A3E1-EF1851CADA47}" name="Column7070"/>
    <tableColumn id="7074" xr3:uid="{C51A8FCC-24EA-42AB-B35D-2718D8F766C5}" name="Column7071"/>
    <tableColumn id="7075" xr3:uid="{3A7A954A-7045-4D7A-8A7B-22BEC27276BB}" name="Column7072"/>
    <tableColumn id="7076" xr3:uid="{63098054-616F-4C0F-92C8-6907E053B662}" name="Column7073"/>
    <tableColumn id="7077" xr3:uid="{BE6E9545-AC48-4C94-802A-8CECF44C1C9B}" name="Column7074"/>
    <tableColumn id="7078" xr3:uid="{62354F15-0CD1-440C-8DB3-439810D57148}" name="Column7075"/>
    <tableColumn id="7079" xr3:uid="{9C48B2D1-7EA1-4ACF-942D-FD195100BB80}" name="Column7076"/>
    <tableColumn id="7080" xr3:uid="{2D6A0A88-71B6-4881-96D6-818B36DFEA25}" name="Column7077"/>
    <tableColumn id="7081" xr3:uid="{00F0CA0F-B238-4AB3-BA97-A45602EF949A}" name="Column7078"/>
    <tableColumn id="7082" xr3:uid="{B757E55A-8428-4906-B42D-C96D79EAE1E7}" name="Column7079"/>
    <tableColumn id="7083" xr3:uid="{53F94A52-A998-45A1-A718-7AE101D60FE5}" name="Column7080"/>
    <tableColumn id="7084" xr3:uid="{3ECF607C-AFFC-4187-B8B7-BB3A504F2BB6}" name="Column7081"/>
    <tableColumn id="7085" xr3:uid="{04B64E7C-4AC3-4133-B65D-FB5FBE34064E}" name="Column7082"/>
    <tableColumn id="7086" xr3:uid="{558D6F83-54B9-4B84-B9C8-5104EBD8EAD6}" name="Column7083"/>
    <tableColumn id="7087" xr3:uid="{A96B83BB-FD04-42A9-88E4-BF33AFA29D6A}" name="Column7084"/>
    <tableColumn id="7088" xr3:uid="{E81699A7-82BD-4947-BC4C-CDE632E61CC8}" name="Column7085"/>
    <tableColumn id="7089" xr3:uid="{B6E62100-19AB-41E0-A7E7-975CFA74AEDD}" name="Column7086"/>
    <tableColumn id="7090" xr3:uid="{08302365-AB93-49BB-BDED-1976360FDC2B}" name="Column7087"/>
    <tableColumn id="7091" xr3:uid="{05D2E540-1051-4551-ACA7-02DDDE730920}" name="Column7088"/>
    <tableColumn id="7092" xr3:uid="{EEA06C8C-2154-4CB0-BE2C-97BFE56FD1E9}" name="Column7089"/>
    <tableColumn id="7093" xr3:uid="{B8B334EF-C418-46D6-A8B6-2274D3BF8FE2}" name="Column7090"/>
    <tableColumn id="7094" xr3:uid="{CB938F3A-7ADE-4265-A6ED-B92F944E93D9}" name="Column7091"/>
    <tableColumn id="7095" xr3:uid="{B5223867-CD1B-4C7C-9995-DA6E68808119}" name="Column7092"/>
    <tableColumn id="7096" xr3:uid="{76E8B6CF-2FD5-4F6C-9395-0E61224F1F8C}" name="Column7093"/>
    <tableColumn id="7097" xr3:uid="{D91F76A7-F6F1-43EF-969F-DC88FB570BED}" name="Column7094"/>
    <tableColumn id="7098" xr3:uid="{9A65F216-C2D0-4B74-A200-661E83CC499B}" name="Column7095"/>
    <tableColumn id="7099" xr3:uid="{034F03F9-991C-4901-961F-554C3AACE680}" name="Column7096"/>
    <tableColumn id="7100" xr3:uid="{32C3231C-6237-41C0-8C70-C5B73862702B}" name="Column7097"/>
    <tableColumn id="7101" xr3:uid="{7F04EE48-7AA0-4E5A-A1F9-0D35ED7B87DA}" name="Column7098"/>
    <tableColumn id="7102" xr3:uid="{098AC172-98B9-445E-9AB6-48F5E9F9C8E1}" name="Column7099"/>
    <tableColumn id="7103" xr3:uid="{68D420A5-0605-45BD-8A35-7623ED280CC1}" name="Column7100"/>
    <tableColumn id="7104" xr3:uid="{3F9DF637-6E5C-49F3-93EE-4BCC45429E4A}" name="Column7101"/>
    <tableColumn id="7105" xr3:uid="{04B3F868-4631-42E5-9209-33419ADD411B}" name="Column7102"/>
    <tableColumn id="7106" xr3:uid="{9DF091F0-50BB-4B74-8E18-5AB784145777}" name="Column7103"/>
    <tableColumn id="7107" xr3:uid="{269DCCE9-6096-4C1D-A7EB-858D2F8F1394}" name="Column7104"/>
    <tableColumn id="7108" xr3:uid="{33F503A7-F2C3-46B9-9685-B75970CC2311}" name="Column7105"/>
    <tableColumn id="7109" xr3:uid="{43F17672-9A8D-4468-A6A1-5C86626D083D}" name="Column7106"/>
    <tableColumn id="7110" xr3:uid="{53E4F6C9-BA39-46C0-AE92-3093CF4ACB95}" name="Column7107"/>
    <tableColumn id="7111" xr3:uid="{36D6782A-66F1-4353-9305-E521FA22AA44}" name="Column7108"/>
    <tableColumn id="7112" xr3:uid="{8FE9DE76-0ABE-46C7-98B9-360A293DEB58}" name="Column7109"/>
    <tableColumn id="7113" xr3:uid="{74FA5FD1-EF76-4999-BBD4-E0D73ECA45E7}" name="Column7110"/>
    <tableColumn id="7114" xr3:uid="{1759A8EC-7A8C-4431-B2DB-A2332998DD94}" name="Column7111"/>
    <tableColumn id="7115" xr3:uid="{39554E10-AC36-48C1-8A31-7654EC42CD72}" name="Column7112"/>
    <tableColumn id="7116" xr3:uid="{FD236D13-F32C-47BE-AC36-C9A23228D03B}" name="Column7113"/>
    <tableColumn id="7117" xr3:uid="{C234CD9B-C71D-421D-A6B5-9BBC2D36EEF2}" name="Column7114"/>
    <tableColumn id="7118" xr3:uid="{6639EF05-C66F-44FF-BB07-13F80B0251BE}" name="Column7115"/>
    <tableColumn id="7119" xr3:uid="{43BA6D1D-7186-4123-97C6-DA1718406CAE}" name="Column7116"/>
    <tableColumn id="7120" xr3:uid="{F2E372A1-8B9C-4C6E-BB68-66914F1CAE16}" name="Column7117"/>
    <tableColumn id="7121" xr3:uid="{F48F41CF-7542-44FB-94AC-6B6CACB79FEE}" name="Column7118"/>
    <tableColumn id="7122" xr3:uid="{8E012F96-9280-48D9-8E42-BCD957E0749F}" name="Column7119"/>
    <tableColumn id="7123" xr3:uid="{DFEC02FE-3726-4AB3-90A4-C368822ED133}" name="Column7120"/>
    <tableColumn id="7124" xr3:uid="{C15F9018-DBF3-477D-AC54-BE88164293D7}" name="Column7121"/>
    <tableColumn id="7125" xr3:uid="{D3C39AA5-86BB-47A1-9F23-3A1C0804AD83}" name="Column7122"/>
    <tableColumn id="7126" xr3:uid="{B223EA1E-47F7-4D68-8748-1DE7E41285C7}" name="Column7123"/>
    <tableColumn id="7127" xr3:uid="{E00B0071-307A-47AE-8FB9-DF0D1B3EB81A}" name="Column7124"/>
    <tableColumn id="7128" xr3:uid="{E812B7A6-48E0-4646-8657-8C0AF174E48E}" name="Column7125"/>
    <tableColumn id="7129" xr3:uid="{F2145CCE-E10D-41A7-95AE-14A508F3B165}" name="Column7126"/>
    <tableColumn id="7130" xr3:uid="{9E2BBEC9-E797-4CD3-9B1F-27E929DAD7A2}" name="Column7127"/>
    <tableColumn id="7131" xr3:uid="{089235BB-18AF-4BF2-B76A-0BEC808B786E}" name="Column7128"/>
    <tableColumn id="7132" xr3:uid="{E979EB77-DE93-48A8-BAB1-FC024B258EE3}" name="Column7129"/>
    <tableColumn id="7133" xr3:uid="{86441B0F-1946-49B0-AF4C-25FA027E9F1E}" name="Column7130"/>
    <tableColumn id="7134" xr3:uid="{CB8F1397-9503-46F3-985F-D55B9E86ABD8}" name="Column7131"/>
    <tableColumn id="7135" xr3:uid="{3C94902E-71B4-4510-AF26-7AA2E32FF916}" name="Column7132"/>
    <tableColumn id="7136" xr3:uid="{982937A5-6B68-4FBB-9148-60CAD648AC1D}" name="Column7133"/>
    <tableColumn id="7137" xr3:uid="{5238F107-C8F6-4325-94E0-BC2C9010E7F3}" name="Column7134"/>
    <tableColumn id="7138" xr3:uid="{26592533-4811-4C0D-AAAA-F756EC9A455A}" name="Column7135"/>
    <tableColumn id="7139" xr3:uid="{441D6841-F528-41E8-85DB-5ABF7DA3B5D8}" name="Column7136"/>
    <tableColumn id="7140" xr3:uid="{D0E46EC4-43E3-421A-BE26-9B54642AB1DC}" name="Column7137"/>
    <tableColumn id="7141" xr3:uid="{458DD0D5-C39C-41CF-A1E5-D48345B53179}" name="Column7138"/>
    <tableColumn id="7142" xr3:uid="{767285DF-8B24-4AAA-99B9-060482645732}" name="Column7139"/>
    <tableColumn id="7143" xr3:uid="{45F3CC30-F9B5-4B5C-A9E2-4CA997AEB231}" name="Column7140"/>
    <tableColumn id="7144" xr3:uid="{D0F0EC96-4573-4919-B4C9-88407832806A}" name="Column7141"/>
    <tableColumn id="7145" xr3:uid="{FD9D7808-F919-4C87-B9F3-3E4E793E84B4}" name="Column7142"/>
    <tableColumn id="7146" xr3:uid="{B6EBC518-ED86-4A1B-AB70-2BA7246D566B}" name="Column7143"/>
    <tableColumn id="7147" xr3:uid="{43F78032-D232-4233-88BA-60FB9DA1C9C1}" name="Column7144"/>
    <tableColumn id="7148" xr3:uid="{6EE3A149-AAF4-4BDF-9878-26ED839FAD6A}" name="Column7145"/>
    <tableColumn id="7149" xr3:uid="{F750A596-CD74-40B0-BE4E-F1A53606F2F3}" name="Column7146"/>
    <tableColumn id="7150" xr3:uid="{30FFDCD9-B8DE-4470-89BC-457F2AF77438}" name="Column7147"/>
    <tableColumn id="7151" xr3:uid="{0D6CF5E6-1F30-4745-A528-6D5B56A409CA}" name="Column7148"/>
    <tableColumn id="7152" xr3:uid="{3B912433-7CE7-4B15-A553-6AC11CE12190}" name="Column7149"/>
    <tableColumn id="7153" xr3:uid="{760BFC61-B4FA-4D2F-8852-1B0C379CB7EA}" name="Column7150"/>
    <tableColumn id="7154" xr3:uid="{5DFB8B89-39E5-4283-AC94-D6C0668CD865}" name="Column7151"/>
    <tableColumn id="7155" xr3:uid="{CE2CFFB1-D03B-407F-8A79-A7A649DE955A}" name="Column7152"/>
    <tableColumn id="7156" xr3:uid="{84E1F69D-279A-4262-B861-AA420D433804}" name="Column7153"/>
    <tableColumn id="7157" xr3:uid="{D65FA1C6-791C-4597-9090-947551E74F1E}" name="Column7154"/>
    <tableColumn id="7158" xr3:uid="{C885FD2C-3C47-4DE0-8ADD-A026CFCC97E5}" name="Column7155"/>
    <tableColumn id="7159" xr3:uid="{3EE29635-B874-4B15-B411-4FEC14242EE0}" name="Column7156"/>
    <tableColumn id="7160" xr3:uid="{AA890289-602A-4CB1-A985-92670BD1D03E}" name="Column7157"/>
    <tableColumn id="7161" xr3:uid="{9BAC5268-4FA9-46EC-AAAD-942A3B56C026}" name="Column7158"/>
    <tableColumn id="7162" xr3:uid="{DA23D7C4-5C45-4439-A1BE-C115524989E0}" name="Column7159"/>
    <tableColumn id="7163" xr3:uid="{9AB8B8B3-2147-43E5-B81C-F65B6D9A1BFC}" name="Column7160"/>
    <tableColumn id="7164" xr3:uid="{321B41C8-070D-4452-90BD-DE000F1E5B92}" name="Column7161"/>
    <tableColumn id="7165" xr3:uid="{F485654F-F179-492E-8721-78D3BD70C224}" name="Column7162"/>
    <tableColumn id="7166" xr3:uid="{84DBE7A1-0C7E-48D6-A80C-297245661258}" name="Column7163"/>
    <tableColumn id="7167" xr3:uid="{31C24FB1-A3F5-420D-98B9-DACCC3034F35}" name="Column7164"/>
    <tableColumn id="7168" xr3:uid="{09DC1F04-0229-4EAA-BAC4-4EDBC5B0B501}" name="Column7165"/>
    <tableColumn id="7169" xr3:uid="{D3A6689A-A1A6-4034-9968-3B61758530D2}" name="Column7166"/>
    <tableColumn id="7170" xr3:uid="{0C928964-D45F-4C5B-BE63-0DA4343797A6}" name="Column7167"/>
    <tableColumn id="7171" xr3:uid="{4D406E34-CA92-4639-88D7-D0F5E75F37F7}" name="Column7168"/>
    <tableColumn id="7172" xr3:uid="{CC4F8BEB-EAA1-4E08-B9FA-95E44A5F36A2}" name="Column7169"/>
    <tableColumn id="7173" xr3:uid="{C269ECA4-F6A6-4580-9F4A-1A98B322D927}" name="Column7170"/>
    <tableColumn id="7174" xr3:uid="{E36E211D-0DAB-4C80-959B-3A19F7628520}" name="Column7171"/>
    <tableColumn id="7175" xr3:uid="{1C8539A8-CD04-4551-9A44-0A45FB5ABC50}" name="Column7172"/>
    <tableColumn id="7176" xr3:uid="{D08FD00E-D4D8-478A-A62C-7CF70457EB5B}" name="Column7173"/>
    <tableColumn id="7177" xr3:uid="{10A9AEFE-72BB-4EAB-889E-D6B29B8FF66E}" name="Column7174"/>
    <tableColumn id="7178" xr3:uid="{03FAA240-F24B-4909-A4AC-2574A0B58A60}" name="Column7175"/>
    <tableColumn id="7179" xr3:uid="{D958235E-B0E2-491E-A36C-794D3BE007B2}" name="Column7176"/>
    <tableColumn id="7180" xr3:uid="{1BB359BA-F2EA-46E2-87B0-0337AD0E73B0}" name="Column7177"/>
    <tableColumn id="7181" xr3:uid="{AF36131B-413D-48EF-B26F-33CF480C97C5}" name="Column7178"/>
    <tableColumn id="7182" xr3:uid="{5D09AC05-1BF5-4CC3-BFEB-D272B3E79A5C}" name="Column7179"/>
    <tableColumn id="7183" xr3:uid="{E407B84C-0F2A-43DA-8436-B5E881BDED0E}" name="Column7180"/>
    <tableColumn id="7184" xr3:uid="{C3B0BFE6-B332-4338-BFC3-FF7190C5D677}" name="Column7181"/>
    <tableColumn id="7185" xr3:uid="{2D88000B-982E-4230-B7FE-E72A74A4C8C9}" name="Column7182"/>
    <tableColumn id="7186" xr3:uid="{3D12CBD1-630B-4BF7-BE11-00CE9A1C8E22}" name="Column7183"/>
    <tableColumn id="7187" xr3:uid="{B272C47F-4CA7-4EC9-B3B9-6E7C28B68C45}" name="Column7184"/>
    <tableColumn id="7188" xr3:uid="{B1D454DD-7F6F-4F29-A3F3-2A3E8FFD9B6C}" name="Column7185"/>
    <tableColumn id="7189" xr3:uid="{C378BBB6-7E3D-44E5-A555-47060938D5E5}" name="Column7186"/>
    <tableColumn id="7190" xr3:uid="{2AF286EF-A3C1-494F-8BF5-0C0A13C2EBD3}" name="Column7187"/>
    <tableColumn id="7191" xr3:uid="{446CA541-6460-4066-9B6B-9AB42C56F2BB}" name="Column7188"/>
    <tableColumn id="7192" xr3:uid="{60EE5128-CFC8-4052-8990-12B7CF733575}" name="Column7189"/>
    <tableColumn id="7193" xr3:uid="{94C4CF4D-114F-4E84-BA27-65A3775872E7}" name="Column7190"/>
    <tableColumn id="7194" xr3:uid="{B4FA75E1-3960-43A0-A609-0434E3B456AD}" name="Column7191"/>
    <tableColumn id="7195" xr3:uid="{ED069162-2126-49AC-B285-82852F06E535}" name="Column7192"/>
    <tableColumn id="7196" xr3:uid="{C7BCE60C-7FD3-4523-B9F1-873C61FA74B8}" name="Column7193"/>
    <tableColumn id="7197" xr3:uid="{C6A7E3DE-5D24-4556-A895-8A666D766C2C}" name="Column7194"/>
    <tableColumn id="7198" xr3:uid="{40262FFD-01DE-4801-98FB-F604FA8340C7}" name="Column7195"/>
    <tableColumn id="7199" xr3:uid="{EAF8C4C8-BBA2-4523-9378-0D534606D140}" name="Column7196"/>
    <tableColumn id="7200" xr3:uid="{3EF0DF53-8C01-494F-9B4B-24C85C7DFCD4}" name="Column7197"/>
    <tableColumn id="7201" xr3:uid="{76460466-56A5-4116-BA37-93DC00F42629}" name="Column7198"/>
    <tableColumn id="7202" xr3:uid="{47B47A6C-3E9D-49EF-919A-C336FAD027BA}" name="Column7199"/>
    <tableColumn id="7203" xr3:uid="{3901229E-53D3-4EA4-848A-F668892FEA0A}" name="Column7200"/>
    <tableColumn id="7204" xr3:uid="{49EBE88B-A269-44F5-A7BD-420D0FFB6C54}" name="Column7201"/>
    <tableColumn id="7205" xr3:uid="{0D7BF24D-4928-44C6-AC1D-2934F3D8DF34}" name="Column7202"/>
    <tableColumn id="7206" xr3:uid="{B08F467D-7CC6-4192-99F3-C9AEEB627AC2}" name="Column7203"/>
    <tableColumn id="7207" xr3:uid="{B4F3E97E-81ED-42C3-9DB3-AB90FFA71F66}" name="Column7204"/>
    <tableColumn id="7208" xr3:uid="{C9CE6754-950F-4F36-9C55-5DD9ACF640E8}" name="Column7205"/>
    <tableColumn id="7209" xr3:uid="{B70CE830-F436-45E6-A395-52AB48F86436}" name="Column7206"/>
    <tableColumn id="7210" xr3:uid="{C165E88A-84FA-4C6A-869E-F5CE533AB66C}" name="Column7207"/>
    <tableColumn id="7211" xr3:uid="{5E3F4600-1E9D-4115-B2D1-FDA4B33A082D}" name="Column7208"/>
    <tableColumn id="7212" xr3:uid="{8C087293-76EA-46CE-96FB-627728938A1E}" name="Column7209"/>
    <tableColumn id="7213" xr3:uid="{4A168A15-7B61-4CF7-A4FB-44681CD4072D}" name="Column7210"/>
    <tableColumn id="7214" xr3:uid="{2DE23762-E385-444B-8CEC-074ACEC30745}" name="Column7211"/>
    <tableColumn id="7215" xr3:uid="{3AAD5638-1E08-4DD8-8D79-FD187FA81369}" name="Column7212"/>
    <tableColumn id="7216" xr3:uid="{E9A8E2BC-8A82-440F-AE6C-A11A4912BFA2}" name="Column7213"/>
    <tableColumn id="7217" xr3:uid="{387291E2-AFC8-41C7-89E1-83D5F7D154FD}" name="Column7214"/>
    <tableColumn id="7218" xr3:uid="{4BD83EA9-780F-419E-92F8-C787738EB0ED}" name="Column7215"/>
    <tableColumn id="7219" xr3:uid="{95922673-3CBF-4945-9EFE-0AB140899C97}" name="Column7216"/>
    <tableColumn id="7220" xr3:uid="{ABA3B4C2-7ACC-4D54-8183-6E4C0F851D7D}" name="Column7217"/>
    <tableColumn id="7221" xr3:uid="{67CD9A00-90FE-4643-B7CE-047B0CF01B5E}" name="Column7218"/>
    <tableColumn id="7222" xr3:uid="{783E2FFC-6603-4869-AC22-86EDC0F5385E}" name="Column7219"/>
    <tableColumn id="7223" xr3:uid="{F0CFCFE0-372A-43C9-A720-595617BB1299}" name="Column7220"/>
    <tableColumn id="7224" xr3:uid="{918EB2A2-403D-40E0-99F3-098DCB8F32AD}" name="Column7221"/>
    <tableColumn id="7225" xr3:uid="{7D412849-25A4-4FEE-9ECC-F476816767A1}" name="Column7222"/>
    <tableColumn id="7226" xr3:uid="{0684EE4E-CA26-4366-A803-34E4BDC9C85B}" name="Column7223"/>
    <tableColumn id="7227" xr3:uid="{C042BA4A-6F4E-4DB8-A0C6-C2CF26B3B331}" name="Column7224"/>
    <tableColumn id="7228" xr3:uid="{2BEBDBD9-DB42-4752-AC31-E4195F81F0A2}" name="Column7225"/>
    <tableColumn id="7229" xr3:uid="{9B136091-6FB4-405C-BF2E-193EAB093523}" name="Column7226"/>
    <tableColumn id="7230" xr3:uid="{7852F810-71AB-4085-9C11-08FD0CB26A82}" name="Column7227"/>
    <tableColumn id="7231" xr3:uid="{E238E941-A7E4-4891-85D1-537439D7D7A5}" name="Column7228"/>
    <tableColumn id="7232" xr3:uid="{9B06B87D-5420-4ADF-8FF5-3D75281BE2F5}" name="Column7229"/>
    <tableColumn id="7233" xr3:uid="{996035DC-5542-4FB5-B72A-420F090D83D5}" name="Column7230"/>
    <tableColumn id="7234" xr3:uid="{C262D2EC-AE09-4F7D-B021-9ED33B1FC915}" name="Column7231"/>
    <tableColumn id="7235" xr3:uid="{ED9702BF-27CF-4C58-B5D3-911027E16C9F}" name="Column7232"/>
    <tableColumn id="7236" xr3:uid="{A1284270-3BC6-497F-AB66-B0F6BCCB4CD5}" name="Column7233"/>
    <tableColumn id="7237" xr3:uid="{F5D099B8-879F-4CC4-BF95-551FADB158E0}" name="Column7234"/>
    <tableColumn id="7238" xr3:uid="{062A446D-3F84-438E-B210-3FFE0B12FDA4}" name="Column7235"/>
    <tableColumn id="7239" xr3:uid="{8AF857DE-1601-4B41-970C-54AF07AB5F48}" name="Column7236"/>
    <tableColumn id="7240" xr3:uid="{04A6629D-3B8D-44E9-85EE-41E2D18AC575}" name="Column7237"/>
    <tableColumn id="7241" xr3:uid="{D2DB7C97-622A-4C57-8E01-D9853D81E431}" name="Column7238"/>
    <tableColumn id="7242" xr3:uid="{08267D09-1E6E-4374-A6D6-1F10F0824810}" name="Column7239"/>
    <tableColumn id="7243" xr3:uid="{DA8EA9D9-9F30-4FE5-A9EF-A62F628771C1}" name="Column7240"/>
    <tableColumn id="7244" xr3:uid="{CDA7DC37-FF60-4240-9BEB-6C02A429B83C}" name="Column7241"/>
    <tableColumn id="7245" xr3:uid="{C7CC5473-5836-4D6A-A9F4-4E89A59B00B1}" name="Column7242"/>
    <tableColumn id="7246" xr3:uid="{50C2A3BE-0EF9-45A7-AA00-934E16DC100F}" name="Column7243"/>
    <tableColumn id="7247" xr3:uid="{710DB12E-9C01-4318-8D21-B8638EB3E805}" name="Column7244"/>
    <tableColumn id="7248" xr3:uid="{76C62220-0780-4B84-8236-2CA5E237D043}" name="Column7245"/>
    <tableColumn id="7249" xr3:uid="{646D5DD9-1AAE-48E1-89F3-09563174B46E}" name="Column7246"/>
    <tableColumn id="7250" xr3:uid="{2DF9E54B-D6AF-42CF-B150-0B096F63D44F}" name="Column7247"/>
    <tableColumn id="7251" xr3:uid="{2BB3D562-639A-4052-A6C2-59BB9F35CD9B}" name="Column7248"/>
    <tableColumn id="7252" xr3:uid="{88F08CA5-0712-4151-8F9A-282FBAEAB2F6}" name="Column7249"/>
    <tableColumn id="7253" xr3:uid="{91280B54-34A0-4B4C-8180-0CDF393D4D16}" name="Column7250"/>
    <tableColumn id="7254" xr3:uid="{B8921E59-4701-4E9D-9118-A75BA0B6ECC4}" name="Column7251"/>
    <tableColumn id="7255" xr3:uid="{4EE7D9E9-A632-46CD-8D8E-D81CE8089BE9}" name="Column7252"/>
    <tableColumn id="7256" xr3:uid="{08E249A2-2F9A-4DD6-8C99-344362CCFB40}" name="Column7253"/>
    <tableColumn id="7257" xr3:uid="{D98FDBE7-89E8-45EA-9D2F-50C9DDA7D8B9}" name="Column7254"/>
    <tableColumn id="7258" xr3:uid="{9EDA31E8-68B5-4D2B-A62C-CBA171903DA9}" name="Column7255"/>
    <tableColumn id="7259" xr3:uid="{7F905724-7662-4985-9112-F6B519237457}" name="Column7256"/>
    <tableColumn id="7260" xr3:uid="{F8A6FEB5-CF86-4FB8-A426-75547434C8AA}" name="Column7257"/>
    <tableColumn id="7261" xr3:uid="{668FC775-72CE-4DB9-9CE8-739A19B0FF93}" name="Column7258"/>
    <tableColumn id="7262" xr3:uid="{B2C4E32C-F3D9-48A7-AC84-0D25D6D4DD71}" name="Column7259"/>
    <tableColumn id="7263" xr3:uid="{910A5D43-979C-4186-9B39-0DD479E20912}" name="Column7260"/>
    <tableColumn id="7264" xr3:uid="{E1C64BA0-2BCB-42B4-B86D-81BA6E11FBC9}" name="Column7261"/>
    <tableColumn id="7265" xr3:uid="{3EA141BC-1FDD-4A2B-8873-FC32381615DC}" name="Column7262"/>
    <tableColumn id="7266" xr3:uid="{8E19F432-3DDC-4AA9-9458-974D9E7A5E30}" name="Column7263"/>
    <tableColumn id="7267" xr3:uid="{5049911D-9A7B-4450-879C-B6BBB7E2CFAC}" name="Column7264"/>
    <tableColumn id="7268" xr3:uid="{A9A96F2A-3099-4A0D-A369-B388209E55BB}" name="Column7265"/>
    <tableColumn id="7269" xr3:uid="{873EC599-7D91-4B12-B4F8-921C5A11DE15}" name="Column7266"/>
    <tableColumn id="7270" xr3:uid="{220C23A4-D71B-40B3-92CF-C2A9C11D57F7}" name="Column7267"/>
    <tableColumn id="7271" xr3:uid="{E4F4B375-B523-4114-9EDE-E82126BC80C8}" name="Column7268"/>
    <tableColumn id="7272" xr3:uid="{4AF1EF2D-8BFE-49B9-82F0-71F5409B0617}" name="Column7269"/>
    <tableColumn id="7273" xr3:uid="{72B6F41B-57A1-4A59-A7F1-E07C1B1298F8}" name="Column7270"/>
    <tableColumn id="7274" xr3:uid="{314D6395-AF19-487B-BD29-30E5F7A4A522}" name="Column7271"/>
    <tableColumn id="7275" xr3:uid="{F7D003A2-1089-4BBF-A663-F35C679938B4}" name="Column7272"/>
    <tableColumn id="7276" xr3:uid="{5C1CFDE5-F631-4F98-8132-3581FCCC483F}" name="Column7273"/>
    <tableColumn id="7277" xr3:uid="{9A150D9E-8CDF-4430-9730-5FAC326A1905}" name="Column7274"/>
    <tableColumn id="7278" xr3:uid="{2D46F69A-6A44-43E6-B44B-0768E1B5D29C}" name="Column7275"/>
    <tableColumn id="7279" xr3:uid="{F7FD7D7B-0FD0-4E54-80F8-1F06AD693BF2}" name="Column7276"/>
    <tableColumn id="7280" xr3:uid="{364A08D0-DD11-4511-953C-44425DAE341D}" name="Column7277"/>
    <tableColumn id="7281" xr3:uid="{1795EE17-1B35-4B2E-B660-B1C365BA7D1D}" name="Column7278"/>
    <tableColumn id="7282" xr3:uid="{CABC3AD2-58E5-4A6C-884A-097704EFE630}" name="Column7279"/>
    <tableColumn id="7283" xr3:uid="{1F674EAB-1602-4435-8B43-DE3053533B2E}" name="Column7280"/>
    <tableColumn id="7284" xr3:uid="{1D1D648C-3815-45DC-B289-221195CC4E3D}" name="Column7281"/>
    <tableColumn id="7285" xr3:uid="{F6B8B775-E77D-4C2F-910F-CD5969C643DF}" name="Column7282"/>
    <tableColumn id="7286" xr3:uid="{5761DA31-4E57-4A5F-BD43-589D9D2C43F4}" name="Column7283"/>
    <tableColumn id="7287" xr3:uid="{5D1E2AA8-4772-4F57-A68E-5FF7909CDD6E}" name="Column7284"/>
    <tableColumn id="7288" xr3:uid="{29876587-10DE-4B85-8D3B-A3115A8F40A2}" name="Column7285"/>
    <tableColumn id="7289" xr3:uid="{20BA6A0F-9638-4D61-AEE4-B6ACB8078759}" name="Column7286"/>
    <tableColumn id="7290" xr3:uid="{A94306BD-F3DA-4978-89B8-1BEA2986C0EC}" name="Column7287"/>
    <tableColumn id="7291" xr3:uid="{F0951709-AD39-465E-A508-DB1D56C1AB67}" name="Column7288"/>
    <tableColumn id="7292" xr3:uid="{C5597777-9872-449A-A9DB-D7D0B8FC0C73}" name="Column7289"/>
    <tableColumn id="7293" xr3:uid="{18E3FFFD-AA7D-49F8-927E-1A97718F5BE6}" name="Column7290"/>
    <tableColumn id="7294" xr3:uid="{6D606425-ABD4-479E-869F-BD0178E3CE21}" name="Column7291"/>
    <tableColumn id="7295" xr3:uid="{71BDDE58-F218-4655-A4AE-168567C39970}" name="Column7292"/>
    <tableColumn id="7296" xr3:uid="{30250D96-F05A-4BE6-BB22-C08744580438}" name="Column7293"/>
    <tableColumn id="7297" xr3:uid="{E1A0D808-B9C3-43CB-AC4F-02576DF0A446}" name="Column7294"/>
    <tableColumn id="7298" xr3:uid="{78F9ADDC-7E61-478F-8B1F-0CEF071EFF34}" name="Column7295"/>
    <tableColumn id="7299" xr3:uid="{AA66C72D-D90D-4A74-BA80-0B1627E0B056}" name="Column7296"/>
    <tableColumn id="7300" xr3:uid="{27A6215D-A25D-46F6-A65C-E6EB965E5089}" name="Column7297"/>
    <tableColumn id="7301" xr3:uid="{621ECE7A-853E-4716-8367-4A3488A4EDBF}" name="Column7298"/>
    <tableColumn id="7302" xr3:uid="{17A38A6A-472E-4973-BB59-89450EBB3EEE}" name="Column7299"/>
    <tableColumn id="7303" xr3:uid="{0465918F-A7CC-4785-A4DF-05D3F535DCB4}" name="Column7300"/>
    <tableColumn id="7304" xr3:uid="{D4CCE481-5426-415F-BA44-75479205B670}" name="Column7301"/>
    <tableColumn id="7305" xr3:uid="{9747AE39-639E-4665-96A4-D3E891DCD547}" name="Column7302"/>
    <tableColumn id="7306" xr3:uid="{1B96CB91-BD10-4D52-8551-C7D4507540E8}" name="Column7303"/>
    <tableColumn id="7307" xr3:uid="{695AE71F-5E18-454D-AE6B-350C5861E941}" name="Column7304"/>
    <tableColumn id="7308" xr3:uid="{1B5CFE0A-74E5-4AD8-91CC-B9225CFEBF6D}" name="Column7305"/>
    <tableColumn id="7309" xr3:uid="{C2846D72-5FC3-48F9-8CA5-7E1BFFF216BD}" name="Column7306"/>
    <tableColumn id="7310" xr3:uid="{D69AA432-B33C-4F9E-B77D-96D32295C091}" name="Column7307"/>
    <tableColumn id="7311" xr3:uid="{D2944684-601A-4D83-9D69-75E5A1E4D2EB}" name="Column7308"/>
    <tableColumn id="7312" xr3:uid="{49278EF7-3381-4217-B9B7-FCA8920CF848}" name="Column7309"/>
    <tableColumn id="7313" xr3:uid="{D1EF5B83-CBDC-40B0-911A-51E506E1D893}" name="Column7310"/>
    <tableColumn id="7314" xr3:uid="{2D619E5D-C244-4AC0-85C7-5DA02A915A3F}" name="Column7311"/>
    <tableColumn id="7315" xr3:uid="{DB2C2015-60AC-47D2-9BAD-2667C14305C3}" name="Column7312"/>
    <tableColumn id="7316" xr3:uid="{0BB7CE39-D798-4F0C-87F2-D7E2EC66CD0D}" name="Column7313"/>
    <tableColumn id="7317" xr3:uid="{453E38A3-4813-498E-8D36-04CBE0545F60}" name="Column7314"/>
    <tableColumn id="7318" xr3:uid="{B4E6D14E-D754-4747-933C-FEDE03FEB83D}" name="Column7315"/>
    <tableColumn id="7319" xr3:uid="{190DAD43-8208-4EF9-800B-32FC0EC8BC6A}" name="Column7316"/>
    <tableColumn id="7320" xr3:uid="{5C994807-CC6D-457E-8297-FF07C29E3D68}" name="Column7317"/>
    <tableColumn id="7321" xr3:uid="{A0FBEBBB-DD9F-4047-B737-0B972F65F99B}" name="Column7318"/>
    <tableColumn id="7322" xr3:uid="{7B00EF28-2BB8-4315-87F5-8AC92AB59E9A}" name="Column7319"/>
    <tableColumn id="7323" xr3:uid="{192BCDCA-A2CD-4797-BB53-D573B60C9267}" name="Column7320"/>
    <tableColumn id="7324" xr3:uid="{6193F995-75BE-4FD4-A32A-7040FFDDB6E1}" name="Column7321"/>
    <tableColumn id="7325" xr3:uid="{0B8B9707-ADC7-48B9-954F-B9AABA3FFA29}" name="Column7322"/>
    <tableColumn id="7326" xr3:uid="{E50F9535-04DE-4E7F-AB3C-B85ECF8E3C60}" name="Column7323"/>
    <tableColumn id="7327" xr3:uid="{DFED36AB-255B-4FE6-B10B-9F1762D6EA00}" name="Column7324"/>
    <tableColumn id="7328" xr3:uid="{6F85AFC8-900B-4EF2-8C63-6A8B15B8D122}" name="Column7325"/>
    <tableColumn id="7329" xr3:uid="{CCE50075-FBE1-4EC0-9B5C-F323AC39D35F}" name="Column7326"/>
    <tableColumn id="7330" xr3:uid="{66A49808-37CB-46A6-87B0-2184F273324E}" name="Column7327"/>
    <tableColumn id="7331" xr3:uid="{9AC81673-257E-4D29-9D7A-6BCB54C282AC}" name="Column7328"/>
    <tableColumn id="7332" xr3:uid="{2188E15F-DED1-4EE1-AAA2-79BA74BBADC7}" name="Column7329"/>
    <tableColumn id="7333" xr3:uid="{1C28CABB-63D2-4451-AE6E-C781FF89CD4E}" name="Column7330"/>
    <tableColumn id="7334" xr3:uid="{269A14B2-DCD8-49F7-BD6B-56CC3EDE0E5C}" name="Column7331"/>
    <tableColumn id="7335" xr3:uid="{54570895-B70F-472A-A31B-04CACFD8C821}" name="Column7332"/>
    <tableColumn id="7336" xr3:uid="{65F84F4E-431D-4523-8E50-6F0827652EC3}" name="Column7333"/>
    <tableColumn id="7337" xr3:uid="{4C53F4B2-8923-4B5B-808C-612D6F6D5339}" name="Column7334"/>
    <tableColumn id="7338" xr3:uid="{F76A59B4-632C-4842-A470-E82616714924}" name="Column7335"/>
    <tableColumn id="7339" xr3:uid="{D8FDFDDC-E1C1-4554-9629-9771CBC2BA7B}" name="Column7336"/>
    <tableColumn id="7340" xr3:uid="{4A3B723B-A284-4DFC-88C5-78F2324D0A42}" name="Column7337"/>
    <tableColumn id="7341" xr3:uid="{2EC24D66-770F-4341-884A-B18C724DE1F7}" name="Column7338"/>
    <tableColumn id="7342" xr3:uid="{EFD98EFB-C5DA-44FA-94D3-DB9E20CA3046}" name="Column7339"/>
    <tableColumn id="7343" xr3:uid="{6ABC0B40-16E8-4544-A4BD-45AF62A319AF}" name="Column7340"/>
    <tableColumn id="7344" xr3:uid="{802BADD3-7017-488A-B07C-6AB3DC688AAE}" name="Column7341"/>
    <tableColumn id="7345" xr3:uid="{ABF475EB-58EE-4907-A16D-6B8A1910417E}" name="Column7342"/>
    <tableColumn id="7346" xr3:uid="{DB0C72B2-AF33-491F-89DF-B7A4A0858A9F}" name="Column7343"/>
    <tableColumn id="7347" xr3:uid="{AB0801B3-D56C-4A81-AB48-ADD5F3F34EDA}" name="Column7344"/>
    <tableColumn id="7348" xr3:uid="{20898ABA-373F-4DE1-8AC7-CCFA829F4317}" name="Column7345"/>
    <tableColumn id="7349" xr3:uid="{855391EA-606A-4686-A73E-DC1D44E52844}" name="Column7346"/>
    <tableColumn id="7350" xr3:uid="{046FC79B-C7FA-47B0-8545-71A89B869B97}" name="Column7347"/>
    <tableColumn id="7351" xr3:uid="{F17B6F6B-C7FE-4D93-A5FD-60400B21115A}" name="Column7348"/>
    <tableColumn id="7352" xr3:uid="{902FF0C0-2525-40EC-8946-62F6376CADEC}" name="Column7349"/>
    <tableColumn id="7353" xr3:uid="{F806D738-CE81-432A-87B7-405BD8DE6916}" name="Column7350"/>
    <tableColumn id="7354" xr3:uid="{436AA605-A4F5-4CCA-9666-AFBAA35E63BB}" name="Column7351"/>
    <tableColumn id="7355" xr3:uid="{A5D94C62-B602-4C11-B936-2E136F82C4EA}" name="Column7352"/>
    <tableColumn id="7356" xr3:uid="{B2961314-A841-4014-9530-7D3B93ABFE47}" name="Column7353"/>
    <tableColumn id="7357" xr3:uid="{EE3F4AC2-6333-49F9-9CD6-758A822ADD85}" name="Column7354"/>
    <tableColumn id="7358" xr3:uid="{0A947586-956F-404C-BD75-2FF48EB926CD}" name="Column7355"/>
    <tableColumn id="7359" xr3:uid="{93B3BF14-4D51-487E-8CA5-3AC63714E434}" name="Column7356"/>
    <tableColumn id="7360" xr3:uid="{4CFABC92-C143-4977-B26E-4905C1D20F64}" name="Column7357"/>
    <tableColumn id="7361" xr3:uid="{37AE945D-FDD2-44F2-A4E7-C07C37B0F011}" name="Column7358"/>
    <tableColumn id="7362" xr3:uid="{C99FAF88-D2AA-4B45-86C2-E022F88D8D91}" name="Column7359"/>
    <tableColumn id="7363" xr3:uid="{5FDFB759-7FFB-44EC-B6C3-D7C9CD9D0857}" name="Column7360"/>
    <tableColumn id="7364" xr3:uid="{0F8F0A87-9620-4F27-A2F6-CE78B950648B}" name="Column7361"/>
    <tableColumn id="7365" xr3:uid="{CBF55016-E2C3-4A27-8F3D-74672308D053}" name="Column7362"/>
    <tableColumn id="7366" xr3:uid="{7A687941-DEFA-48C4-8B97-A5C9E3682605}" name="Column7363"/>
    <tableColumn id="7367" xr3:uid="{66D7A204-413D-4576-BBAB-387278263546}" name="Column7364"/>
    <tableColumn id="7368" xr3:uid="{BA108489-FD4B-488E-991B-F8D43FB26AB9}" name="Column7365"/>
    <tableColumn id="7369" xr3:uid="{01B45723-E969-4FA6-BA46-F7DFCEA5BC02}" name="Column7366"/>
    <tableColumn id="7370" xr3:uid="{8F2BB7F5-5A96-40DE-A0CF-AB087E5405FA}" name="Column7367"/>
    <tableColumn id="7371" xr3:uid="{1D52A6D7-AF0E-46AA-B9C5-3A313ABE5099}" name="Column7368"/>
    <tableColumn id="7372" xr3:uid="{BE3ABA67-F02A-4B0A-AF41-80060AB77FD8}" name="Column7369"/>
    <tableColumn id="7373" xr3:uid="{FF415072-978D-40B3-855D-A4DAD38EF88D}" name="Column7370"/>
    <tableColumn id="7374" xr3:uid="{B4F2BE83-573C-4C41-8AEB-0E61EC97C85B}" name="Column7371"/>
    <tableColumn id="7375" xr3:uid="{213A23C3-0EF0-4EF6-ADA5-FEA922A110A2}" name="Column7372"/>
    <tableColumn id="7376" xr3:uid="{9FFF5B74-2D24-4BA8-B86E-258DBB5749FF}" name="Column7373"/>
    <tableColumn id="7377" xr3:uid="{34259737-FBE7-4C0E-9840-FE01508D1763}" name="Column7374"/>
    <tableColumn id="7378" xr3:uid="{7DFB0DC4-1496-4F92-8F3D-999ACCBF5FC0}" name="Column7375"/>
    <tableColumn id="7379" xr3:uid="{E8514350-91E1-41B5-957F-7CB6CADB7317}" name="Column7376"/>
    <tableColumn id="7380" xr3:uid="{EFCF0E75-A5DA-4A6A-B064-323376F65B96}" name="Column7377"/>
    <tableColumn id="7381" xr3:uid="{523C1E42-228D-4590-A3C1-AFDC91982470}" name="Column7378"/>
    <tableColumn id="7382" xr3:uid="{016D8C01-667A-4EE8-8AB8-C313E9CDA44B}" name="Column7379"/>
    <tableColumn id="7383" xr3:uid="{B3DE03DE-259E-4256-98C7-39DE68226A92}" name="Column7380"/>
    <tableColumn id="7384" xr3:uid="{A4D6A172-CF97-4851-B05F-EBB01D152FAC}" name="Column7381"/>
    <tableColumn id="7385" xr3:uid="{DBE47756-4FB0-4843-AA79-B4440F353D66}" name="Column7382"/>
    <tableColumn id="7386" xr3:uid="{7BDA6AF5-763D-4A6A-9F50-87CA4D090387}" name="Column7383"/>
    <tableColumn id="7387" xr3:uid="{1745E562-F26F-4A30-9509-3B7780F88CDB}" name="Column7384"/>
    <tableColumn id="7388" xr3:uid="{A0B6FDA5-9887-4B20-8F61-B3595DF1C67D}" name="Column7385"/>
    <tableColumn id="7389" xr3:uid="{2656C546-68F9-4E01-8FD5-23B77922D26F}" name="Column7386"/>
    <tableColumn id="7390" xr3:uid="{144BAFFF-6DBC-4B52-A658-879ADEA4D747}" name="Column7387"/>
    <tableColumn id="7391" xr3:uid="{828772B5-DCA2-4D77-8E7A-37D0048255B9}" name="Column7388"/>
    <tableColumn id="7392" xr3:uid="{643C53F8-DF3F-4A0B-A3A5-3D35862C1E4E}" name="Column7389"/>
    <tableColumn id="7393" xr3:uid="{5EDD7276-EF1C-4BF2-B782-35B28C3290C4}" name="Column7390"/>
    <tableColumn id="7394" xr3:uid="{55071641-A90F-416C-BA11-2FFA29850AB6}" name="Column7391"/>
    <tableColumn id="7395" xr3:uid="{B5F8ABCC-3FF3-489C-BA43-C5E000F99A68}" name="Column7392"/>
    <tableColumn id="7396" xr3:uid="{3509BC2E-A734-470D-B733-876AC0C6B660}" name="Column7393"/>
    <tableColumn id="7397" xr3:uid="{43938387-9C1B-4E82-92EA-3F6A271F4E3F}" name="Column7394"/>
    <tableColumn id="7398" xr3:uid="{FF8C4D54-C358-4814-93DF-4C4640AB848D}" name="Column7395"/>
    <tableColumn id="7399" xr3:uid="{55224217-38D2-43BC-8CB3-D7A02455D0CB}" name="Column7396"/>
    <tableColumn id="7400" xr3:uid="{CCAE2D24-C5DC-44BD-912E-86E3F7885CFB}" name="Column7397"/>
    <tableColumn id="7401" xr3:uid="{4444780B-8B67-4FAA-A10A-CDCE94114CCE}" name="Column7398"/>
    <tableColumn id="7402" xr3:uid="{31E6C70C-F319-48A3-A703-F342460AAD8F}" name="Column7399"/>
    <tableColumn id="7403" xr3:uid="{A37824F9-7F57-4F62-BC9A-8FAC6A6DB5A8}" name="Column7400"/>
    <tableColumn id="7404" xr3:uid="{1FE926C8-E756-46AF-A09A-5AC896223759}" name="Column7401"/>
    <tableColumn id="7405" xr3:uid="{FB188993-CEDD-41CE-AD40-5F17E9706EA3}" name="Column7402"/>
    <tableColumn id="7406" xr3:uid="{0668CC4A-9F8C-4DF5-B2CE-FFBE577D3516}" name="Column7403"/>
    <tableColumn id="7407" xr3:uid="{A3D6BF3D-7552-4C48-95D5-34C74E3AFDD2}" name="Column7404"/>
    <tableColumn id="7408" xr3:uid="{BF588D34-8D01-4641-AC63-43708E33739E}" name="Column7405"/>
    <tableColumn id="7409" xr3:uid="{080EEC12-FB83-45F6-B368-84F6CAF56B99}" name="Column7406"/>
    <tableColumn id="7410" xr3:uid="{8CB85CE1-133D-41AE-8AA5-E037ECA85E67}" name="Column7407"/>
    <tableColumn id="7411" xr3:uid="{610F5737-2D9A-474E-98B2-43CD230944EE}" name="Column7408"/>
    <tableColumn id="7412" xr3:uid="{69DF2008-1B6A-42BA-9D06-1181BD6B3418}" name="Column7409"/>
    <tableColumn id="7413" xr3:uid="{3E181CE9-9017-4669-A119-A936D002CBAE}" name="Column7410"/>
    <tableColumn id="7414" xr3:uid="{60E21063-D730-4661-BA6D-9C60E26A9B56}" name="Column7411"/>
    <tableColumn id="7415" xr3:uid="{A9EF5230-1A29-4CD4-AC59-B4B8B6AF4AD5}" name="Column7412"/>
    <tableColumn id="7416" xr3:uid="{7272276A-431E-4AE7-988E-6F9AE8D4E446}" name="Column7413"/>
    <tableColumn id="7417" xr3:uid="{725AE27C-CE15-47D1-8D41-C80649DB921E}" name="Column7414"/>
    <tableColumn id="7418" xr3:uid="{FC892F8F-BF54-4427-82CF-A5507B4538CD}" name="Column7415"/>
    <tableColumn id="7419" xr3:uid="{62CA47C3-31BC-480A-B0C4-745F243649E7}" name="Column7416"/>
    <tableColumn id="7420" xr3:uid="{04499CA1-4C0E-4105-AE95-67D6CCA3062B}" name="Column7417"/>
    <tableColumn id="7421" xr3:uid="{649C65A9-B1DA-4AED-93B9-1BBFFE8BAE21}" name="Column7418"/>
    <tableColumn id="7422" xr3:uid="{5CE28DE1-FF61-4729-A228-EC5E7A5CAE6C}" name="Column7419"/>
    <tableColumn id="7423" xr3:uid="{9603F449-59F6-492C-BEAA-CF9403411D04}" name="Column7420"/>
    <tableColumn id="7424" xr3:uid="{0ECC786F-DA57-4195-940B-59CBB4985995}" name="Column7421"/>
    <tableColumn id="7425" xr3:uid="{F490014C-97F0-4B67-B80A-961A586E053E}" name="Column7422"/>
    <tableColumn id="7426" xr3:uid="{B6E3B5AC-F98D-4204-93E3-4B8EF49B2081}" name="Column7423"/>
    <tableColumn id="7427" xr3:uid="{F6744015-7548-4685-8CB0-83AC60D86C3C}" name="Column7424"/>
    <tableColumn id="7428" xr3:uid="{7D83D24E-09F4-469C-A7D8-6F252D6EB135}" name="Column7425"/>
    <tableColumn id="7429" xr3:uid="{F1CF90AD-6D98-4E65-A286-6CE5537551F9}" name="Column7426"/>
    <tableColumn id="7430" xr3:uid="{238165FD-BC12-4F2D-8D1C-4BB4A450954B}" name="Column7427"/>
    <tableColumn id="7431" xr3:uid="{71EC287A-9CD8-4CC6-8DB6-A363115CB7D3}" name="Column7428"/>
    <tableColumn id="7432" xr3:uid="{6041187E-90B4-42BB-9712-7D71AA3B72E2}" name="Column7429"/>
    <tableColumn id="7433" xr3:uid="{54E604FB-2370-4C34-9079-5B69DE2AA7D4}" name="Column7430"/>
    <tableColumn id="7434" xr3:uid="{511AB56D-AA39-4F66-AE19-D6844C267544}" name="Column7431"/>
    <tableColumn id="7435" xr3:uid="{57F1A5BA-F1F6-4E98-B032-EA1E353FAC38}" name="Column7432"/>
    <tableColumn id="7436" xr3:uid="{53580C3C-6769-463A-AE14-B993128DB063}" name="Column7433"/>
    <tableColumn id="7437" xr3:uid="{AB607A6C-18D4-4744-89B1-0C9233BEC2B1}" name="Column7434"/>
    <tableColumn id="7438" xr3:uid="{86D116A4-1604-4AB7-A0EB-714E172F8F31}" name="Column7435"/>
    <tableColumn id="7439" xr3:uid="{A0048349-BA62-4334-BA09-CC7CDECA4FB1}" name="Column7436"/>
    <tableColumn id="7440" xr3:uid="{E168F257-9241-4318-BFC3-DA1F90D546EC}" name="Column7437"/>
    <tableColumn id="7441" xr3:uid="{E66DD504-1334-426A-97E7-067EEB4BF335}" name="Column7438"/>
    <tableColumn id="7442" xr3:uid="{99730BE8-7749-47DA-B3A8-85E5FECD4DDD}" name="Column7439"/>
    <tableColumn id="7443" xr3:uid="{6794BBE6-3BCD-4C59-A251-6BC123782D41}" name="Column7440"/>
    <tableColumn id="7444" xr3:uid="{E964FF6F-09C6-4EF9-B86D-1FAFCAEDDD30}" name="Column7441"/>
    <tableColumn id="7445" xr3:uid="{5245C50B-815D-4BCC-9CBD-F7A78007745F}" name="Column7442"/>
    <tableColumn id="7446" xr3:uid="{2C2312C3-D98E-4866-BFCF-7542C1C7AC83}" name="Column7443"/>
    <tableColumn id="7447" xr3:uid="{4BBC882B-8C57-4489-8E53-4B95698F2403}" name="Column7444"/>
    <tableColumn id="7448" xr3:uid="{CBD28076-468D-4E53-A94D-C482519D3283}" name="Column7445"/>
    <tableColumn id="7449" xr3:uid="{1D072EF7-1052-4FF0-A254-C4301FE0131E}" name="Column7446"/>
    <tableColumn id="7450" xr3:uid="{9DFD847E-C1B2-492D-A298-9BDA839921D1}" name="Column7447"/>
    <tableColumn id="7451" xr3:uid="{0A9CE8E0-8AFA-4871-B1F6-602CC3728FF2}" name="Column7448"/>
    <tableColumn id="7452" xr3:uid="{5AA5F838-6D02-44FB-9D9A-24B1638A396E}" name="Column7449"/>
    <tableColumn id="7453" xr3:uid="{E865DB00-11C9-43C3-92A5-AFF61006D685}" name="Column7450"/>
    <tableColumn id="7454" xr3:uid="{01B7ACDB-0EDE-432B-8258-507AB2CB0B8C}" name="Column7451"/>
    <tableColumn id="7455" xr3:uid="{B1BF41C8-9263-40A7-A65F-7BEC80074F8B}" name="Column7452"/>
    <tableColumn id="7456" xr3:uid="{609F481B-3FA3-43CD-8BA4-4181484A5BC2}" name="Column7453"/>
    <tableColumn id="7457" xr3:uid="{BA5E8AC4-28AD-4D5B-9384-4933E2A0CB53}" name="Column7454"/>
    <tableColumn id="7458" xr3:uid="{5EF63B34-5CF2-4774-B627-ECB8E83739FA}" name="Column7455"/>
    <tableColumn id="7459" xr3:uid="{9D60E460-7B1A-4A99-84A1-3E4791C67056}" name="Column7456"/>
    <tableColumn id="7460" xr3:uid="{5769767B-0914-40C6-ADBA-6631840A5CCE}" name="Column7457"/>
    <tableColumn id="7461" xr3:uid="{B2BB6F96-8FB4-4C34-AFA2-EE3E18D14CD6}" name="Column7458"/>
    <tableColumn id="7462" xr3:uid="{EF99FDA9-B16F-4FDC-BEB1-13AD7FEB0DF0}" name="Column7459"/>
    <tableColumn id="7463" xr3:uid="{DBF1DF66-4D38-4C7C-863D-E0E37225A77B}" name="Column7460"/>
    <tableColumn id="7464" xr3:uid="{A3A98839-82DB-43C7-B77E-BA9FE95225D7}" name="Column7461"/>
    <tableColumn id="7465" xr3:uid="{9E121AC6-7DCF-4A94-8548-768898E5DC29}" name="Column7462"/>
    <tableColumn id="7466" xr3:uid="{7873C84A-D98D-457D-81D9-EBE9D07988AB}" name="Column7463"/>
    <tableColumn id="7467" xr3:uid="{A7736C3A-0705-4592-BAEB-F9995878A87E}" name="Column7464"/>
    <tableColumn id="7468" xr3:uid="{D13EC91F-6AE8-4BE8-9198-E170C55F1A7B}" name="Column7465"/>
    <tableColumn id="7469" xr3:uid="{AF5796E3-ABAD-4428-B125-A228A1DEB6E5}" name="Column7466"/>
    <tableColumn id="7470" xr3:uid="{5612E594-73E3-4AD1-85F9-293B3DE85C00}" name="Column7467"/>
    <tableColumn id="7471" xr3:uid="{2CEEC50F-295B-439E-956C-A7D64213A7F7}" name="Column7468"/>
    <tableColumn id="7472" xr3:uid="{A6954904-D6D7-4EE7-A2AD-CDEF5F251904}" name="Column7469"/>
    <tableColumn id="7473" xr3:uid="{D9501163-CC71-439B-AF8D-AF38E3C18340}" name="Column7470"/>
    <tableColumn id="7474" xr3:uid="{2AE7044F-62CA-43B4-AA37-717EF8854B1E}" name="Column7471"/>
    <tableColumn id="7475" xr3:uid="{4276B729-5162-49F7-B80C-27272D2A974E}" name="Column7472"/>
    <tableColumn id="7476" xr3:uid="{EDEC508B-E554-4AA4-8DEB-61A35AA63F93}" name="Column7473"/>
    <tableColumn id="7477" xr3:uid="{18413F2F-FC88-4B52-B705-28BA134319B6}" name="Column7474"/>
    <tableColumn id="7478" xr3:uid="{FFE2D887-1F31-47F5-AF1D-C487A3D2B824}" name="Column7475"/>
    <tableColumn id="7479" xr3:uid="{2325558F-75CF-4BA5-A768-49F491B2E646}" name="Column7476"/>
    <tableColumn id="7480" xr3:uid="{D8D8D5F5-022F-4FA5-BC93-DD00A51FC489}" name="Column7477"/>
    <tableColumn id="7481" xr3:uid="{CA52FEB1-4084-4495-BB15-FF95FF1FD7D8}" name="Column7478"/>
    <tableColumn id="7482" xr3:uid="{04E18813-747A-4FC8-9735-D436AC2709B2}" name="Column7479"/>
    <tableColumn id="7483" xr3:uid="{053CB5B8-0B04-458C-8BFF-58969DD6FC04}" name="Column7480"/>
    <tableColumn id="7484" xr3:uid="{2A744F37-440D-436E-98E6-11FCCC773491}" name="Column7481"/>
    <tableColumn id="7485" xr3:uid="{64C003B4-B42E-4757-99BB-300A1FFE6BAA}" name="Column7482"/>
    <tableColumn id="7486" xr3:uid="{1DB0F5FF-6272-46B8-BA8E-34503BF8F8E4}" name="Column7483"/>
    <tableColumn id="7487" xr3:uid="{1B811B57-CA50-461A-80A5-FC964B94861F}" name="Column7484"/>
    <tableColumn id="7488" xr3:uid="{23C87305-66AA-44D1-8BE3-37D98843439F}" name="Column7485"/>
    <tableColumn id="7489" xr3:uid="{A810713D-B457-4C1D-BF2A-ED880B26197A}" name="Column7486"/>
    <tableColumn id="7490" xr3:uid="{74490E81-BAA5-4C6B-AB47-C518E105428C}" name="Column7487"/>
    <tableColumn id="7491" xr3:uid="{79D4748B-3A8D-4F7F-83AB-C2E451CEBEF3}" name="Column7488"/>
    <tableColumn id="7492" xr3:uid="{FB7663A9-0944-4600-9F75-21B2AD71C515}" name="Column7489"/>
    <tableColumn id="7493" xr3:uid="{88CE6959-5021-4C1D-A212-1CE470E6944A}" name="Column7490"/>
    <tableColumn id="7494" xr3:uid="{746CBB32-EA26-4F8D-8908-951301375EC8}" name="Column7491"/>
    <tableColumn id="7495" xr3:uid="{2CA6AA19-C7BF-4191-89CD-9B258E5C17EA}" name="Column7492"/>
    <tableColumn id="7496" xr3:uid="{4B37AB8A-64DD-4D9A-B39D-B852460758A3}" name="Column7493"/>
    <tableColumn id="7497" xr3:uid="{D163378C-9AD3-4406-A5D8-080A6B136107}" name="Column7494"/>
    <tableColumn id="7498" xr3:uid="{0E2108BE-F778-4872-8A1C-36C4E1B27DEC}" name="Column7495"/>
    <tableColumn id="7499" xr3:uid="{D75DF440-D67A-4199-AA03-D03C50F699F8}" name="Column7496"/>
    <tableColumn id="7500" xr3:uid="{443ADE69-0276-4AE8-BD23-33B9A6794633}" name="Column7497"/>
    <tableColumn id="7501" xr3:uid="{16350BA8-7C3B-491E-9D0B-79382EF62F0E}" name="Column7498"/>
    <tableColumn id="7502" xr3:uid="{6F4531AD-BD03-48C5-BFFB-33D802621E05}" name="Column7499"/>
    <tableColumn id="7503" xr3:uid="{D1C6B54F-A777-4057-9FA7-2106EB6736C5}" name="Column7500"/>
    <tableColumn id="7504" xr3:uid="{7EE686D4-C93A-4E92-A8BE-AE2BE0F49553}" name="Column7501"/>
    <tableColumn id="7505" xr3:uid="{1C22770F-4D8F-42D4-875A-CE61C1068DDF}" name="Column7502"/>
    <tableColumn id="7506" xr3:uid="{1C6757D8-A50E-4D62-A267-1D2F1C78EA78}" name="Column7503"/>
    <tableColumn id="7507" xr3:uid="{3F54B5BB-5083-44CA-89BD-77488857C9D2}" name="Column7504"/>
    <tableColumn id="7508" xr3:uid="{C3168983-6F70-4F46-994A-A213587756DC}" name="Column7505"/>
    <tableColumn id="7509" xr3:uid="{E61FCEBB-CE84-4644-906E-C0EFC0A50D15}" name="Column7506"/>
    <tableColumn id="7510" xr3:uid="{51B55594-14B0-4EFE-B7A4-AD8EC928FACA}" name="Column7507"/>
    <tableColumn id="7511" xr3:uid="{F49990B5-7216-45E2-BF1E-A9B28CCC4B2C}" name="Column7508"/>
    <tableColumn id="7512" xr3:uid="{74732E4D-86B8-4BCB-BE9F-647A4E8D8BE0}" name="Column7509"/>
    <tableColumn id="7513" xr3:uid="{0D77EBFA-DDD5-4BBC-8EB5-C3F9E4DD6F94}" name="Column7510"/>
    <tableColumn id="7514" xr3:uid="{E5E8CC10-0219-496B-9BD3-B43B2C2949E0}" name="Column7511"/>
    <tableColumn id="7515" xr3:uid="{14E83C62-1845-42D5-B85D-716EBC5A1EE1}" name="Column7512"/>
    <tableColumn id="7516" xr3:uid="{7FD38FC9-666D-4448-B709-0082162AB25D}" name="Column7513"/>
    <tableColumn id="7517" xr3:uid="{DF748A0D-BE89-49BE-B61E-99E472E848AD}" name="Column7514"/>
    <tableColumn id="7518" xr3:uid="{2FBA00A6-7617-416A-AC90-CE27F10EE484}" name="Column7515"/>
    <tableColumn id="7519" xr3:uid="{29B308AC-1CF9-46C3-A6D4-C571871A9F10}" name="Column7516"/>
    <tableColumn id="7520" xr3:uid="{1573512C-DA30-42A1-B019-45EB4BEC429C}" name="Column7517"/>
    <tableColumn id="7521" xr3:uid="{E3474EDF-9CD5-4567-ADB2-59F1181A7059}" name="Column7518"/>
    <tableColumn id="7522" xr3:uid="{8147BDC4-9432-4193-BAFF-B79A8CF4A3FE}" name="Column7519"/>
    <tableColumn id="7523" xr3:uid="{76203B08-61F9-4A17-AA13-5E0BA8B39DC3}" name="Column7520"/>
    <tableColumn id="7524" xr3:uid="{42F23AB4-5FE4-4277-883F-B5D9F80B13A4}" name="Column7521"/>
    <tableColumn id="7525" xr3:uid="{D100BB91-D846-4906-ADFC-6FF1B9B368DA}" name="Column7522"/>
    <tableColumn id="7526" xr3:uid="{5028C03C-F169-4CE2-8A02-D0AF45524976}" name="Column7523"/>
    <tableColumn id="7527" xr3:uid="{27C9414C-F79D-4E41-929F-0914BA8EACD7}" name="Column7524"/>
    <tableColumn id="7528" xr3:uid="{80B7E166-32DF-4F99-8DFE-DD137F2A486C}" name="Column7525"/>
    <tableColumn id="7529" xr3:uid="{63BC04B7-BE17-40EC-B99B-9B39164B64B4}" name="Column7526"/>
    <tableColumn id="7530" xr3:uid="{EDB7FB96-F737-4C47-8B99-E5FA2BEBE8D0}" name="Column7527"/>
    <tableColumn id="7531" xr3:uid="{E74C6421-FE47-4167-97AD-9B3503FE7AA2}" name="Column7528"/>
    <tableColumn id="7532" xr3:uid="{1F712375-9501-4C67-A7A0-1F85A82F3322}" name="Column7529"/>
    <tableColumn id="7533" xr3:uid="{8F714285-826D-43FC-90BF-21234717CF67}" name="Column7530"/>
    <tableColumn id="7534" xr3:uid="{5CA9C399-5C8C-4C61-B3B5-94D9CDC7D553}" name="Column7531"/>
    <tableColumn id="7535" xr3:uid="{8B5AF24D-CAEE-4C39-B2A4-07E9E1D397BE}" name="Column7532"/>
    <tableColumn id="7536" xr3:uid="{2FDFF37E-6374-46A5-902B-9C50DAF13662}" name="Column7533"/>
    <tableColumn id="7537" xr3:uid="{2C7BA109-A5EF-45DB-9ADA-3FEC9793F000}" name="Column7534"/>
    <tableColumn id="7538" xr3:uid="{71994E63-3EAD-4569-8304-C011469422A7}" name="Column7535"/>
    <tableColumn id="7539" xr3:uid="{EEF2FE9B-8EC3-429D-84B0-6E62C7EEFA8A}" name="Column7536"/>
    <tableColumn id="7540" xr3:uid="{95015B25-4AA7-46A0-BAD6-36B257619432}" name="Column7537"/>
    <tableColumn id="7541" xr3:uid="{F9011FCD-72E7-4C94-AD33-75B33A2A4114}" name="Column7538"/>
    <tableColumn id="7542" xr3:uid="{E7653A37-8DE3-471F-940D-B4A86702A1EC}" name="Column7539"/>
    <tableColumn id="7543" xr3:uid="{2312085E-BA10-468E-984F-CB3E5FEBC572}" name="Column7540"/>
    <tableColumn id="7544" xr3:uid="{8150AFDE-BBA3-4C4E-808E-8BC17E7BD144}" name="Column7541"/>
    <tableColumn id="7545" xr3:uid="{49284D37-E21E-4937-BC5B-3EEE81451675}" name="Column7542"/>
    <tableColumn id="7546" xr3:uid="{D6ABB2CB-9AC8-44F7-91AB-7BC3DA13CA7F}" name="Column7543"/>
    <tableColumn id="7547" xr3:uid="{297714C6-E576-48E4-ACBE-22D8B0548B0B}" name="Column7544"/>
    <tableColumn id="7548" xr3:uid="{89A3CA21-0885-4E80-81F4-CF5D770D8B6C}" name="Column7545"/>
    <tableColumn id="7549" xr3:uid="{FC4F8FBF-D18B-4AAF-877D-B635D7828422}" name="Column7546"/>
    <tableColumn id="7550" xr3:uid="{F14D06FF-D76D-4713-B280-081221F92700}" name="Column7547"/>
    <tableColumn id="7551" xr3:uid="{6E1B6B0C-4E1C-4770-800F-5F50AC0C15F1}" name="Column7548"/>
    <tableColumn id="7552" xr3:uid="{70853B10-613C-493E-9427-D4C31B285A57}" name="Column7549"/>
    <tableColumn id="7553" xr3:uid="{238D20A4-2984-4776-B268-9686EF3F5930}" name="Column7550"/>
    <tableColumn id="7554" xr3:uid="{79BA7FDA-E849-4D78-AFB3-85B49D1482EB}" name="Column7551"/>
    <tableColumn id="7555" xr3:uid="{FCB90CBE-C62A-48B2-A5D5-B61A5C91E4A4}" name="Column7552"/>
    <tableColumn id="7556" xr3:uid="{868469F2-DA31-4B31-BC57-41D8F4FD53FD}" name="Column7553"/>
    <tableColumn id="7557" xr3:uid="{B3CEAD41-5916-4D2C-AC94-0E544286B302}" name="Column7554"/>
    <tableColumn id="7558" xr3:uid="{43AA9E52-9822-49F7-A682-B9677D6DA48E}" name="Column7555"/>
    <tableColumn id="7559" xr3:uid="{93AD7971-152D-48F6-A47B-673F32726A7A}" name="Column7556"/>
    <tableColumn id="7560" xr3:uid="{1E5FB697-BDD6-4B20-868C-8EA430E4FF53}" name="Column7557"/>
    <tableColumn id="7561" xr3:uid="{4F82C187-636F-46B0-A407-212C5E1B3BBC}" name="Column7558"/>
    <tableColumn id="7562" xr3:uid="{12443F60-ADB8-4897-9525-0D37666718D2}" name="Column7559"/>
    <tableColumn id="7563" xr3:uid="{323ACF7B-36DA-402D-8994-F400C8EDFD03}" name="Column7560"/>
    <tableColumn id="7564" xr3:uid="{FA461EE1-ED50-4B04-B81F-6100A60E102E}" name="Column7561"/>
    <tableColumn id="7565" xr3:uid="{6347B27E-1C47-470C-ABD6-2AA5833AF34B}" name="Column7562"/>
    <tableColumn id="7566" xr3:uid="{5E3AFECE-1DC5-4172-AF92-008076E130B8}" name="Column7563"/>
    <tableColumn id="7567" xr3:uid="{9CBF9001-C8E3-44DB-B377-7E9E31EAA13F}" name="Column7564"/>
    <tableColumn id="7568" xr3:uid="{2F5EB0DE-8659-4F6C-92F9-A2FCF43387B9}" name="Column7565"/>
    <tableColumn id="7569" xr3:uid="{5E0ED43D-212C-4DDD-ACBA-C18CBC93B24F}" name="Column7566"/>
    <tableColumn id="7570" xr3:uid="{E9E17845-88AF-462F-96D4-2011E1F54D74}" name="Column7567"/>
    <tableColumn id="7571" xr3:uid="{302AB500-A031-4819-8EA4-99C6596143A9}" name="Column7568"/>
    <tableColumn id="7572" xr3:uid="{9A011368-9C8D-4F03-BCCE-B6023327F882}" name="Column7569"/>
    <tableColumn id="7573" xr3:uid="{A99D7F30-9923-428C-9CA3-933168A2E515}" name="Column7570"/>
    <tableColumn id="7574" xr3:uid="{BDE6E221-5232-4935-A282-6121A627A1F3}" name="Column7571"/>
    <tableColumn id="7575" xr3:uid="{2AE5CEE2-AF50-4F9D-8713-944C2795F78A}" name="Column7572"/>
    <tableColumn id="7576" xr3:uid="{FD882B81-17F8-4B07-9A44-CD5AFEC75FC3}" name="Column7573"/>
    <tableColumn id="7577" xr3:uid="{9F04EEDB-9AF5-4B09-AA70-4CB8D4C9E438}" name="Column7574"/>
    <tableColumn id="7578" xr3:uid="{D24B5303-5606-458A-BBBA-DC1AA76C781B}" name="Column7575"/>
    <tableColumn id="7579" xr3:uid="{9CBC3969-A8CD-4C71-ABC0-223577B31DA4}" name="Column7576"/>
    <tableColumn id="7580" xr3:uid="{DBD6F537-3E85-4472-9D9C-4BEEE8EE2DB5}" name="Column7577"/>
    <tableColumn id="7581" xr3:uid="{E6E165A3-08A5-4947-BB26-D27B9C4FD117}" name="Column7578"/>
    <tableColumn id="7582" xr3:uid="{3F52D365-0B58-40DB-A658-6969BBE6A85A}" name="Column7579"/>
    <tableColumn id="7583" xr3:uid="{21DD7BD4-729C-4A3D-B7BD-8B4176C321E9}" name="Column7580"/>
    <tableColumn id="7584" xr3:uid="{2F3C2FA8-B391-45F1-AC0D-10E2E567FE91}" name="Column7581"/>
    <tableColumn id="7585" xr3:uid="{79B3D948-B202-400F-B4EF-7D4251C4C2DB}" name="Column7582"/>
    <tableColumn id="7586" xr3:uid="{1BA96EBA-C7A2-4875-BB1C-DE6E0A4BC33B}" name="Column7583"/>
    <tableColumn id="7587" xr3:uid="{064F1AD5-EB79-48B4-A2C3-1EAB58F0A673}" name="Column7584"/>
    <tableColumn id="7588" xr3:uid="{2A8D9385-83EB-49DB-85C2-C23BCFB6690C}" name="Column7585"/>
    <tableColumn id="7589" xr3:uid="{795EFD4E-3B9B-4DA7-96A1-B44D3D4B52DF}" name="Column7586"/>
    <tableColumn id="7590" xr3:uid="{AD6615C8-50A5-4904-92C9-1E06421F5D05}" name="Column7587"/>
    <tableColumn id="7591" xr3:uid="{09437B0F-97C8-43CB-92BA-401539D21293}" name="Column7588"/>
    <tableColumn id="7592" xr3:uid="{F8D2088B-48D9-488B-A593-9B26F65A1306}" name="Column7589"/>
    <tableColumn id="7593" xr3:uid="{DF6B7DE5-35FD-4F41-9B0C-80CB6C5FF391}" name="Column7590"/>
    <tableColumn id="7594" xr3:uid="{D4FDE3F8-4FE7-4901-B838-DC23F72879D8}" name="Column7591"/>
    <tableColumn id="7595" xr3:uid="{6F90F2A1-1D64-475D-A449-DA0D88F0457D}" name="Column7592"/>
    <tableColumn id="7596" xr3:uid="{2BAEB5A4-98ED-4E57-A991-DD3A28A899FC}" name="Column7593"/>
    <tableColumn id="7597" xr3:uid="{96ECB264-1CAC-4E69-BB7A-42660B3DBD8E}" name="Column7594"/>
    <tableColumn id="7598" xr3:uid="{1FF1FDF2-9A04-4BC1-BDBA-D45934FC6FF3}" name="Column7595"/>
    <tableColumn id="7599" xr3:uid="{4938415F-127C-446D-A954-91E5BC5EAA5B}" name="Column7596"/>
    <tableColumn id="7600" xr3:uid="{114F2183-6807-4DFB-9008-46327351D682}" name="Column7597"/>
    <tableColumn id="7601" xr3:uid="{FF4BED0E-446D-464E-B441-6CA06D60E037}" name="Column7598"/>
    <tableColumn id="7602" xr3:uid="{81BC888D-3A12-4B72-A576-A19980F1963E}" name="Column7599"/>
    <tableColumn id="7603" xr3:uid="{88725715-A875-483F-A0AD-303B479FE92D}" name="Column7600"/>
    <tableColumn id="7604" xr3:uid="{0F1C0FC5-9250-43CB-A391-6382AEE2CBCE}" name="Column7601"/>
    <tableColumn id="7605" xr3:uid="{A62419A2-AE78-45D3-90AD-55C4F5DEA320}" name="Column7602"/>
    <tableColumn id="7606" xr3:uid="{C7BB58FE-395C-4F5F-AEEE-365EAFB32043}" name="Column7603"/>
    <tableColumn id="7607" xr3:uid="{A76E4B70-8F38-40D1-A5BA-535093019D69}" name="Column7604"/>
    <tableColumn id="7608" xr3:uid="{97226ECC-B7D7-4512-8CE0-5A282173B438}" name="Column7605"/>
    <tableColumn id="7609" xr3:uid="{E92984BA-D67D-4144-BBC7-DD469BA6969D}" name="Column7606"/>
    <tableColumn id="7610" xr3:uid="{8CA6AC39-FE46-417F-BD21-30BE3C0899D6}" name="Column7607"/>
    <tableColumn id="7611" xr3:uid="{4468C3F4-D74C-45A1-8D7C-CD8E3C10A30F}" name="Column7608"/>
    <tableColumn id="7612" xr3:uid="{BEFACD60-6FEC-445D-99F8-B25FE0264277}" name="Column7609"/>
    <tableColumn id="7613" xr3:uid="{BFEF9A02-6DF4-4F0B-955C-5734C331B824}" name="Column7610"/>
    <tableColumn id="7614" xr3:uid="{484BA16F-2EB7-48D6-AAF7-D68EA190FD41}" name="Column7611"/>
    <tableColumn id="7615" xr3:uid="{09B22745-45BC-4795-AA27-D7DC6B360519}" name="Column7612"/>
    <tableColumn id="7616" xr3:uid="{E21973BC-FD33-4ECF-A0B0-3E1B50E6F5B1}" name="Column7613"/>
    <tableColumn id="7617" xr3:uid="{76CAC7B0-A854-4F1E-A242-9F235F3AA6FD}" name="Column7614"/>
    <tableColumn id="7618" xr3:uid="{59C20CD6-0791-4DEF-87FC-449EED4D6807}" name="Column7615"/>
    <tableColumn id="7619" xr3:uid="{085665EF-02A1-41A0-8A96-ADA56BD8C28C}" name="Column7616"/>
    <tableColumn id="7620" xr3:uid="{272E24C7-017C-4F0B-87D1-69518428C8A6}" name="Column7617"/>
    <tableColumn id="7621" xr3:uid="{E9C27FFF-2F03-4E29-A138-660765031D93}" name="Column7618"/>
    <tableColumn id="7622" xr3:uid="{460CA080-CE6B-407F-809B-0D72D740BCC1}" name="Column7619"/>
    <tableColumn id="7623" xr3:uid="{1173A0DD-0E0E-46A0-B4F7-5A04D157AE3A}" name="Column7620"/>
    <tableColumn id="7624" xr3:uid="{FE25BB35-010B-4D64-9ADC-D677F8E27B9E}" name="Column7621"/>
    <tableColumn id="7625" xr3:uid="{16BD325F-677A-46A5-8AB5-9FAA1502D562}" name="Column7622"/>
    <tableColumn id="7626" xr3:uid="{04417AF3-5E5B-4EF1-94D2-B9BBE95103FC}" name="Column7623"/>
    <tableColumn id="7627" xr3:uid="{B72635CF-F713-4311-8792-5B739EF4DE32}" name="Column7624"/>
    <tableColumn id="7628" xr3:uid="{60BC9DFC-2EBE-49AF-B696-96E8D1FD5356}" name="Column7625"/>
    <tableColumn id="7629" xr3:uid="{E125C524-CA4D-45FA-A929-82C4E189B9CB}" name="Column7626"/>
    <tableColumn id="7630" xr3:uid="{3D9B21A0-CB79-4F83-A7A3-7A9FA34A0885}" name="Column7627"/>
    <tableColumn id="7631" xr3:uid="{9AEC4B2F-0CA2-4CDE-A8B9-A6C6FBB0E93A}" name="Column7628"/>
    <tableColumn id="7632" xr3:uid="{FD7AC110-3E52-4946-9C2C-0EB26EB23376}" name="Column7629"/>
    <tableColumn id="7633" xr3:uid="{18A4B9F4-ADD2-4640-AB2D-99863A1D4CDE}" name="Column7630"/>
    <tableColumn id="7634" xr3:uid="{991AE4EA-9120-4C30-8398-E675630A1D17}" name="Column7631"/>
    <tableColumn id="7635" xr3:uid="{803DB589-1719-4B80-9904-4D4D8E2BFD87}" name="Column7632"/>
    <tableColumn id="7636" xr3:uid="{B4E4F4D8-AD8F-49EA-89A0-65FD988E5DBF}" name="Column7633"/>
    <tableColumn id="7637" xr3:uid="{DC95D363-FC2B-4224-8F09-A4C9CF452ED3}" name="Column7634"/>
    <tableColumn id="7638" xr3:uid="{6FCE17EE-B3B1-4D8B-93CC-16E46C785745}" name="Column7635"/>
    <tableColumn id="7639" xr3:uid="{402987D5-FB87-4B1E-BE93-F68B4A2B8E28}" name="Column7636"/>
    <tableColumn id="7640" xr3:uid="{3EDB4B1F-AFFA-4884-AF24-9553F4638D34}" name="Column7637"/>
    <tableColumn id="7641" xr3:uid="{66569049-77D1-45F5-AEF6-3A4E0C796EAB}" name="Column7638"/>
    <tableColumn id="7642" xr3:uid="{EDE0A0FA-B541-46EF-B4C4-C7A76460F8D7}" name="Column7639"/>
    <tableColumn id="7643" xr3:uid="{DB36DEED-42EA-463F-B528-8E5CA0706429}" name="Column7640"/>
    <tableColumn id="7644" xr3:uid="{F7D06DFC-A3EA-4960-BE27-190AC36CD088}" name="Column7641"/>
    <tableColumn id="7645" xr3:uid="{F9861AFA-2D95-42C0-A7BB-50CC4422E814}" name="Column7642"/>
    <tableColumn id="7646" xr3:uid="{62F74FF8-3CB5-4E78-BA0D-9900B86A99F3}" name="Column7643"/>
    <tableColumn id="7647" xr3:uid="{8A1FC208-5913-4752-BCA5-5190008314AB}" name="Column7644"/>
    <tableColumn id="7648" xr3:uid="{FB8A2F65-C2E4-49F6-A836-0EC0E9FD1264}" name="Column7645"/>
    <tableColumn id="7649" xr3:uid="{CED72F67-F8C5-4186-860C-A6FCE02FFA27}" name="Column7646"/>
    <tableColumn id="7650" xr3:uid="{E3D2866C-355D-4BD3-B3F3-61FEF9BFD16B}" name="Column7647"/>
    <tableColumn id="7651" xr3:uid="{15FB5305-BB27-44C9-BA5F-D3BCCB19A99A}" name="Column7648"/>
    <tableColumn id="7652" xr3:uid="{E5B52E3C-CDC3-4C47-A4FA-232A426F32B3}" name="Column7649"/>
    <tableColumn id="7653" xr3:uid="{817439DB-4D7E-4426-8083-A899D7A1EB6A}" name="Column7650"/>
    <tableColumn id="7654" xr3:uid="{5A5DD4CE-5FED-47CB-9384-39A99AFEE067}" name="Column7651"/>
    <tableColumn id="7655" xr3:uid="{C64A0DB3-044A-468A-9341-F63DF88698F2}" name="Column7652"/>
    <tableColumn id="7656" xr3:uid="{A30608E0-F9E9-45F5-992F-0D500D20A55F}" name="Column7653"/>
    <tableColumn id="7657" xr3:uid="{7F613495-1113-48CD-A0A2-ECA3C52EFE7A}" name="Column7654"/>
    <tableColumn id="7658" xr3:uid="{3E36355D-6E92-497D-AD8A-CCBA160364BE}" name="Column7655"/>
    <tableColumn id="7659" xr3:uid="{3684F61A-B818-4B93-8633-64E8FE6789D0}" name="Column7656"/>
    <tableColumn id="7660" xr3:uid="{9936EDE7-B207-43C0-A999-6169E654BDEA}" name="Column7657"/>
    <tableColumn id="7661" xr3:uid="{369DCA6C-A047-4AD7-8415-B0F3040D5B0E}" name="Column7658"/>
    <tableColumn id="7662" xr3:uid="{A666DCAF-B7D0-4DA9-B4B8-B5E7E7C125C7}" name="Column7659"/>
    <tableColumn id="7663" xr3:uid="{9687D1CC-D93F-4207-BF62-C49B076517E0}" name="Column7660"/>
    <tableColumn id="7664" xr3:uid="{32D6DD30-2891-4305-A9FC-A4EA372E57CB}" name="Column7661"/>
    <tableColumn id="7665" xr3:uid="{9D57E760-2DAE-4BCB-A104-F0E8CB014B8F}" name="Column7662"/>
    <tableColumn id="7666" xr3:uid="{0C39B6A3-8524-4319-9407-6E414D61AEF6}" name="Column7663"/>
    <tableColumn id="7667" xr3:uid="{E65E78C9-3CAC-4666-93C9-79AF1FE0BAD7}" name="Column7664"/>
    <tableColumn id="7668" xr3:uid="{7228BBF2-7F14-4204-9B53-736434105ADF}" name="Column7665"/>
    <tableColumn id="7669" xr3:uid="{567A7251-45DA-4F0D-81D5-9781FA574097}" name="Column7666"/>
    <tableColumn id="7670" xr3:uid="{D6D5576C-0098-4657-9BE9-E0173259C67C}" name="Column7667"/>
    <tableColumn id="7671" xr3:uid="{A15F7C04-8848-4E18-8758-C0DE1951971E}" name="Column7668"/>
    <tableColumn id="7672" xr3:uid="{D2726296-AA5D-46F5-B6E0-5657DA147C08}" name="Column7669"/>
    <tableColumn id="7673" xr3:uid="{9C208F45-B4AA-4841-BE05-BDCFB8ED016C}" name="Column7670"/>
    <tableColumn id="7674" xr3:uid="{43703E04-72F7-4EAA-9050-8A57FBF0189A}" name="Column7671"/>
    <tableColumn id="7675" xr3:uid="{E72DA07F-6F5B-4290-8665-7C32C722CCC1}" name="Column7672"/>
    <tableColumn id="7676" xr3:uid="{29A102D4-5ABD-424B-981A-CDD55D9048AC}" name="Column7673"/>
    <tableColumn id="7677" xr3:uid="{469A96ED-76B7-486C-83D8-95A8A2943D92}" name="Column7674"/>
    <tableColumn id="7678" xr3:uid="{0331DE43-8E8E-413B-9CAC-BA849B28ADBE}" name="Column7675"/>
    <tableColumn id="7679" xr3:uid="{E49D742E-1D90-4DD5-B37E-2202B44970C0}" name="Column7676"/>
    <tableColumn id="7680" xr3:uid="{78136544-4355-4369-BA7B-1B0654846B3C}" name="Column7677"/>
    <tableColumn id="7681" xr3:uid="{B52AECCF-40A4-4F94-9AA0-59B98200171A}" name="Column7678"/>
    <tableColumn id="7682" xr3:uid="{B5DB1EA2-2463-4DEE-81AB-EF3C5700D829}" name="Column7679"/>
    <tableColumn id="7683" xr3:uid="{7CF358FA-C1B8-4FBE-9422-0A2A8D1082D7}" name="Column7680"/>
    <tableColumn id="7684" xr3:uid="{628E3878-5CCD-4375-8465-840CEE130D3D}" name="Column7681"/>
    <tableColumn id="7685" xr3:uid="{FE7B706C-E0FF-413C-963A-83D3CE9D8376}" name="Column7682"/>
    <tableColumn id="7686" xr3:uid="{2DAC6757-1ED3-4570-A240-6B8484C3C5C8}" name="Column7683"/>
    <tableColumn id="7687" xr3:uid="{A8EC35FB-30B5-4950-BE2C-66879979D3D6}" name="Column7684"/>
    <tableColumn id="7688" xr3:uid="{A9F32E5D-DED5-4F59-ABE6-4E806CD49F93}" name="Column7685"/>
    <tableColumn id="7689" xr3:uid="{DD87A693-8736-4302-B7D2-6AFAE75A6729}" name="Column7686"/>
    <tableColumn id="7690" xr3:uid="{F5F91973-D795-4851-AA89-95DD01D5D063}" name="Column7687"/>
    <tableColumn id="7691" xr3:uid="{0E58C215-3A91-4EAC-9C64-CAD635DB76E8}" name="Column7688"/>
    <tableColumn id="7692" xr3:uid="{F4381540-4F81-4810-BECA-ECBFD9034748}" name="Column7689"/>
    <tableColumn id="7693" xr3:uid="{727D8A62-B95B-4B23-A88E-1DF41FA27D03}" name="Column7690"/>
    <tableColumn id="7694" xr3:uid="{BE521768-7673-4004-B917-C9DF9662E54C}" name="Column7691"/>
    <tableColumn id="7695" xr3:uid="{743B63F3-8808-4A62-A2B8-144DB6F5A091}" name="Column7692"/>
    <tableColumn id="7696" xr3:uid="{AEF67D27-0082-4B2A-A224-C73A3D05ED59}" name="Column7693"/>
    <tableColumn id="7697" xr3:uid="{6ED2C029-7CD7-4AFE-82BA-5705528DFB29}" name="Column7694"/>
    <tableColumn id="7698" xr3:uid="{831914CD-985E-4FBE-8C68-3F4DEBC57767}" name="Column7695"/>
    <tableColumn id="7699" xr3:uid="{77B77AC9-B285-4F67-9956-0B1B042D7E5B}" name="Column7696"/>
    <tableColumn id="7700" xr3:uid="{F7468C65-906D-4970-BECD-EB369F0ACD92}" name="Column7697"/>
    <tableColumn id="7701" xr3:uid="{3597A3EE-5802-4CB7-8BB8-0F287B620392}" name="Column7698"/>
    <tableColumn id="7702" xr3:uid="{E5BC3BA4-90BC-45C9-B2F4-35D806C5230A}" name="Column7699"/>
    <tableColumn id="7703" xr3:uid="{095A84DE-2924-4D42-9FF4-B9E75D19BBBE}" name="Column7700"/>
    <tableColumn id="7704" xr3:uid="{5DE02A7C-2E5D-4B36-86E5-5B7F1C07E952}" name="Column7701"/>
    <tableColumn id="7705" xr3:uid="{B04E3E49-F967-4F27-9EA6-1D8A8ACD74B1}" name="Column7702"/>
    <tableColumn id="7706" xr3:uid="{97A6B9C8-ED19-462D-80FC-D1A39E5286C9}" name="Column7703"/>
    <tableColumn id="7707" xr3:uid="{9C6C1B2E-A5E6-4DF9-9DE8-34673B263224}" name="Column7704"/>
    <tableColumn id="7708" xr3:uid="{29D07F13-A317-4C38-8A57-C4B54C1EF773}" name="Column7705"/>
    <tableColumn id="7709" xr3:uid="{5866A3AC-FE7E-4EC4-A2F1-33CC2691E72F}" name="Column7706"/>
    <tableColumn id="7710" xr3:uid="{F7E1FD58-B2EC-413D-B568-EEA31AA783DB}" name="Column7707"/>
    <tableColumn id="7711" xr3:uid="{8191F6EB-B299-4C84-AA50-F9359066121D}" name="Column7708"/>
    <tableColumn id="7712" xr3:uid="{71838009-1ADF-4B65-B75E-AD4B940BC288}" name="Column7709"/>
    <tableColumn id="7713" xr3:uid="{43C9F47F-BB77-4778-BFA4-9C2657CCB43A}" name="Column7710"/>
    <tableColumn id="7714" xr3:uid="{B891564B-4B58-40BC-8250-2C188EFCD40A}" name="Column7711"/>
    <tableColumn id="7715" xr3:uid="{14159CEB-A4B9-46A6-9B95-72628CABEB8F}" name="Column7712"/>
    <tableColumn id="7716" xr3:uid="{3C6E8676-C03E-458A-848E-2BFE792211EB}" name="Column7713"/>
    <tableColumn id="7717" xr3:uid="{793F5CF8-2052-472A-B0F9-46DA4D4A4D1D}" name="Column7714"/>
    <tableColumn id="7718" xr3:uid="{18A2FF97-C7AD-41C8-8585-FE6FDA550A94}" name="Column7715"/>
    <tableColumn id="7719" xr3:uid="{CA84F210-4D46-445B-8C2A-75FFCE54B15C}" name="Column7716"/>
    <tableColumn id="7720" xr3:uid="{C6426490-5CEC-4745-99CE-ED80BE671248}" name="Column7717"/>
    <tableColumn id="7721" xr3:uid="{6549D3A8-1500-4130-95BF-00272B655B18}" name="Column7718"/>
    <tableColumn id="7722" xr3:uid="{F434D64A-8E3B-45A0-A15F-F2AAB9AD42F2}" name="Column7719"/>
    <tableColumn id="7723" xr3:uid="{E89FFDC7-5B48-41E4-B09F-603E10D33F57}" name="Column7720"/>
    <tableColumn id="7724" xr3:uid="{081FB9AE-DD74-4810-8299-17F990097220}" name="Column7721"/>
    <tableColumn id="7725" xr3:uid="{02920958-D89B-43E3-80FB-56FD00D92598}" name="Column7722"/>
    <tableColumn id="7726" xr3:uid="{18786793-3A91-4FFB-9325-10D0435574B8}" name="Column7723"/>
    <tableColumn id="7727" xr3:uid="{B62C5E28-39EC-4B2C-8676-865DBE87D826}" name="Column7724"/>
    <tableColumn id="7728" xr3:uid="{9E0B7FF1-481A-4523-8755-3E7E7C931A2E}" name="Column7725"/>
    <tableColumn id="7729" xr3:uid="{6836BF92-52CE-4E85-8AB5-C0BD9FAFEBEC}" name="Column7726"/>
    <tableColumn id="7730" xr3:uid="{88580611-5007-48EA-B870-6939C7662484}" name="Column7727"/>
    <tableColumn id="7731" xr3:uid="{04A79EC2-4DBD-430F-B743-0F31B9153964}" name="Column7728"/>
    <tableColumn id="7732" xr3:uid="{42DFA87A-1635-44CC-AB7D-594FAD5A43C7}" name="Column7729"/>
    <tableColumn id="7733" xr3:uid="{31013068-C7C0-4883-A460-FBD9B0F80730}" name="Column7730"/>
    <tableColumn id="7734" xr3:uid="{EE751028-B4B7-453C-B901-73631F963CE0}" name="Column7731"/>
    <tableColumn id="7735" xr3:uid="{F021930D-BD71-45D6-90AC-8C6C9CF30701}" name="Column7732"/>
    <tableColumn id="7736" xr3:uid="{543C0A51-B611-47D9-AA05-C928500B5B94}" name="Column7733"/>
    <tableColumn id="7737" xr3:uid="{517ABF6F-9962-4C7B-8AF1-18EB62F5024F}" name="Column7734"/>
    <tableColumn id="7738" xr3:uid="{CDC687A2-9C56-4587-825D-2BEAF65F6E84}" name="Column7735"/>
    <tableColumn id="7739" xr3:uid="{66DE6682-E187-4F69-86DA-932CE0238A86}" name="Column7736"/>
    <tableColumn id="7740" xr3:uid="{15FD4C40-4095-4B86-83BE-8FBFF2BD3BD8}" name="Column7737"/>
    <tableColumn id="7741" xr3:uid="{EDD55BDB-F7E6-4406-9D0E-8BC0AD5255CA}" name="Column7738"/>
    <tableColumn id="7742" xr3:uid="{E61E522E-CEEA-4A7C-98CE-354BA5250FCA}" name="Column7739"/>
    <tableColumn id="7743" xr3:uid="{81E4E6DA-2CBE-478C-8CFC-3F2EE75DD072}" name="Column7740"/>
    <tableColumn id="7744" xr3:uid="{12195276-2FCE-4BD0-B7F4-EF384AB1A0ED}" name="Column7741"/>
    <tableColumn id="7745" xr3:uid="{732E0272-243F-4553-9BFA-D41C9085AED9}" name="Column7742"/>
    <tableColumn id="7746" xr3:uid="{3E347876-3210-41E6-8E88-9610978AF35B}" name="Column7743"/>
    <tableColumn id="7747" xr3:uid="{7F2C930D-66C2-4AFE-8C6A-954DC63561B3}" name="Column7744"/>
    <tableColumn id="7748" xr3:uid="{9EAA7629-D4D7-441D-9E18-DA750AAB2D66}" name="Column7745"/>
    <tableColumn id="7749" xr3:uid="{2E319059-1DD0-438F-BF6B-7C1C8BFFD3CF}" name="Column7746"/>
    <tableColumn id="7750" xr3:uid="{4A7BF514-784E-452B-A304-4194FD2505EC}" name="Column7747"/>
    <tableColumn id="7751" xr3:uid="{C1A06166-2D8B-43B7-9EAC-042FD10E8650}" name="Column7748"/>
    <tableColumn id="7752" xr3:uid="{9FD6E9E6-A437-4F8A-8D7A-FD3EA018B44F}" name="Column7749"/>
    <tableColumn id="7753" xr3:uid="{FC51A26F-A3D6-4FF5-81BD-7B96AEF21AD8}" name="Column7750"/>
    <tableColumn id="7754" xr3:uid="{9378F851-C797-45E4-9662-21666255D956}" name="Column7751"/>
    <tableColumn id="7755" xr3:uid="{0FAF5EC3-25D5-4477-880A-F20F33B4BAEE}" name="Column7752"/>
    <tableColumn id="7756" xr3:uid="{8728C7DD-386A-43CB-966E-3870D68FDA4E}" name="Column7753"/>
    <tableColumn id="7757" xr3:uid="{3E02D5E1-745A-40CA-A59B-6077F8B7BB48}" name="Column7754"/>
    <tableColumn id="7758" xr3:uid="{BA22B3CF-6A21-4712-9FF8-0A93F25B3FEB}" name="Column7755"/>
    <tableColumn id="7759" xr3:uid="{38D82199-DE75-47A5-905F-FFB7A8FE6473}" name="Column7756"/>
    <tableColumn id="7760" xr3:uid="{16B7140C-CA15-4C45-9E0E-9FEE342DD39E}" name="Column7757"/>
    <tableColumn id="7761" xr3:uid="{B2BCDEBE-6E14-4D8A-B830-EE581A09FD67}" name="Column7758"/>
    <tableColumn id="7762" xr3:uid="{C6F99145-037A-4CB0-888C-3294A2AF8AE2}" name="Column7759"/>
    <tableColumn id="7763" xr3:uid="{931B4CB6-787B-4DF1-9AA4-9CE0C101D013}" name="Column7760"/>
    <tableColumn id="7764" xr3:uid="{141F3210-1DC3-4690-95E8-DEF30F50E3EB}" name="Column7761"/>
    <tableColumn id="7765" xr3:uid="{F8D2B9D9-746B-4B42-863C-67122F00A7CF}" name="Column7762"/>
    <tableColumn id="7766" xr3:uid="{2D056D2A-C461-44BE-A35E-C8818E9D9211}" name="Column7763"/>
    <tableColumn id="7767" xr3:uid="{50DAEF9B-043E-4350-90B4-8F75A45C9031}" name="Column7764"/>
    <tableColumn id="7768" xr3:uid="{8FAF7906-7D3B-41C3-ABB1-36E9B6678AA0}" name="Column7765"/>
    <tableColumn id="7769" xr3:uid="{D62FD1B1-57BE-47BB-A1F9-B8621BDFE467}" name="Column7766"/>
    <tableColumn id="7770" xr3:uid="{977F7700-E1BE-4EFC-95DE-313349520B7F}" name="Column7767"/>
    <tableColumn id="7771" xr3:uid="{9A62C929-2CE0-4999-8D3B-E108A988D340}" name="Column7768"/>
    <tableColumn id="7772" xr3:uid="{58238868-DED9-4877-9F46-9F5EB00CF99E}" name="Column7769"/>
    <tableColumn id="7773" xr3:uid="{0685CE7E-D2E5-43EC-BAE5-090EAEEC42DA}" name="Column7770"/>
    <tableColumn id="7774" xr3:uid="{37192372-37DF-4015-880F-B9C7495241B4}" name="Column7771"/>
    <tableColumn id="7775" xr3:uid="{43CE9B65-36A2-4B39-930D-F1B9406685DA}" name="Column7772"/>
    <tableColumn id="7776" xr3:uid="{2AEDD1FC-5BC7-4010-A7E9-8C264E8B35D4}" name="Column7773"/>
    <tableColumn id="7777" xr3:uid="{CA927CA9-6755-45B5-9C80-6DD1CC4CD2D7}" name="Column7774"/>
    <tableColumn id="7778" xr3:uid="{880C1D3E-C0B0-4D20-838D-AC2CC536B69C}" name="Column7775"/>
    <tableColumn id="7779" xr3:uid="{65F1AE85-7E20-4CC8-BA5C-71C21D997452}" name="Column7776"/>
    <tableColumn id="7780" xr3:uid="{A4304F2D-0B0F-4DDD-ADE2-3749EA3F7FEC}" name="Column7777"/>
    <tableColumn id="7781" xr3:uid="{8C3C09F9-1143-4FB9-AA4E-92EDD6C12623}" name="Column7778"/>
    <tableColumn id="7782" xr3:uid="{96744F55-EACB-4EC5-82A5-8919A2487BD1}" name="Column7779"/>
    <tableColumn id="7783" xr3:uid="{14A1CCDE-BD2E-4A1D-A662-733CECF886E2}" name="Column7780"/>
    <tableColumn id="7784" xr3:uid="{55D7074B-915E-40F7-83D3-154EE6C62385}" name="Column7781"/>
    <tableColumn id="7785" xr3:uid="{C5FA91BC-D2A1-41A7-B5DE-375161AAF437}" name="Column7782"/>
    <tableColumn id="7786" xr3:uid="{916B48FC-7F70-447C-9E81-0D5893135B90}" name="Column7783"/>
    <tableColumn id="7787" xr3:uid="{6332D681-8A60-4F43-860B-3F3C70C5EF7C}" name="Column7784"/>
    <tableColumn id="7788" xr3:uid="{E81FF373-0C17-4E5E-ABD7-89E40E04EAE4}" name="Column7785"/>
    <tableColumn id="7789" xr3:uid="{CF2793A4-7834-48D2-88C4-2552C61D6193}" name="Column7786"/>
    <tableColumn id="7790" xr3:uid="{440343EE-52CF-4683-BDE6-9282E7FF348A}" name="Column7787"/>
    <tableColumn id="7791" xr3:uid="{E276E588-5228-4771-9B30-13BC322A6119}" name="Column7788"/>
    <tableColumn id="7792" xr3:uid="{4938ED3A-309C-49F1-B28F-057E435CC738}" name="Column7789"/>
    <tableColumn id="7793" xr3:uid="{FAA8C0FB-ED76-4F5B-9614-D32D67F3F465}" name="Column7790"/>
    <tableColumn id="7794" xr3:uid="{FDA88EF8-A2B3-4762-9F65-65AC294620F0}" name="Column7791"/>
    <tableColumn id="7795" xr3:uid="{07950882-C311-4AA8-A02D-CE61F6605B92}" name="Column7792"/>
    <tableColumn id="7796" xr3:uid="{95952FDC-F008-467B-8477-6963201A6CA4}" name="Column7793"/>
    <tableColumn id="7797" xr3:uid="{AD28D631-E719-4075-9F82-5291336F4ADE}" name="Column7794"/>
    <tableColumn id="7798" xr3:uid="{DC72505B-F418-4189-8E72-353D86DEAD47}" name="Column7795"/>
    <tableColumn id="7799" xr3:uid="{C7F91EF0-EBD5-4B4F-8C3A-F23A353105B6}" name="Column7796"/>
    <tableColumn id="7800" xr3:uid="{AE54C403-5B42-4D6A-AB3A-31EF9980C8E2}" name="Column7797"/>
    <tableColumn id="7801" xr3:uid="{E7FA9FA3-AE63-461C-B556-134E1C816245}" name="Column7798"/>
    <tableColumn id="7802" xr3:uid="{2D4C0957-D6FF-40B1-A337-6D14EF5829F7}" name="Column7799"/>
    <tableColumn id="7803" xr3:uid="{6CFAE8D1-F5FE-43FD-A797-23132812E8EC}" name="Column7800"/>
    <tableColumn id="7804" xr3:uid="{4B2F4F28-E0F3-4CE3-B0B1-4DF1AD176FCF}" name="Column7801"/>
    <tableColumn id="7805" xr3:uid="{815330EE-618C-49CB-B3DB-E04D5ABA9F1B}" name="Column7802"/>
    <tableColumn id="7806" xr3:uid="{58ED4393-EE40-4B74-B361-1552B301AE88}" name="Column7803"/>
    <tableColumn id="7807" xr3:uid="{7602C93C-3B6C-4523-ADE6-488EF827E570}" name="Column7804"/>
    <tableColumn id="7808" xr3:uid="{6204080C-20AD-4721-9C83-EB8D99256B25}" name="Column7805"/>
    <tableColumn id="7809" xr3:uid="{B1E77C08-3315-4571-A87E-64A4202661DB}" name="Column7806"/>
    <tableColumn id="7810" xr3:uid="{18DF7475-BD03-4BA1-B40A-FBB579CEA997}" name="Column7807"/>
    <tableColumn id="7811" xr3:uid="{0A9BB9CC-2044-4DAB-BB01-A46688EF0E5B}" name="Column7808"/>
    <tableColumn id="7812" xr3:uid="{D23BB6BD-5D30-421C-82E6-0F0D97867BC3}" name="Column7809"/>
    <tableColumn id="7813" xr3:uid="{744B056F-D044-45BF-8B9F-EAD88324B6D6}" name="Column7810"/>
    <tableColumn id="7814" xr3:uid="{B14064EB-14E8-4AB3-B788-053006B4E1F0}" name="Column7811"/>
    <tableColumn id="7815" xr3:uid="{E4FE757F-EC3C-4BF3-9D6C-F8E97DF0BBF1}" name="Column7812"/>
    <tableColumn id="7816" xr3:uid="{98A5F3EF-1760-4F4B-BE04-A4F7F8605DBC}" name="Column7813"/>
    <tableColumn id="7817" xr3:uid="{AE35F30D-1265-466F-B8F0-CD4E69E66E0D}" name="Column7814"/>
    <tableColumn id="7818" xr3:uid="{D497E931-90D2-4668-A6FB-881A623C4598}" name="Column7815"/>
    <tableColumn id="7819" xr3:uid="{5887411E-A8C8-4CED-A57B-F95849F6A219}" name="Column7816"/>
    <tableColumn id="7820" xr3:uid="{81957BBA-32DB-496B-9D10-826CAD84A17A}" name="Column7817"/>
    <tableColumn id="7821" xr3:uid="{2F097A3E-087F-4958-B6FF-89ECE8193695}" name="Column7818"/>
    <tableColumn id="7822" xr3:uid="{BBDC7DB0-777C-4F1B-91AC-402151FF0B80}" name="Column7819"/>
    <tableColumn id="7823" xr3:uid="{8164DC83-1DCB-44A1-A13A-AA0CA1ECE500}" name="Column7820"/>
    <tableColumn id="7824" xr3:uid="{15E23305-BD14-4B72-A3F2-830E15B39AAD}" name="Column7821"/>
    <tableColumn id="7825" xr3:uid="{12924FE5-DCE3-4BF9-8325-BCF11A207898}" name="Column7822"/>
    <tableColumn id="7826" xr3:uid="{4D397D6D-DD4A-4615-88C3-1B59843D85A7}" name="Column7823"/>
    <tableColumn id="7827" xr3:uid="{E175C5FD-8125-4743-948B-0B51FA1C8157}" name="Column7824"/>
    <tableColumn id="7828" xr3:uid="{824B28B6-2517-4C2B-A5B5-9E7F68A2A3CC}" name="Column7825"/>
    <tableColumn id="7829" xr3:uid="{C44AA503-3410-48F9-B70C-D6824C56BAA8}" name="Column7826"/>
    <tableColumn id="7830" xr3:uid="{4108C2BF-D70C-4A4D-8C06-6FDE24A13214}" name="Column7827"/>
    <tableColumn id="7831" xr3:uid="{93FAC67F-A106-4D67-92B1-55BE27A6EC7C}" name="Column7828"/>
    <tableColumn id="7832" xr3:uid="{283DC75C-3A93-496B-9CF1-71A82290DD46}" name="Column7829"/>
    <tableColumn id="7833" xr3:uid="{0C9208B6-534F-444E-87E9-2D495ED654D4}" name="Column7830"/>
    <tableColumn id="7834" xr3:uid="{DE8F616C-F743-42D7-9BC3-7D0836A613BA}" name="Column7831"/>
    <tableColumn id="7835" xr3:uid="{7BACB957-8975-46F5-BC67-EDD1A4ED2F6E}" name="Column7832"/>
    <tableColumn id="7836" xr3:uid="{19C9F394-2720-4BE7-8EBA-910D447D690C}" name="Column7833"/>
    <tableColumn id="7837" xr3:uid="{E2A322C1-E6F9-42FE-848F-A1158E42045B}" name="Column7834"/>
    <tableColumn id="7838" xr3:uid="{9E37E35D-7A63-4535-9C3A-F7B621B47F8F}" name="Column7835"/>
    <tableColumn id="7839" xr3:uid="{EB99189B-4B65-41ED-AC67-4B342406A8E1}" name="Column7836"/>
    <tableColumn id="7840" xr3:uid="{EA16C7A9-2831-4EF6-B182-625BA568373A}" name="Column7837"/>
    <tableColumn id="7841" xr3:uid="{894A2474-46E2-4D28-AA68-247FCBBE4938}" name="Column7838"/>
    <tableColumn id="7842" xr3:uid="{5A6B2B76-2CAC-4524-8A27-85BB280F6D58}" name="Column7839"/>
    <tableColumn id="7843" xr3:uid="{D7F39F02-4BBD-4446-B13A-F1E4433BF23C}" name="Column7840"/>
    <tableColumn id="7844" xr3:uid="{A8575377-03B2-4A04-9540-7697917DE95E}" name="Column7841"/>
    <tableColumn id="7845" xr3:uid="{5837EE9D-B550-4973-B56C-8FA316B5F615}" name="Column7842"/>
    <tableColumn id="7846" xr3:uid="{E78E812C-E6FA-49AA-AB02-9CFEAFE619A1}" name="Column7843"/>
    <tableColumn id="7847" xr3:uid="{03FA4C1F-4486-4AFE-B315-F385AD5FBE9D}" name="Column7844"/>
    <tableColumn id="7848" xr3:uid="{DCD7666C-C0B8-4B7A-9D70-E0BDE9DD7CDB}" name="Column7845"/>
    <tableColumn id="7849" xr3:uid="{DA585FC4-21A5-49BD-9433-9C43437E47B7}" name="Column7846"/>
    <tableColumn id="7850" xr3:uid="{A40922E9-4227-405A-9207-C26D8C532413}" name="Column7847"/>
    <tableColumn id="7851" xr3:uid="{BD114FC8-BBC9-4218-A674-5216EA1514AA}" name="Column7848"/>
    <tableColumn id="7852" xr3:uid="{A37358E3-E457-4560-A77C-5BDE10AD6FF6}" name="Column7849"/>
    <tableColumn id="7853" xr3:uid="{E54852FC-F074-4475-AF6F-FD4587A90553}" name="Column7850"/>
    <tableColumn id="7854" xr3:uid="{92F23912-07B3-46EA-84D5-01368DADE024}" name="Column7851"/>
    <tableColumn id="7855" xr3:uid="{F3D7D55D-8C32-4645-905B-B93D87850FF3}" name="Column7852"/>
    <tableColumn id="7856" xr3:uid="{961A7CC2-156E-4FC9-9EC8-C53E759BB584}" name="Column7853"/>
    <tableColumn id="7857" xr3:uid="{0A40244E-A55B-477F-8992-2A640366350D}" name="Column7854"/>
    <tableColumn id="7858" xr3:uid="{CEB484D0-360C-4E93-A782-C547EC084044}" name="Column7855"/>
    <tableColumn id="7859" xr3:uid="{84B3E88D-894B-4DCE-A10D-0439EE21F075}" name="Column7856"/>
    <tableColumn id="7860" xr3:uid="{EA02A79A-12C2-4CAE-B72C-1A33C85AF5E3}" name="Column7857"/>
    <tableColumn id="7861" xr3:uid="{033FD1C2-4D94-4CA2-9FB7-5E1FCEC76EC0}" name="Column7858"/>
    <tableColumn id="7862" xr3:uid="{194706D2-90C1-4702-8B17-92AC0758F9D1}" name="Column7859"/>
    <tableColumn id="7863" xr3:uid="{71E2AD2B-5E54-42BF-A286-F685E6F6D2CB}" name="Column7860"/>
    <tableColumn id="7864" xr3:uid="{1DAFA5B5-1C38-4201-8E97-B4828FCB2A6C}" name="Column7861"/>
    <tableColumn id="7865" xr3:uid="{A03AD7A4-AB85-4CE5-AAEE-B196D96849B1}" name="Column7862"/>
    <tableColumn id="7866" xr3:uid="{34B08603-D9C6-4A43-8B19-DAF9BD8ECC6E}" name="Column7863"/>
    <tableColumn id="7867" xr3:uid="{F43C48ED-07AA-4E10-A409-CC577CD38366}" name="Column7864"/>
    <tableColumn id="7868" xr3:uid="{EC13311C-A588-4D5B-AAF7-BE545343FAEC}" name="Column7865"/>
    <tableColumn id="7869" xr3:uid="{3ABBEE58-9D29-475F-85A1-722A633979A3}" name="Column7866"/>
    <tableColumn id="7870" xr3:uid="{4F0A2763-C243-4132-9634-25AE8571D442}" name="Column7867"/>
    <tableColumn id="7871" xr3:uid="{8C5CA68C-EC8C-47C4-8AC4-08356B8D5789}" name="Column7868"/>
    <tableColumn id="7872" xr3:uid="{2CB42FA2-0FFC-4584-BF66-8109D1A52189}" name="Column7869"/>
    <tableColumn id="7873" xr3:uid="{BA6C914A-B23C-4074-847F-1D8E61561FCA}" name="Column7870"/>
    <tableColumn id="7874" xr3:uid="{24B2F694-1442-49CC-81B9-32F63906F230}" name="Column7871"/>
    <tableColumn id="7875" xr3:uid="{F57C3C43-AE81-4110-B3C1-EC10207D18B7}" name="Column7872"/>
    <tableColumn id="7876" xr3:uid="{207F30F5-FBF7-4C70-A77A-563BD768585B}" name="Column7873"/>
    <tableColumn id="7877" xr3:uid="{1C7DCC05-5101-472F-A173-E43D9496FBC0}" name="Column7874"/>
    <tableColumn id="7878" xr3:uid="{0C769AEC-BED8-4353-943F-91563A6327A1}" name="Column7875"/>
    <tableColumn id="7879" xr3:uid="{0685E6C2-C6EB-42D6-B9D2-F6C52B29D9B7}" name="Column7876"/>
    <tableColumn id="7880" xr3:uid="{0867A235-B2E7-4C32-9232-6C25F14FB4E8}" name="Column7877"/>
    <tableColumn id="7881" xr3:uid="{FE6622DF-FE6D-4E80-B991-1658B2B9F929}" name="Column7878"/>
    <tableColumn id="7882" xr3:uid="{5621F7AF-DA5F-45B6-B4DF-7999B021B838}" name="Column7879"/>
    <tableColumn id="7883" xr3:uid="{518C24B4-96AD-4A5B-ACB8-22ADC72C3DFC}" name="Column7880"/>
    <tableColumn id="7884" xr3:uid="{2BD251C0-3E43-448D-BC8F-06C22AF177FF}" name="Column7881"/>
    <tableColumn id="7885" xr3:uid="{346B6FF9-FAA2-44C0-898C-7F08894A83B5}" name="Column7882"/>
    <tableColumn id="7886" xr3:uid="{078253F6-C420-44B0-BDBB-B5F4445E987B}" name="Column7883"/>
    <tableColumn id="7887" xr3:uid="{202F2A3A-C729-4C5B-8A73-E579B116DEB1}" name="Column7884"/>
    <tableColumn id="7888" xr3:uid="{4D22349E-9495-4EFF-9044-CA4D8FEB10BC}" name="Column7885"/>
    <tableColumn id="7889" xr3:uid="{F95C8F38-FDA8-4394-AB86-AD94AED3C18C}" name="Column7886"/>
    <tableColumn id="7890" xr3:uid="{8733CB2F-6628-49FD-A3C4-10C9392BA799}" name="Column7887"/>
    <tableColumn id="7891" xr3:uid="{16BC4FA0-A8A1-4EAF-AA40-A8842B74022F}" name="Column7888"/>
    <tableColumn id="7892" xr3:uid="{C19524B9-9DE2-4C97-9532-8132962BA348}" name="Column7889"/>
    <tableColumn id="7893" xr3:uid="{AD61E55F-42BA-4E1B-BFBE-74485AB93A77}" name="Column7890"/>
    <tableColumn id="7894" xr3:uid="{25EF5604-4687-450F-904B-3411894BF08D}" name="Column7891"/>
    <tableColumn id="7895" xr3:uid="{B49D695C-A461-4DEF-B37C-AC36A223FE20}" name="Column7892"/>
    <tableColumn id="7896" xr3:uid="{47B5A935-7961-4D3F-ADC7-3AD8749A7CDB}" name="Column7893"/>
    <tableColumn id="7897" xr3:uid="{DDB4A2CC-BD52-42AC-8DC9-2A7B048164BD}" name="Column7894"/>
    <tableColumn id="7898" xr3:uid="{9C44E889-AC83-48D4-A85C-BA961D2E629E}" name="Column7895"/>
    <tableColumn id="7899" xr3:uid="{C2708D13-2F6F-44C1-84A2-7D3021CB32E4}" name="Column7896"/>
    <tableColumn id="7900" xr3:uid="{3CB107C8-ED7A-4431-BCF4-80296D5BD309}" name="Column7897"/>
    <tableColumn id="7901" xr3:uid="{03F19A82-6B21-40D9-9B9D-35465E0D72A6}" name="Column7898"/>
    <tableColumn id="7902" xr3:uid="{D6A85522-25FC-46D2-AD61-54B6DC9C2FC3}" name="Column7899"/>
    <tableColumn id="7903" xr3:uid="{6F11F15E-3E12-4749-874C-814EA1911837}" name="Column7900"/>
    <tableColumn id="7904" xr3:uid="{6DA82B9C-D36C-4EEC-9EC7-4CF6966792EE}" name="Column7901"/>
    <tableColumn id="7905" xr3:uid="{874BB4E1-A22E-401C-AED7-18EC73DF14EA}" name="Column7902"/>
    <tableColumn id="7906" xr3:uid="{582AD12C-7E46-4928-A3D4-6D3C8F4ED0D1}" name="Column7903"/>
    <tableColumn id="7907" xr3:uid="{83D8AB7F-0661-46E0-8EAF-0B118C34369F}" name="Column7904"/>
    <tableColumn id="7908" xr3:uid="{BA2159DD-3696-4E43-82C7-D62EE49913BA}" name="Column7905"/>
    <tableColumn id="7909" xr3:uid="{5460448B-B753-4655-8C42-9C12467BA7DE}" name="Column7906"/>
    <tableColumn id="7910" xr3:uid="{F6B37325-46C6-4C20-8BE9-3D6A946DC2EE}" name="Column7907"/>
    <tableColumn id="7911" xr3:uid="{9CCA87C5-01EB-4EBB-89B2-BF39ADF69F21}" name="Column7908"/>
    <tableColumn id="7912" xr3:uid="{75D1C880-7C9E-421A-BB2D-E4BA4CD0EBE4}" name="Column7909"/>
    <tableColumn id="7913" xr3:uid="{984DF61D-51F4-46BF-8B57-DE74C7940DC5}" name="Column7910"/>
    <tableColumn id="7914" xr3:uid="{EE25ECB1-72EA-4B27-9DC3-D3DA4FB701B1}" name="Column7911"/>
    <tableColumn id="7915" xr3:uid="{CF35F687-33B0-44B3-9C0D-1C40FC58BB56}" name="Column7912"/>
    <tableColumn id="7916" xr3:uid="{99E87B73-91F7-4445-B030-C5918AC5E2EC}" name="Column7913"/>
    <tableColumn id="7917" xr3:uid="{20EBB605-8438-4260-A613-28E45184CB46}" name="Column7914"/>
    <tableColumn id="7918" xr3:uid="{9B3D997E-16D2-4953-AB7B-268FDE69AA6F}" name="Column7915"/>
    <tableColumn id="7919" xr3:uid="{954BF6D7-B18C-482C-8C89-276C415A9E6E}" name="Column7916"/>
    <tableColumn id="7920" xr3:uid="{068B5BF5-F51B-420B-8D0A-85DF3502256B}" name="Column7917"/>
    <tableColumn id="7921" xr3:uid="{949CFCB5-0D47-4785-911C-8BEE07D4EB47}" name="Column7918"/>
    <tableColumn id="7922" xr3:uid="{94A6A2FB-A48F-464B-ABB0-E4E55E866E13}" name="Column7919"/>
    <tableColumn id="7923" xr3:uid="{E177FC18-6C4A-493A-A6EB-07A1E81DC84A}" name="Column7920"/>
    <tableColumn id="7924" xr3:uid="{BF943BFB-30E5-4770-ABDA-9EEC833EF776}" name="Column7921"/>
    <tableColumn id="7925" xr3:uid="{ABE5CA02-0285-4C13-95DC-FA05B29E493F}" name="Column7922"/>
    <tableColumn id="7926" xr3:uid="{2AEFFEB3-F1A4-4667-A806-F0613A10AA61}" name="Column7923"/>
    <tableColumn id="7927" xr3:uid="{12973307-B05E-4162-B43B-6B8EAC4CB90F}" name="Column7924"/>
    <tableColumn id="7928" xr3:uid="{5F81F4DA-631E-4B85-AAAB-F70D0B028C50}" name="Column7925"/>
    <tableColumn id="7929" xr3:uid="{B8D2A82C-E8A9-4ACF-9AB4-4CA5AC8C0160}" name="Column7926"/>
    <tableColumn id="7930" xr3:uid="{9BD74876-56CC-48A1-B529-D0B0E2DF4C37}" name="Column7927"/>
    <tableColumn id="7931" xr3:uid="{716BCA87-F8A9-41BC-B6F9-A9636A58511D}" name="Column7928"/>
    <tableColumn id="7932" xr3:uid="{50872E48-8E64-4840-886D-5A5A5B0EB8C0}" name="Column7929"/>
    <tableColumn id="7933" xr3:uid="{A5B6CC87-2E54-4123-BAED-4D8B257E0A47}" name="Column7930"/>
    <tableColumn id="7934" xr3:uid="{296750C8-46AE-44E8-9D6D-6A70914EA3BC}" name="Column7931"/>
    <tableColumn id="7935" xr3:uid="{C97F3A12-3E5E-49F6-A593-710C81CEF4CE}" name="Column7932"/>
    <tableColumn id="7936" xr3:uid="{BFB3C935-50F6-4FB4-B678-2B3499DE3641}" name="Column7933"/>
    <tableColumn id="7937" xr3:uid="{565FFB26-48D7-42B3-AB05-A9344AD154AB}" name="Column7934"/>
    <tableColumn id="7938" xr3:uid="{40403958-F863-4CCA-AECB-0962A5E1E9C4}" name="Column7935"/>
    <tableColumn id="7939" xr3:uid="{EAAEF763-26F0-4524-931A-5EE7F7918922}" name="Column7936"/>
    <tableColumn id="7940" xr3:uid="{4B0BEAB3-6938-4382-8297-3A7F4F7216C9}" name="Column7937"/>
    <tableColumn id="7941" xr3:uid="{F5E869E9-2EEB-4C65-9C4A-FFEBB04E20FC}" name="Column7938"/>
    <tableColumn id="7942" xr3:uid="{DD8D0C56-5723-4B25-AD49-49AEF2018B9A}" name="Column7939"/>
    <tableColumn id="7943" xr3:uid="{A39844C8-CBD3-491D-B65E-93A40E7F3DCF}" name="Column7940"/>
    <tableColumn id="7944" xr3:uid="{F007C108-FBBD-4C6F-965C-9DD4E380EDC1}" name="Column7941"/>
    <tableColumn id="7945" xr3:uid="{492B938E-BF1B-4BB4-9909-8E956B96B096}" name="Column7942"/>
    <tableColumn id="7946" xr3:uid="{2AD08363-FAD6-470F-9C2D-C57F9D2D8FDA}" name="Column7943"/>
    <tableColumn id="7947" xr3:uid="{C3772794-3614-43DD-8E21-28986FC6C3FC}" name="Column7944"/>
    <tableColumn id="7948" xr3:uid="{27AC1926-FCE8-4B06-B0D8-143FFFCD5B44}" name="Column7945"/>
    <tableColumn id="7949" xr3:uid="{0B28082D-652B-443A-9780-873176D79575}" name="Column7946"/>
    <tableColumn id="7950" xr3:uid="{EAFD24E0-0F21-4BEA-B58B-26D3E4B5194D}" name="Column7947"/>
    <tableColumn id="7951" xr3:uid="{CB00799E-271E-4FEA-ADA3-28DE510EEB8B}" name="Column7948"/>
    <tableColumn id="7952" xr3:uid="{AAC3DF64-F680-4D71-8384-5104558A20A7}" name="Column7949"/>
    <tableColumn id="7953" xr3:uid="{527C29C6-A012-42AF-B635-ED6AABF0CE40}" name="Column7950"/>
    <tableColumn id="7954" xr3:uid="{E9DB1C48-44D9-4CDB-AE6A-25E71F21DC76}" name="Column7951"/>
    <tableColumn id="7955" xr3:uid="{2B1ACCAE-CD8A-4E52-8331-EC893239EB8C}" name="Column7952"/>
    <tableColumn id="7956" xr3:uid="{9F3DD149-9966-4614-8A86-2D9762B2259F}" name="Column7953"/>
    <tableColumn id="7957" xr3:uid="{09E6EACA-F3DC-4D1F-B986-1F0ADC450279}" name="Column7954"/>
    <tableColumn id="7958" xr3:uid="{903FD13D-183D-448D-8263-6075F479F238}" name="Column7955"/>
    <tableColumn id="7959" xr3:uid="{5A0A652E-9010-4289-9445-C0340F74D1C3}" name="Column7956"/>
    <tableColumn id="7960" xr3:uid="{151ACBEF-EB89-4645-AA23-7CD7847FCDC5}" name="Column7957"/>
    <tableColumn id="7961" xr3:uid="{DFB453F9-E0F2-4E81-B2E8-FB020C4B5D9F}" name="Column7958"/>
    <tableColumn id="7962" xr3:uid="{2EE01A19-80F9-4AB9-BB1F-09405C54407A}" name="Column7959"/>
    <tableColumn id="7963" xr3:uid="{E081BC35-8BEA-4945-B301-140AE4BB5699}" name="Column7960"/>
    <tableColumn id="7964" xr3:uid="{03C32669-B039-4168-8AAC-F8449782C8DA}" name="Column7961"/>
    <tableColumn id="7965" xr3:uid="{F7B59B33-E341-4EED-B925-18C5916652F9}" name="Column7962"/>
    <tableColumn id="7966" xr3:uid="{4DC2F8D1-6F1D-41E7-AF34-9AACA69174F0}" name="Column7963"/>
    <tableColumn id="7967" xr3:uid="{F4D9E920-017E-4EF4-98B2-3C033619E2B9}" name="Column7964"/>
    <tableColumn id="7968" xr3:uid="{A5D303CC-5AFC-4A0E-B706-9CA2DDCD57BA}" name="Column7965"/>
    <tableColumn id="7969" xr3:uid="{CB107B45-2280-4D00-B9C7-A4D22A576DE0}" name="Column7966"/>
    <tableColumn id="7970" xr3:uid="{2DF81C04-D33D-48DC-941A-B25C78E6DC8C}" name="Column7967"/>
    <tableColumn id="7971" xr3:uid="{A22B9609-CF00-436C-BED4-7A59D2472D14}" name="Column7968"/>
    <tableColumn id="7972" xr3:uid="{FC760EFE-5265-4D83-9906-2CA38A29699A}" name="Column7969"/>
    <tableColumn id="7973" xr3:uid="{5C745F9D-18D4-4EED-84D2-5798A4468EC6}" name="Column7970"/>
    <tableColumn id="7974" xr3:uid="{AA7B6B3C-7FCB-4D61-8ED5-880E70B2DCA0}" name="Column7971"/>
    <tableColumn id="7975" xr3:uid="{5A7DA272-6123-4154-8D86-01DD5C7204BC}" name="Column7972"/>
    <tableColumn id="7976" xr3:uid="{C59FB44D-DF58-4F6D-8869-8B72CDED6D74}" name="Column7973"/>
    <tableColumn id="7977" xr3:uid="{DE06D92F-9E23-49A9-B663-E3F333CAFB01}" name="Column7974"/>
    <tableColumn id="7978" xr3:uid="{6D6E55A5-BE1A-4159-8782-C7267E8310B1}" name="Column7975"/>
    <tableColumn id="7979" xr3:uid="{E85570D1-80CF-44E7-BA52-DA34994739E2}" name="Column7976"/>
    <tableColumn id="7980" xr3:uid="{544AB812-450C-445B-B7F5-1F27DDB11FC2}" name="Column7977"/>
    <tableColumn id="7981" xr3:uid="{49D23133-80EE-4F6F-B26F-C9BCC1D76684}" name="Column7978"/>
    <tableColumn id="7982" xr3:uid="{1CA085C6-4EFD-4DD4-94A5-70195F75A5F9}" name="Column7979"/>
    <tableColumn id="7983" xr3:uid="{7DA33E8D-A059-4609-96AF-C22587286A21}" name="Column7980"/>
    <tableColumn id="7984" xr3:uid="{25323349-BA1E-423A-8BC5-C4F04DF0946E}" name="Column7981"/>
    <tableColumn id="7985" xr3:uid="{E5C5F556-3B40-4663-BE98-735B0E324F24}" name="Column7982"/>
    <tableColumn id="7986" xr3:uid="{16C820FB-4563-4D1C-BD7F-8A8C5DB86B7F}" name="Column7983"/>
    <tableColumn id="7987" xr3:uid="{2566992C-A4E8-46D7-B1F8-291A570E184F}" name="Column7984"/>
    <tableColumn id="7988" xr3:uid="{C7131291-CB53-4DAD-B204-872E6806057D}" name="Column7985"/>
    <tableColumn id="7989" xr3:uid="{E91FDA68-B56C-41E5-9399-E025D7A9301A}" name="Column7986"/>
    <tableColumn id="7990" xr3:uid="{610775E0-2851-4D59-A7D0-1FC3499D0DAA}" name="Column7987"/>
    <tableColumn id="7991" xr3:uid="{3984EE14-D243-4EF4-A28D-79DC9D000ACE}" name="Column7988"/>
    <tableColumn id="7992" xr3:uid="{0242B703-9418-4AD2-85BE-733A4787A1EF}" name="Column7989"/>
    <tableColumn id="7993" xr3:uid="{C76B4E24-8176-4D9A-9FD5-17928FBAD503}" name="Column7990"/>
    <tableColumn id="7994" xr3:uid="{DEF9A443-74E4-4F12-AE3F-F165491C953E}" name="Column7991"/>
    <tableColumn id="7995" xr3:uid="{617FA6DE-3BEC-4DE8-BA0F-BDB12424EB3F}" name="Column7992"/>
    <tableColumn id="7996" xr3:uid="{8CC86D8E-1BDA-4C3F-9BAD-212E6450D479}" name="Column7993"/>
    <tableColumn id="7997" xr3:uid="{3414A56C-26FD-4488-A567-FEE3D484B446}" name="Column7994"/>
    <tableColumn id="7998" xr3:uid="{79DF7677-E588-4E3A-BB32-5596ABC54B26}" name="Column7995"/>
    <tableColumn id="7999" xr3:uid="{18823A4C-C5D0-4E78-A950-DDA768EAE2D9}" name="Column7996"/>
    <tableColumn id="8000" xr3:uid="{E823AE8D-7AED-47FB-A257-151D3218604C}" name="Column7997"/>
    <tableColumn id="8001" xr3:uid="{4E1C0552-BBA8-4A27-AC4E-0C4FB75F08D0}" name="Column7998"/>
    <tableColumn id="8002" xr3:uid="{D17AAB4A-140C-4623-9DA4-E19CDD74138C}" name="Column7999"/>
    <tableColumn id="8003" xr3:uid="{2E349BD3-203A-4FFE-A580-43004DD7521F}" name="Column8000"/>
    <tableColumn id="8004" xr3:uid="{39630DD5-1652-4BF4-8F01-67B4CB1EC895}" name="Column8001"/>
    <tableColumn id="8005" xr3:uid="{0431AD58-A53C-46DE-A560-21DC2ED48A12}" name="Column8002"/>
    <tableColumn id="8006" xr3:uid="{FDE54DAF-6FFF-411E-9AA8-A30B2ED01D40}" name="Column8003"/>
    <tableColumn id="8007" xr3:uid="{5B4BE9AC-2A65-4D65-9017-17C4FAD7E1EC}" name="Column8004"/>
    <tableColumn id="8008" xr3:uid="{CF06386E-1AAA-46EF-AFC0-04BFF779BBF2}" name="Column8005"/>
    <tableColumn id="8009" xr3:uid="{E383BCE2-AC51-4AEF-8605-40CFCAB15428}" name="Column8006"/>
    <tableColumn id="8010" xr3:uid="{E0DF134A-9830-40B3-8E8B-316011675740}" name="Column8007"/>
    <tableColumn id="8011" xr3:uid="{916B7CC9-73FD-4CA0-BCE3-52A7EA545CAC}" name="Column8008"/>
    <tableColumn id="8012" xr3:uid="{25674600-4568-45E0-A285-038D7F211BE4}" name="Column8009"/>
    <tableColumn id="8013" xr3:uid="{1E341A86-221A-43C9-970D-1700FF4ACB32}" name="Column8010"/>
    <tableColumn id="8014" xr3:uid="{733990A0-1144-488E-BB20-863E46BA671F}" name="Column8011"/>
    <tableColumn id="8015" xr3:uid="{7651D922-AC81-434A-8FEB-925B9BDA9860}" name="Column8012"/>
    <tableColumn id="8016" xr3:uid="{F428D89D-3E81-4DC2-B534-90101C05FDAE}" name="Column8013"/>
    <tableColumn id="8017" xr3:uid="{4BCD45F9-3C99-48FC-BC9C-1FAF693F18F2}" name="Column8014"/>
    <tableColumn id="8018" xr3:uid="{5FE205D8-4C32-475F-86C3-4A2A2B72E141}" name="Column8015"/>
    <tableColumn id="8019" xr3:uid="{5B7F2386-07E9-4327-BD9B-6183A60821FE}" name="Column8016"/>
    <tableColumn id="8020" xr3:uid="{1C1D2CB4-0439-446E-9F91-A0DE3832B33A}" name="Column8017"/>
    <tableColumn id="8021" xr3:uid="{520BD249-E4CC-417D-A7CC-86616801AA9D}" name="Column8018"/>
    <tableColumn id="8022" xr3:uid="{07BD72CD-A683-46D9-9291-A4C6831C2775}" name="Column8019"/>
    <tableColumn id="8023" xr3:uid="{BD1765F4-6719-4136-96AB-6A2DA3165039}" name="Column8020"/>
    <tableColumn id="8024" xr3:uid="{6ADF909E-0E39-429B-A660-D2F8B65B5993}" name="Column8021"/>
    <tableColumn id="8025" xr3:uid="{E4E26576-1CC9-4AA5-BD68-2CE9F47B4B82}" name="Column8022"/>
    <tableColumn id="8026" xr3:uid="{AE87C168-06A5-45BD-8299-0FAD1EE809D7}" name="Column8023"/>
    <tableColumn id="8027" xr3:uid="{4D548B17-DE26-4B9F-A23C-E5F6ECCDE8A9}" name="Column8024"/>
    <tableColumn id="8028" xr3:uid="{F45BF6C4-5730-47E5-B0A4-5AE0564A5537}" name="Column8025"/>
    <tableColumn id="8029" xr3:uid="{024A7CB2-0A98-4752-81CD-AD28FBD83443}" name="Column8026"/>
    <tableColumn id="8030" xr3:uid="{1343D959-E4CF-4A6C-A483-563D03B91F10}" name="Column8027"/>
    <tableColumn id="8031" xr3:uid="{C6C3A818-7EC6-4EE7-9750-7294BADD592D}" name="Column8028"/>
    <tableColumn id="8032" xr3:uid="{B8F3DB76-C3AC-4F4F-AD3C-4DF8CE80FD5B}" name="Column8029"/>
    <tableColumn id="8033" xr3:uid="{BD2D54AB-6575-4A20-8760-D2A8D5313136}" name="Column8030"/>
    <tableColumn id="8034" xr3:uid="{AAC1A6A0-3F5F-4B3A-A724-C3EC37359C5F}" name="Column8031"/>
    <tableColumn id="8035" xr3:uid="{E237EE63-9485-4CBD-87F1-2DCCA578B578}" name="Column8032"/>
    <tableColumn id="8036" xr3:uid="{A4797346-A45E-4758-8D1F-48860ABCBB63}" name="Column8033"/>
    <tableColumn id="8037" xr3:uid="{F0B6A12E-FBBD-46F6-971D-B4A3853ABA8D}" name="Column8034"/>
    <tableColumn id="8038" xr3:uid="{96B50DB3-4619-4673-B9F3-079DF4B62877}" name="Column8035"/>
    <tableColumn id="8039" xr3:uid="{21580043-7952-4D9C-84F9-7178EBE46930}" name="Column8036"/>
    <tableColumn id="8040" xr3:uid="{F4D52457-6588-4034-9BDA-9F471D9908A9}" name="Column8037"/>
    <tableColumn id="8041" xr3:uid="{1C364650-FD50-42F7-B9AD-89363800A665}" name="Column8038"/>
    <tableColumn id="8042" xr3:uid="{2BBA0D20-5C5A-4711-A5D2-B988143A9802}" name="Column8039"/>
    <tableColumn id="8043" xr3:uid="{756DA74D-C3C6-4D4A-9ED4-2C9EE6E2163A}" name="Column8040"/>
    <tableColumn id="8044" xr3:uid="{82F7491F-29A1-4A9F-9890-8709E8B67B46}" name="Column8041"/>
    <tableColumn id="8045" xr3:uid="{11A7BBBF-8A6A-4741-966E-C02B98F9B8B9}" name="Column8042"/>
    <tableColumn id="8046" xr3:uid="{9D90FCF5-74C5-47C0-AF8C-DD67B391EEC1}" name="Column8043"/>
    <tableColumn id="8047" xr3:uid="{649CC5A8-1045-47C6-AA94-86AAFCBEBFD9}" name="Column8044"/>
    <tableColumn id="8048" xr3:uid="{0AEA573C-73E6-4BFE-867B-F538113010DE}" name="Column8045"/>
    <tableColumn id="8049" xr3:uid="{E0B97C48-2370-4ECB-A41C-18C43D672FDF}" name="Column8046"/>
    <tableColumn id="8050" xr3:uid="{AD2F5ACF-C563-477B-ABFD-DFCCBCFA92EF}" name="Column8047"/>
    <tableColumn id="8051" xr3:uid="{5D2073A9-1DDA-4B54-8B61-4E580CC348EF}" name="Column8048"/>
    <tableColumn id="8052" xr3:uid="{D1BF5CA6-8F7B-4D62-BB39-2D1A2D7A7ACD}" name="Column8049"/>
    <tableColumn id="8053" xr3:uid="{015029E6-58E3-487C-8ADA-81499DB8D22C}" name="Column8050"/>
    <tableColumn id="8054" xr3:uid="{C03139E6-1BC6-473C-8390-C8C53F48470B}" name="Column8051"/>
    <tableColumn id="8055" xr3:uid="{EBC76957-A1A9-4BA5-A4A7-05D69773BE9A}" name="Column8052"/>
    <tableColumn id="8056" xr3:uid="{6C832774-4A16-4D82-8E5E-0054CCB8EFF0}" name="Column8053"/>
    <tableColumn id="8057" xr3:uid="{6D7E21D7-C703-4F12-9B4B-68F2ABA4C503}" name="Column8054"/>
    <tableColumn id="8058" xr3:uid="{83B0B0FE-44AC-4537-AC9D-06DFFBF24515}" name="Column8055"/>
    <tableColumn id="8059" xr3:uid="{3B9EBA58-6431-4B81-AE94-09919B36465D}" name="Column8056"/>
    <tableColumn id="8060" xr3:uid="{6C520CBE-091F-4D55-A463-017BC90A6B41}" name="Column8057"/>
    <tableColumn id="8061" xr3:uid="{D3E646A4-284C-4A9A-9E66-0D49F057D689}" name="Column8058"/>
    <tableColumn id="8062" xr3:uid="{29C3F1EA-810A-40B9-97AA-D3244B0759D5}" name="Column8059"/>
    <tableColumn id="8063" xr3:uid="{16838A5D-3B06-4893-A2D5-40B31201E1CC}" name="Column8060"/>
    <tableColumn id="8064" xr3:uid="{B61636D6-C8AF-4A64-BA6F-05DC808F40DD}" name="Column8061"/>
    <tableColumn id="8065" xr3:uid="{0C540934-A55E-4BD5-8CF5-A97CEB82FE96}" name="Column8062"/>
    <tableColumn id="8066" xr3:uid="{170CA8E8-21AA-4256-90B0-28B0793E2C53}" name="Column8063"/>
    <tableColumn id="8067" xr3:uid="{07194CEC-9660-4475-8D69-AD51DA2575C4}" name="Column8064"/>
    <tableColumn id="8068" xr3:uid="{DC6BBE7B-8FE4-4EFE-B28F-85E21FA537CD}" name="Column8065"/>
    <tableColumn id="8069" xr3:uid="{2804495A-1A5F-4A1C-B212-4CACCA6849AF}" name="Column8066"/>
    <tableColumn id="8070" xr3:uid="{4BD43793-DF2C-4099-94B3-B5FA2EFD35F4}" name="Column8067"/>
    <tableColumn id="8071" xr3:uid="{55B15BC4-0CAD-4D37-B85D-239727437A60}" name="Column8068"/>
    <tableColumn id="8072" xr3:uid="{00BA0758-C977-4762-A05F-63A90B664FFC}" name="Column8069"/>
    <tableColumn id="8073" xr3:uid="{AB441FD8-66F8-4746-928A-974AF07F5BFC}" name="Column8070"/>
    <tableColumn id="8074" xr3:uid="{64042520-DA2E-4D9D-AD88-03AF38901C7D}" name="Column8071"/>
    <tableColumn id="8075" xr3:uid="{0064415F-056C-4A6A-B0BB-016C23D26572}" name="Column8072"/>
    <tableColumn id="8076" xr3:uid="{A436A8C3-07CC-4AC7-B2CB-79E139882AF7}" name="Column8073"/>
    <tableColumn id="8077" xr3:uid="{9318B5DE-6D43-438A-8556-52B0166456D9}" name="Column8074"/>
    <tableColumn id="8078" xr3:uid="{E14F202B-6298-492C-9E8B-AB0C39090E93}" name="Column8075"/>
    <tableColumn id="8079" xr3:uid="{D34967AB-58DC-44AE-B2D9-10D4A6F7AC16}" name="Column8076"/>
    <tableColumn id="8080" xr3:uid="{3C989C25-2473-4D8A-A15A-04E9BCDAC7E0}" name="Column8077"/>
    <tableColumn id="8081" xr3:uid="{F715ACF0-29E4-46DA-8246-F8CB06266F50}" name="Column8078"/>
    <tableColumn id="8082" xr3:uid="{03215D6B-6DF9-45B7-B687-6E361B04B3B5}" name="Column8079"/>
    <tableColumn id="8083" xr3:uid="{30333C6A-30D0-4A02-AE80-B0C5804B6BB7}" name="Column8080"/>
    <tableColumn id="8084" xr3:uid="{8EB42357-4CE9-4239-B16F-0EF2D9FFE260}" name="Column8081"/>
    <tableColumn id="8085" xr3:uid="{30C56B1F-CA48-45D8-8659-810B1370A5C3}" name="Column8082"/>
    <tableColumn id="8086" xr3:uid="{74B5C3BC-6633-4821-9D9D-47F13374310A}" name="Column8083"/>
    <tableColumn id="8087" xr3:uid="{94C2A036-BC1B-4796-8281-9590F98B5650}" name="Column8084"/>
    <tableColumn id="8088" xr3:uid="{35665218-ABA2-4643-8DD2-438B99D9F853}" name="Column8085"/>
    <tableColumn id="8089" xr3:uid="{22EA35AA-D730-4204-8BA2-F65ED6A63A77}" name="Column8086"/>
    <tableColumn id="8090" xr3:uid="{FAB549F2-6A74-4787-9E39-32A9AF9454AC}" name="Column8087"/>
    <tableColumn id="8091" xr3:uid="{E990E552-46DF-4FF7-AB16-FC9767770932}" name="Column8088"/>
    <tableColumn id="8092" xr3:uid="{9EB97F21-4DE8-4ADF-9BD4-2D4258D8859A}" name="Column8089"/>
    <tableColumn id="8093" xr3:uid="{CDDCA1BB-7409-4BBC-936A-31167EEA9ACA}" name="Column8090"/>
    <tableColumn id="8094" xr3:uid="{813B7C6F-EAB5-475E-8F8A-682A8E05B4B1}" name="Column8091"/>
    <tableColumn id="8095" xr3:uid="{4C09C9A4-49F0-4723-8381-47A7D20295A5}" name="Column8092"/>
    <tableColumn id="8096" xr3:uid="{204402E5-4BAE-40CD-86DA-5E3195B2F385}" name="Column8093"/>
    <tableColumn id="8097" xr3:uid="{AFDB224B-26F7-4028-A5C1-F9D5DCA99D39}" name="Column8094"/>
    <tableColumn id="8098" xr3:uid="{4B02C58A-4F06-4EBC-A882-35E66E938EA1}" name="Column8095"/>
    <tableColumn id="8099" xr3:uid="{F001C417-3EBF-4A04-A998-B1B32DE01E01}" name="Column8096"/>
    <tableColumn id="8100" xr3:uid="{88146F15-C8D2-49FF-9A81-8A2B2D0D96BA}" name="Column8097"/>
    <tableColumn id="8101" xr3:uid="{5CD75A69-13C3-453D-A51B-A1B5CF6E8745}" name="Column8098"/>
    <tableColumn id="8102" xr3:uid="{85EA2C72-F448-4658-B9F1-BE89F542DDB7}" name="Column8099"/>
    <tableColumn id="8103" xr3:uid="{BCCF2019-CF70-4034-BBA6-44E963B86934}" name="Column8100"/>
    <tableColumn id="8104" xr3:uid="{995B1D24-313D-4F76-966C-B3079E7C49A5}" name="Column8101"/>
    <tableColumn id="8105" xr3:uid="{A22FCF75-A4B2-4D16-9BD4-0BC0116AB4F7}" name="Column8102"/>
    <tableColumn id="8106" xr3:uid="{6DC02681-4261-4421-B896-ED3EF9B5CE36}" name="Column8103"/>
    <tableColumn id="8107" xr3:uid="{0DDCD892-1B30-4C95-8264-96D5B919350A}" name="Column8104"/>
    <tableColumn id="8108" xr3:uid="{E36FBF13-79D4-4728-8487-C2239581889B}" name="Column8105"/>
    <tableColumn id="8109" xr3:uid="{EA38CC99-FD25-404C-B297-CB78C2510815}" name="Column8106"/>
    <tableColumn id="8110" xr3:uid="{A9353CF9-85EC-4A7C-9A88-AEF7A3B96604}" name="Column8107"/>
    <tableColumn id="8111" xr3:uid="{AF149EB1-AE77-4832-A730-B049460A5FC9}" name="Column8108"/>
    <tableColumn id="8112" xr3:uid="{E3333EBC-325F-4163-93D4-FCC4AD4E8B9B}" name="Column8109"/>
    <tableColumn id="8113" xr3:uid="{CA3B05D0-F2FB-4942-985F-3043A0B358C1}" name="Column8110"/>
    <tableColumn id="8114" xr3:uid="{21281806-91D2-4EFE-A113-18253084E12A}" name="Column8111"/>
    <tableColumn id="8115" xr3:uid="{66BA11CE-610D-4427-8F66-19C6178107E4}" name="Column8112"/>
    <tableColumn id="8116" xr3:uid="{632182D2-35AA-4CA1-A1A6-EE0996EAC10E}" name="Column8113"/>
    <tableColumn id="8117" xr3:uid="{44A53DF5-79E0-45B2-9D6D-BCCFE7EE2490}" name="Column8114"/>
    <tableColumn id="8118" xr3:uid="{F09E4668-E3E0-4A86-A7FD-310D9B101A1C}" name="Column8115"/>
    <tableColumn id="8119" xr3:uid="{DFC6B67A-5464-4739-9ED0-771015821152}" name="Column8116"/>
    <tableColumn id="8120" xr3:uid="{73129E76-CAC0-4BA4-818B-BF5046BD97D8}" name="Column8117"/>
    <tableColumn id="8121" xr3:uid="{0421E1AE-EAD0-4998-ADAE-4262AA4449BF}" name="Column8118"/>
    <tableColumn id="8122" xr3:uid="{A0C650E6-E209-46E9-B79C-5D88D70AEF64}" name="Column8119"/>
    <tableColumn id="8123" xr3:uid="{C392275E-5E86-4279-82C9-5092415D7291}" name="Column8120"/>
    <tableColumn id="8124" xr3:uid="{9627A349-571E-4F89-AF6F-2F307159BF95}" name="Column8121"/>
    <tableColumn id="8125" xr3:uid="{AAF1F0AD-C897-4744-9C16-2A15948BBC6A}" name="Column8122"/>
    <tableColumn id="8126" xr3:uid="{761980F9-13AD-4420-AB51-CC52470CAE47}" name="Column8123"/>
    <tableColumn id="8127" xr3:uid="{B38FEC80-A02E-40FB-9DE3-ED26EE64DA57}" name="Column8124"/>
    <tableColumn id="8128" xr3:uid="{5AF3864F-D3AA-4FDC-BE5F-E55647A9B671}" name="Column8125"/>
    <tableColumn id="8129" xr3:uid="{6704255D-6693-479E-8A98-37F1BED08190}" name="Column8126"/>
    <tableColumn id="8130" xr3:uid="{F4DC3C41-00CA-4AE6-B95D-F5945D8F67A1}" name="Column8127"/>
    <tableColumn id="8131" xr3:uid="{735DF4A7-EDC0-4FCF-B0CB-B1FFAA390105}" name="Column8128"/>
    <tableColumn id="8132" xr3:uid="{5A52B030-1C61-473B-B614-C7F79D8A0752}" name="Column8129"/>
    <tableColumn id="8133" xr3:uid="{6CE49ACE-AA1B-447A-9978-A1FE179B9D9F}" name="Column8130"/>
    <tableColumn id="8134" xr3:uid="{8741A2EC-590C-4826-A0D0-828BA2207E5A}" name="Column8131"/>
    <tableColumn id="8135" xr3:uid="{115B0C86-6723-4A9E-A4DE-B7CACA9E2505}" name="Column8132"/>
    <tableColumn id="8136" xr3:uid="{84394F6B-5A67-46A4-ACA9-5E1C8CF889C9}" name="Column8133"/>
    <tableColumn id="8137" xr3:uid="{9CD5FE1F-EA0C-46E0-BD42-2D8B22D77588}" name="Column8134"/>
    <tableColumn id="8138" xr3:uid="{3CE30CF8-39CA-482B-9979-C733BBC42856}" name="Column8135"/>
    <tableColumn id="8139" xr3:uid="{C96F70C4-768D-4A22-9D62-1DCD822B3E1F}" name="Column8136"/>
    <tableColumn id="8140" xr3:uid="{E7BD2650-CB10-4079-B3B0-5E8F6B3D538E}" name="Column8137"/>
    <tableColumn id="8141" xr3:uid="{2D6DA00B-F6B5-4E09-9FA5-26E3F4BD6584}" name="Column8138"/>
    <tableColumn id="8142" xr3:uid="{BA23A2A6-3104-4411-80AC-A7CA2610C276}" name="Column8139"/>
    <tableColumn id="8143" xr3:uid="{1D1D09FA-95F3-400D-9F9D-C477BD079E3F}" name="Column8140"/>
    <tableColumn id="8144" xr3:uid="{28A42031-E47D-46FB-963D-F251A56A7421}" name="Column8141"/>
    <tableColumn id="8145" xr3:uid="{44FE6BA6-6808-4721-B59F-710C7FE3DDC6}" name="Column8142"/>
    <tableColumn id="8146" xr3:uid="{1D39532B-F29E-42EA-9327-255598C3C82C}" name="Column8143"/>
    <tableColumn id="8147" xr3:uid="{4C18B34C-0E03-462F-ADC7-598807AA43AB}" name="Column8144"/>
    <tableColumn id="8148" xr3:uid="{FFB25758-8F9C-41A8-A20B-F49915B9907B}" name="Column8145"/>
    <tableColumn id="8149" xr3:uid="{93812013-7C66-4BCF-994F-FD81BADD52B9}" name="Column8146"/>
    <tableColumn id="8150" xr3:uid="{E411A294-F08C-4334-938D-44C25E6AAFF6}" name="Column8147"/>
    <tableColumn id="8151" xr3:uid="{AF5865E6-3ED2-4678-BCCF-7FF519FF7E36}" name="Column8148"/>
    <tableColumn id="8152" xr3:uid="{42340B30-DBF7-42F8-8095-ADC3B7923E43}" name="Column8149"/>
    <tableColumn id="8153" xr3:uid="{D67D43B0-2D15-4C19-BE6C-2E4C9DF1944B}" name="Column8150"/>
    <tableColumn id="8154" xr3:uid="{561CD941-9B37-4B7E-B12D-A5F9DFF6845B}" name="Column8151"/>
    <tableColumn id="8155" xr3:uid="{9234DC3E-1A8F-4271-BDFD-0811483ACCFC}" name="Column8152"/>
    <tableColumn id="8156" xr3:uid="{A06AC929-FE8D-425A-88CE-E7330FFE38BA}" name="Column8153"/>
    <tableColumn id="8157" xr3:uid="{ACEA676F-F82A-4A73-912A-610A9554800B}" name="Column8154"/>
    <tableColumn id="8158" xr3:uid="{ACE4C0CB-5F9D-4BA3-97ED-1BFF317C2E9D}" name="Column8155"/>
    <tableColumn id="8159" xr3:uid="{99139778-A06C-4018-8F54-E846C2000DA5}" name="Column8156"/>
    <tableColumn id="8160" xr3:uid="{3C3981B2-84F1-4CEA-B638-7B363540531B}" name="Column8157"/>
    <tableColumn id="8161" xr3:uid="{27F2D45D-D742-4294-B187-8D871D74001C}" name="Column8158"/>
    <tableColumn id="8162" xr3:uid="{79DCBA61-FF91-44D9-A7A4-931F7B45BC02}" name="Column8159"/>
    <tableColumn id="8163" xr3:uid="{EB587578-EE4D-49DC-B14B-CD794623D9A3}" name="Column8160"/>
    <tableColumn id="8164" xr3:uid="{61012599-7ED0-4486-ABDA-39D863EDC9FD}" name="Column8161"/>
    <tableColumn id="8165" xr3:uid="{D9E71703-CEBC-4E83-B7B3-090833BFECA2}" name="Column8162"/>
    <tableColumn id="8166" xr3:uid="{5CBE3EAD-2C1A-492D-89E3-4FE536FC4658}" name="Column8163"/>
    <tableColumn id="8167" xr3:uid="{1B15B75A-662E-41D3-A181-0ECB1D2AF5DE}" name="Column8164"/>
    <tableColumn id="8168" xr3:uid="{42663E6C-287D-4D1F-973C-F49204E6FA62}" name="Column8165"/>
    <tableColumn id="8169" xr3:uid="{2B7A1389-6B87-4B3F-AD45-17869D265E45}" name="Column8166"/>
    <tableColumn id="8170" xr3:uid="{FE682F78-5F50-4F94-837C-8798B3F75010}" name="Column8167"/>
    <tableColumn id="8171" xr3:uid="{6BCA1A42-ED52-4137-A67D-8DB061281D3F}" name="Column8168"/>
    <tableColumn id="8172" xr3:uid="{15395F61-236D-4794-8188-0C4193E2817A}" name="Column8169"/>
    <tableColumn id="8173" xr3:uid="{D602BC46-C0E7-4461-A041-111A8F52A13F}" name="Column8170"/>
    <tableColumn id="8174" xr3:uid="{2207CE7C-3B1E-4E82-A868-7FE539A4AF18}" name="Column8171"/>
    <tableColumn id="8175" xr3:uid="{08DFE4DF-FF1F-40B0-99EB-580DA9B33082}" name="Column8172"/>
    <tableColumn id="8176" xr3:uid="{3ACBD055-FFC3-4AFF-BE2D-835C1CA44F41}" name="Column8173"/>
    <tableColumn id="8177" xr3:uid="{4E7E9229-4986-4313-856C-F4B6FD1F13D3}" name="Column8174"/>
    <tableColumn id="8178" xr3:uid="{AC664C6C-EB1A-4C5F-B9D1-92852E0575F3}" name="Column8175"/>
    <tableColumn id="8179" xr3:uid="{0CC23067-3572-45FD-B043-9EB388BB1B0E}" name="Column8176"/>
    <tableColumn id="8180" xr3:uid="{E34D71F8-5F13-46DC-92A1-D06DBD89576F}" name="Column8177"/>
    <tableColumn id="8181" xr3:uid="{06B92E3B-CB46-4986-B38A-58DD7424480F}" name="Column8178"/>
    <tableColumn id="8182" xr3:uid="{0D70C517-C6C5-400C-9C55-95BAF73FE5F9}" name="Column8179"/>
    <tableColumn id="8183" xr3:uid="{CF969DB4-8109-4C7D-9DF6-64A639F979AF}" name="Column8180"/>
    <tableColumn id="8184" xr3:uid="{91183004-C7BC-4C8C-A434-E3714C6FD257}" name="Column8181"/>
    <tableColumn id="8185" xr3:uid="{7C589B78-0E78-4D33-8256-A2BA44C8658C}" name="Column8182"/>
    <tableColumn id="8186" xr3:uid="{98FD13F2-6BEF-4156-B621-59E406D78E3F}" name="Column8183"/>
    <tableColumn id="8187" xr3:uid="{946BE6E1-6D96-4D04-98FD-527C78698934}" name="Column8184"/>
    <tableColumn id="8188" xr3:uid="{A07CF166-5FCC-4E43-B7E6-259AFD821BDF}" name="Column8185"/>
    <tableColumn id="8189" xr3:uid="{9FFE9BBE-B4FE-499A-AE86-F5B5A34D65F8}" name="Column8186"/>
    <tableColumn id="8190" xr3:uid="{A7A5A8E5-2A49-4D6B-BA00-8179CF4D7522}" name="Column8187"/>
    <tableColumn id="8191" xr3:uid="{8118938E-BB7C-4831-B63B-19D163AAA071}" name="Column8188"/>
    <tableColumn id="8192" xr3:uid="{4C63E8F5-FCB2-49EC-89E4-8F577256F33D}" name="Column8189"/>
    <tableColumn id="8193" xr3:uid="{2F64A3DA-2B55-4455-8EAE-9E7F01CF321A}" name="Column8190"/>
    <tableColumn id="8194" xr3:uid="{F2F34C4D-B9AB-4758-A426-013FFA2F6CC8}" name="Column8191"/>
    <tableColumn id="8195" xr3:uid="{5D10DFC0-5D10-46C3-83FE-FC474923158B}" name="Column8192"/>
    <tableColumn id="8196" xr3:uid="{FDFBF51A-12BE-4763-8472-ED5608EC4233}" name="Column8193"/>
    <tableColumn id="8197" xr3:uid="{1CB6E19F-2C4D-4A02-9622-A785C24BE397}" name="Column8194"/>
    <tableColumn id="8198" xr3:uid="{08AEF931-EB82-4211-8B15-189307946639}" name="Column8195"/>
    <tableColumn id="8199" xr3:uid="{A127EFC3-F186-4B8A-B410-5AFD129CCE05}" name="Column8196"/>
    <tableColumn id="8200" xr3:uid="{85A51307-9D42-47E6-87EB-7384EEF21CC5}" name="Column8197"/>
    <tableColumn id="8201" xr3:uid="{48DB51A2-454E-4E5C-BAC3-3E41574EB224}" name="Column8198"/>
    <tableColumn id="8202" xr3:uid="{71258952-2D54-4F9D-A692-97029AE9F724}" name="Column8199"/>
    <tableColumn id="8203" xr3:uid="{066E7C6D-9E5B-47A0-86F1-3AEDB0ED5A25}" name="Column8200"/>
    <tableColumn id="8204" xr3:uid="{998D81A1-3CBC-41D7-A74E-A69D77760AAA}" name="Column8201"/>
    <tableColumn id="8205" xr3:uid="{6A204F4D-5342-47E0-A242-926F5FF684BD}" name="Column8202"/>
    <tableColumn id="8206" xr3:uid="{FD6A01BB-02C8-43ED-80FB-7D948307BE3C}" name="Column8203"/>
    <tableColumn id="8207" xr3:uid="{D66C47C5-EF44-4787-ABDB-8057F7D9CECA}" name="Column8204"/>
    <tableColumn id="8208" xr3:uid="{41571D1E-136F-43CF-B3AB-A740F2DF3B16}" name="Column8205"/>
    <tableColumn id="8209" xr3:uid="{C7E48786-2F91-47A2-A1DD-AEE577F2CDB7}" name="Column8206"/>
    <tableColumn id="8210" xr3:uid="{6453A98A-5DFF-4FEA-A5FC-904DC6BB94E3}" name="Column8207"/>
    <tableColumn id="8211" xr3:uid="{7CA8264F-E7C3-4ABC-BCE4-170D5588260D}" name="Column8208"/>
    <tableColumn id="8212" xr3:uid="{77301B68-52D4-4DA0-A11D-D9C34FC33E84}" name="Column8209"/>
    <tableColumn id="8213" xr3:uid="{094B326E-2150-46DC-9D09-63826B635C71}" name="Column8210"/>
    <tableColumn id="8214" xr3:uid="{414EB558-C5DC-4363-A268-1BC968BC00D2}" name="Column8211"/>
    <tableColumn id="8215" xr3:uid="{D5292BBA-87DD-466B-9043-0B6C8BF939CD}" name="Column8212"/>
    <tableColumn id="8216" xr3:uid="{EF8C5E72-E906-41D4-821C-29FF2193ECFF}" name="Column8213"/>
    <tableColumn id="8217" xr3:uid="{9664BCA2-622A-4B10-B30A-678E88D47088}" name="Column8214"/>
    <tableColumn id="8218" xr3:uid="{3492D8CB-B291-423D-86DD-1E324717F7E9}" name="Column8215"/>
    <tableColumn id="8219" xr3:uid="{1CE6627A-B912-446D-AB9B-E41D02D73261}" name="Column8216"/>
    <tableColumn id="8220" xr3:uid="{0CE81C3E-0F73-43B5-9EE8-F68AB06D30BF}" name="Column8217"/>
    <tableColumn id="8221" xr3:uid="{D32291EF-D51F-486B-896A-4124CF5A19CE}" name="Column8218"/>
    <tableColumn id="8222" xr3:uid="{21403F0F-9B11-44D9-87AF-FD56F3855224}" name="Column8219"/>
    <tableColumn id="8223" xr3:uid="{20C44445-FB73-4C22-8403-478DA7FE4F0E}" name="Column8220"/>
    <tableColumn id="8224" xr3:uid="{1CFC216A-A0D6-41B8-B7DC-F770649897FB}" name="Column8221"/>
    <tableColumn id="8225" xr3:uid="{27EAA83F-1E31-429E-8BAA-234102EF8965}" name="Column8222"/>
    <tableColumn id="8226" xr3:uid="{B9DB3F3F-A2C9-42DF-977D-BFE4361369C2}" name="Column8223"/>
    <tableColumn id="8227" xr3:uid="{EEE9B9AC-5904-40B8-936A-A4479C816C9E}" name="Column8224"/>
    <tableColumn id="8228" xr3:uid="{41A04F44-C69A-4A5F-99BC-3B76A002854A}" name="Column8225"/>
    <tableColumn id="8229" xr3:uid="{6D8D5DF6-E5FE-402D-B58D-C6B2D56E5397}" name="Column8226"/>
    <tableColumn id="8230" xr3:uid="{1FA9CCFC-7A6C-47E8-8DCF-F869C6D918BC}" name="Column8227"/>
    <tableColumn id="8231" xr3:uid="{4F4A8561-4399-408F-A728-BC10B40BFC5B}" name="Column8228"/>
    <tableColumn id="8232" xr3:uid="{8F4BE24D-7F5B-487F-AE07-474E2A7768A8}" name="Column8229"/>
    <tableColumn id="8233" xr3:uid="{9A0489BE-73FC-44CB-BFC4-66CA585E1D29}" name="Column8230"/>
    <tableColumn id="8234" xr3:uid="{05B7483D-AB5B-4CB9-8321-771D7F26B259}" name="Column8231"/>
    <tableColumn id="8235" xr3:uid="{78A291CB-97B3-4908-BAAE-B2B7C1D31146}" name="Column8232"/>
    <tableColumn id="8236" xr3:uid="{75C06170-7530-4152-998B-9241FCE0BA06}" name="Column8233"/>
    <tableColumn id="8237" xr3:uid="{68EDCAA7-4D4C-46B2-BD97-52713B366803}" name="Column8234"/>
    <tableColumn id="8238" xr3:uid="{2FB42D02-6907-408B-A077-92E3E54D68A8}" name="Column8235"/>
    <tableColumn id="8239" xr3:uid="{53598E58-6D23-4E51-B496-E03A3C809EF3}" name="Column8236"/>
    <tableColumn id="8240" xr3:uid="{89AF771C-B516-4792-BF20-04F4EA2172AF}" name="Column8237"/>
    <tableColumn id="8241" xr3:uid="{EE379781-824B-4137-9597-D34DFDC3920E}" name="Column8238"/>
    <tableColumn id="8242" xr3:uid="{B54128EA-243F-4F00-90F3-26677027D8D4}" name="Column8239"/>
    <tableColumn id="8243" xr3:uid="{E79EE8E8-BC02-4A90-B161-D8AB8FA953AC}" name="Column8240"/>
    <tableColumn id="8244" xr3:uid="{A7CE965C-8DA5-4D01-9774-2B7A90B9B4FE}" name="Column8241"/>
    <tableColumn id="8245" xr3:uid="{6E7896D0-5B43-4EB4-876F-B8273E888962}" name="Column8242"/>
    <tableColumn id="8246" xr3:uid="{D5F0CF72-EDC2-4172-B5E3-3DCA01698A8A}" name="Column8243"/>
    <tableColumn id="8247" xr3:uid="{8478D3B8-285C-4939-9048-3ECFDF4B61F5}" name="Column8244"/>
    <tableColumn id="8248" xr3:uid="{9E21F065-6303-4820-9497-4470972697DF}" name="Column8245"/>
    <tableColumn id="8249" xr3:uid="{9BAF6048-D2C8-42BD-B03A-9074511EA9B5}" name="Column8246"/>
    <tableColumn id="8250" xr3:uid="{C597C678-CA23-4959-91BD-71D3576F4690}" name="Column8247"/>
    <tableColumn id="8251" xr3:uid="{0B19C57A-D73C-488F-9EEB-07CDFC1A3C40}" name="Column8248"/>
    <tableColumn id="8252" xr3:uid="{1B4A4BCE-C163-41F6-827B-C21A8EEE7D34}" name="Column8249"/>
    <tableColumn id="8253" xr3:uid="{68936E45-85DE-485D-B7FF-5473910CAD08}" name="Column8250"/>
    <tableColumn id="8254" xr3:uid="{A101D035-E549-4B0D-87FC-5265FB946E99}" name="Column8251"/>
    <tableColumn id="8255" xr3:uid="{1CD9FF25-1A53-4E38-B612-D2E2A1AB2EC5}" name="Column8252"/>
    <tableColumn id="8256" xr3:uid="{D6C5964B-7E72-45EB-A093-91BC812E0516}" name="Column8253"/>
    <tableColumn id="8257" xr3:uid="{F5ED43B4-B277-4270-8337-A593DF37E929}" name="Column8254"/>
    <tableColumn id="8258" xr3:uid="{FEFD6E1E-DE04-4859-9029-BF252C675B13}" name="Column8255"/>
    <tableColumn id="8259" xr3:uid="{20DD338C-2423-484A-9DA5-156C91A2BDC0}" name="Column8256"/>
    <tableColumn id="8260" xr3:uid="{4ABEB700-C3F2-4985-B01E-430AB92ACA21}" name="Column8257"/>
    <tableColumn id="8261" xr3:uid="{CB33E7FE-A302-4660-9192-F329E881FA6E}" name="Column8258"/>
    <tableColumn id="8262" xr3:uid="{CF94FF56-BC6A-4894-940B-F2E6713D7900}" name="Column8259"/>
    <tableColumn id="8263" xr3:uid="{431C4BE5-F0A1-4457-95B7-C84FE6BEE1CF}" name="Column8260"/>
    <tableColumn id="8264" xr3:uid="{D221AEBF-40CD-46C8-8170-AA74D37ABBBF}" name="Column8261"/>
    <tableColumn id="8265" xr3:uid="{D06D0447-912B-4234-A33E-EF9DB0744E99}" name="Column8262"/>
    <tableColumn id="8266" xr3:uid="{535B07A5-00FE-44BD-96D9-A05C1A239EE2}" name="Column8263"/>
    <tableColumn id="8267" xr3:uid="{AAEB55B0-45DE-4EF1-8D76-96212EE77213}" name="Column8264"/>
    <tableColumn id="8268" xr3:uid="{40E95B6B-3D32-446C-9323-9F9135D681DA}" name="Column8265"/>
    <tableColumn id="8269" xr3:uid="{1DEFA9E5-61AB-4173-BFBF-BE2269E22D58}" name="Column8266"/>
    <tableColumn id="8270" xr3:uid="{42CEE523-0646-4B40-99D6-D02DBDCCB4AB}" name="Column8267"/>
    <tableColumn id="8271" xr3:uid="{4A3D1A90-AE3D-4632-9802-4B86C2BEA325}" name="Column8268"/>
    <tableColumn id="8272" xr3:uid="{F58F5F88-08E8-45DE-8646-C8713354D7B9}" name="Column8269"/>
    <tableColumn id="8273" xr3:uid="{BBF5603B-266B-4E74-BD0A-5FB75ABCD417}" name="Column8270"/>
    <tableColumn id="8274" xr3:uid="{9D29E6A6-7A59-42E2-9D4D-4094C1DDE688}" name="Column8271"/>
    <tableColumn id="8275" xr3:uid="{C36DC756-7B2F-4696-BE46-B1D628F7C8EA}" name="Column8272"/>
    <tableColumn id="8276" xr3:uid="{98E467DB-284E-4847-A962-E22E43CECC8C}" name="Column8273"/>
    <tableColumn id="8277" xr3:uid="{6C68AD12-DC09-42B5-B140-A8DAC8F282B6}" name="Column8274"/>
    <tableColumn id="8278" xr3:uid="{89E9B336-7EE7-4C3F-9BCF-02D00538A822}" name="Column8275"/>
    <tableColumn id="8279" xr3:uid="{DB7EF0FD-034D-4102-B04A-1FE7DD44ED45}" name="Column8276"/>
    <tableColumn id="8280" xr3:uid="{D45912DC-2CF3-47DD-9E7C-79FF3EE64EBE}" name="Column8277"/>
    <tableColumn id="8281" xr3:uid="{F8E68E7A-CF78-47DE-A38D-746CA4475122}" name="Column8278"/>
    <tableColumn id="8282" xr3:uid="{2BF0B19B-1744-4D3B-9F3F-0B9B9859AACE}" name="Column8279"/>
    <tableColumn id="8283" xr3:uid="{E8A6CAA7-E4E1-45F5-9029-17FC828EE85F}" name="Column8280"/>
    <tableColumn id="8284" xr3:uid="{665CA65A-0BC5-4D8D-BAFC-B9975B5E635A}" name="Column8281"/>
    <tableColumn id="8285" xr3:uid="{7DCEBD83-7A3D-4AFF-BC06-E96AF45912A5}" name="Column8282"/>
    <tableColumn id="8286" xr3:uid="{E3371DF6-15E5-44C6-816B-C4FCAFBCCF17}" name="Column8283"/>
    <tableColumn id="8287" xr3:uid="{CABDBE07-B591-45A2-972F-0C831E27C176}" name="Column8284"/>
    <tableColumn id="8288" xr3:uid="{870FAF12-7176-47C4-A2F1-275FD4CDB4A1}" name="Column8285"/>
    <tableColumn id="8289" xr3:uid="{61738918-7871-4DE8-933A-6AE0478AFB18}" name="Column8286"/>
    <tableColumn id="8290" xr3:uid="{E15E8754-891C-4381-9CDE-3877BC07C9F2}" name="Column8287"/>
    <tableColumn id="8291" xr3:uid="{66ADC40B-B5B9-430D-A753-00BC9FE59985}" name="Column8288"/>
    <tableColumn id="8292" xr3:uid="{A98AD99F-2E55-4F13-84AC-688153929F97}" name="Column8289"/>
    <tableColumn id="8293" xr3:uid="{F0B287D2-7A52-496F-9627-0023F8246310}" name="Column8290"/>
    <tableColumn id="8294" xr3:uid="{BE00B35D-433F-4917-B145-0EF75BF9FFF4}" name="Column8291"/>
    <tableColumn id="8295" xr3:uid="{26AB4F63-0851-4856-93E6-486110A70E7E}" name="Column8292"/>
    <tableColumn id="8296" xr3:uid="{0B62F4A0-92D0-4DCF-88FB-F24B7749F5DF}" name="Column8293"/>
    <tableColumn id="8297" xr3:uid="{158B5479-4CAE-4781-936D-1E365A4D6EE0}" name="Column8294"/>
    <tableColumn id="8298" xr3:uid="{1CC48D48-9A37-4660-8051-DF2FD011A288}" name="Column8295"/>
    <tableColumn id="8299" xr3:uid="{58A3BE13-0C39-4607-9B23-4B51953B5253}" name="Column8296"/>
    <tableColumn id="8300" xr3:uid="{24759E21-1878-4D19-9CBA-C908AB05CE9A}" name="Column8297"/>
    <tableColumn id="8301" xr3:uid="{E3AAA04E-9F7F-42B8-9DB8-831005ED981C}" name="Column8298"/>
    <tableColumn id="8302" xr3:uid="{16D65773-8C10-4921-A52E-5AC6748B7A01}" name="Column8299"/>
    <tableColumn id="8303" xr3:uid="{791AFB04-E9A7-4C89-A0ED-82365724C459}" name="Column8300"/>
    <tableColumn id="8304" xr3:uid="{E8F7E54F-874D-4014-8521-959584A7E76B}" name="Column8301"/>
    <tableColumn id="8305" xr3:uid="{FA034822-297F-4387-809E-2E079F3C066E}" name="Column8302"/>
    <tableColumn id="8306" xr3:uid="{E7B601EA-D287-40A1-8114-74F3BC2205C5}" name="Column8303"/>
    <tableColumn id="8307" xr3:uid="{F6D7AA73-4DFD-4D2A-B122-EDC3F165D9E5}" name="Column8304"/>
    <tableColumn id="8308" xr3:uid="{0DCDF096-02C2-42F7-834B-AFF541CE4228}" name="Column8305"/>
    <tableColumn id="8309" xr3:uid="{1CAA4349-7B25-4AA2-BEE1-C1058019C7A8}" name="Column8306"/>
    <tableColumn id="8310" xr3:uid="{FD40A861-F19D-4A82-BE28-4B71BFA67FB9}" name="Column8307"/>
    <tableColumn id="8311" xr3:uid="{C98AB66F-D3AC-45DB-83CA-52D0DD94BD54}" name="Column8308"/>
    <tableColumn id="8312" xr3:uid="{33BB445E-8881-4847-9D6A-A65CAB5B2F37}" name="Column8309"/>
    <tableColumn id="8313" xr3:uid="{F020238C-CE1B-4D10-861A-DDC76C79DF35}" name="Column8310"/>
    <tableColumn id="8314" xr3:uid="{39F17D9F-C792-4B59-A583-300D5493CFE3}" name="Column8311"/>
    <tableColumn id="8315" xr3:uid="{63A1D9BD-E342-4AF4-9A8E-F3907D8A537C}" name="Column8312"/>
    <tableColumn id="8316" xr3:uid="{8C0DDD60-8CEE-46BE-96A2-CAD45CA2DB54}" name="Column8313"/>
    <tableColumn id="8317" xr3:uid="{B3D4D999-94E2-488F-8A9C-3FB0163604EB}" name="Column8314"/>
    <tableColumn id="8318" xr3:uid="{61D6C788-AE87-4D21-9EE9-DF1DDFA91BEE}" name="Column8315"/>
    <tableColumn id="8319" xr3:uid="{F1940BD8-2E4B-4467-B4CE-89503DD66908}" name="Column8316"/>
    <tableColumn id="8320" xr3:uid="{66DF7307-CBF9-40C0-AEB2-B0E6508C6700}" name="Column8317"/>
    <tableColumn id="8321" xr3:uid="{F88B8B5F-3457-4215-ACE0-A61339E64138}" name="Column8318"/>
    <tableColumn id="8322" xr3:uid="{7E300059-6FDC-4D4D-B9BF-72ECC1AD84D7}" name="Column8319"/>
    <tableColumn id="8323" xr3:uid="{15DDB0CE-E214-45C0-A37D-127A884A92BB}" name="Column8320"/>
    <tableColumn id="8324" xr3:uid="{75BE6435-414F-4377-8288-FF4B23ADD60C}" name="Column8321"/>
    <tableColumn id="8325" xr3:uid="{2FFA34E8-4A16-4BD5-A932-BD7D8986EC7C}" name="Column8322"/>
    <tableColumn id="8326" xr3:uid="{879D4CA9-E463-48EC-AF12-01AA8DFE898A}" name="Column8323"/>
    <tableColumn id="8327" xr3:uid="{316414DA-31E3-448A-BF36-410F2DC0DA21}" name="Column8324"/>
    <tableColumn id="8328" xr3:uid="{1C2AF7B7-7E11-486E-95AE-5A25B66A73F2}" name="Column8325"/>
    <tableColumn id="8329" xr3:uid="{17D9BACC-9102-406A-90DD-6DF5892788D4}" name="Column8326"/>
    <tableColumn id="8330" xr3:uid="{AB2E1E32-4D57-460F-BCD9-9F6A386E2E75}" name="Column8327"/>
    <tableColumn id="8331" xr3:uid="{8A107AD4-6EC7-4B33-845C-D72C544D0C98}" name="Column8328"/>
    <tableColumn id="8332" xr3:uid="{426E4F09-8A2F-43B6-A5F2-47595A76E291}" name="Column8329"/>
    <tableColumn id="8333" xr3:uid="{7E7DF07B-F308-4C5A-8C6A-0D5A2939D4BE}" name="Column8330"/>
    <tableColumn id="8334" xr3:uid="{A6A23477-373E-415B-BB03-4ECD3D4485E0}" name="Column8331"/>
    <tableColumn id="8335" xr3:uid="{8F22EEB3-6B4B-4F8E-B314-BC510708B877}" name="Column8332"/>
    <tableColumn id="8336" xr3:uid="{817AA300-32D7-4426-8807-50E437487309}" name="Column8333"/>
    <tableColumn id="8337" xr3:uid="{3923F979-84D3-412B-AE36-82A1A81C2669}" name="Column8334"/>
    <tableColumn id="8338" xr3:uid="{AAC72B0E-E86D-4CA2-B62E-67CD3F359D29}" name="Column8335"/>
    <tableColumn id="8339" xr3:uid="{F8D583B5-0A90-4AED-96A7-E6B2459404AE}" name="Column8336"/>
    <tableColumn id="8340" xr3:uid="{B74B397A-D577-48CE-A487-67CEBBB80D66}" name="Column8337"/>
    <tableColumn id="8341" xr3:uid="{237635F2-CDBA-407A-BF55-72131CB2E017}" name="Column8338"/>
    <tableColumn id="8342" xr3:uid="{747F5B5E-4789-40E4-A4EC-4DE8A444EA2E}" name="Column8339"/>
    <tableColumn id="8343" xr3:uid="{D9EC9A90-CBB5-407A-80D2-FC37671467FB}" name="Column8340"/>
    <tableColumn id="8344" xr3:uid="{1821DEF2-B2FB-474D-9C19-DC0A960A0FA1}" name="Column8341"/>
    <tableColumn id="8345" xr3:uid="{6BF92C42-58B7-40DC-A76C-095FE2D4CAEE}" name="Column8342"/>
    <tableColumn id="8346" xr3:uid="{1B67BF9E-D87A-4159-B98B-944A1D4C6B1B}" name="Column8343"/>
    <tableColumn id="8347" xr3:uid="{2CB82326-CBBA-4810-8F6B-83527AF49A58}" name="Column8344"/>
    <tableColumn id="8348" xr3:uid="{5FD2100A-6A7D-4A0D-8912-59D060DBB42D}" name="Column8345"/>
    <tableColumn id="8349" xr3:uid="{2015F219-8D68-4903-8C1E-2B243DAB50F0}" name="Column8346"/>
    <tableColumn id="8350" xr3:uid="{16DA2941-ADED-401E-94AE-51BEE3EBB156}" name="Column8347"/>
    <tableColumn id="8351" xr3:uid="{BB8E8A32-8A55-4788-A9A3-E9733849D82D}" name="Column8348"/>
    <tableColumn id="8352" xr3:uid="{BA23B030-C7F7-453B-B106-EAB84D053AED}" name="Column8349"/>
    <tableColumn id="8353" xr3:uid="{4320EDDD-D1A6-41EC-A3F2-63A3450D36C6}" name="Column8350"/>
    <tableColumn id="8354" xr3:uid="{C5BC72A0-0D38-4B83-BC78-AE77ED6ED4A6}" name="Column8351"/>
    <tableColumn id="8355" xr3:uid="{0B9A644E-E031-493C-825C-57D91AFADFC9}" name="Column8352"/>
    <tableColumn id="8356" xr3:uid="{EE734BB7-D5A9-47C4-9193-8EFAA7327C2A}" name="Column8353"/>
    <tableColumn id="8357" xr3:uid="{4338BFB1-9A63-417F-8024-D392660FF463}" name="Column8354"/>
    <tableColumn id="8358" xr3:uid="{F316F26C-A3D0-4CB6-8D4B-B684EB283AD5}" name="Column8355"/>
    <tableColumn id="8359" xr3:uid="{8FAFD083-964C-4E1E-95AF-EF9BFEBAACEA}" name="Column8356"/>
    <tableColumn id="8360" xr3:uid="{B1967361-7FE8-47F8-87CF-D2A92EA20F68}" name="Column8357"/>
    <tableColumn id="8361" xr3:uid="{C4116110-A206-4F1E-A6C6-BB4C55AC0DA4}" name="Column8358"/>
    <tableColumn id="8362" xr3:uid="{A64C3F0B-8A33-4002-9BE8-A16DFE80A441}" name="Column8359"/>
    <tableColumn id="8363" xr3:uid="{8866181F-069A-4262-83C4-0202BD45DDC1}" name="Column8360"/>
    <tableColumn id="8364" xr3:uid="{3B5263C0-2C85-4579-9082-C58D78BC620F}" name="Column8361"/>
    <tableColumn id="8365" xr3:uid="{660C15EA-30CA-41C8-AFCE-A92DD6E1E5F5}" name="Column8362"/>
    <tableColumn id="8366" xr3:uid="{ECD78CFF-1B1C-47B2-BA03-F31B32ECBDA9}" name="Column8363"/>
    <tableColumn id="8367" xr3:uid="{D726D3D9-14F9-41EB-AF4C-34C095CAF42F}" name="Column8364"/>
    <tableColumn id="8368" xr3:uid="{7451C8E5-90C3-4BAD-A790-7D5AE730206D}" name="Column8365"/>
    <tableColumn id="8369" xr3:uid="{587D91C9-A662-4023-90F5-D7F344326B6C}" name="Column8366"/>
    <tableColumn id="8370" xr3:uid="{FA26AA63-3DEB-45DF-9114-1AE5DC7DF8B5}" name="Column8367"/>
    <tableColumn id="8371" xr3:uid="{25E10E75-1A6C-4FDB-A4D0-B6B9B37D192C}" name="Column8368"/>
    <tableColumn id="8372" xr3:uid="{200F40B0-015E-414A-8442-38B1A6F4769A}" name="Column8369"/>
    <tableColumn id="8373" xr3:uid="{4BCAAAF2-45FF-43D0-8FE2-857B55F50ED7}" name="Column8370"/>
    <tableColumn id="8374" xr3:uid="{30C72EC3-A884-4A3F-8107-C16E030B4CB3}" name="Column8371"/>
    <tableColumn id="8375" xr3:uid="{043B57FC-8C92-42A8-B670-76D73F0F0211}" name="Column8372"/>
    <tableColumn id="8376" xr3:uid="{4EC3EE0F-FFC5-4C53-9830-A57C20070A8A}" name="Column8373"/>
    <tableColumn id="8377" xr3:uid="{3A222178-C4CE-47FB-9FAF-8149FADA4368}" name="Column8374"/>
    <tableColumn id="8378" xr3:uid="{2E01ACD9-E40A-4EF6-ACC0-BF2738DDA54B}" name="Column8375"/>
    <tableColumn id="8379" xr3:uid="{26200179-8DF1-4B34-A79C-94A98737F616}" name="Column8376"/>
    <tableColumn id="8380" xr3:uid="{6AAE367B-9742-4836-8B5D-AB087F6B7B0D}" name="Column8377"/>
    <tableColumn id="8381" xr3:uid="{10776B48-35C0-466B-862F-8D778E94585D}" name="Column8378"/>
    <tableColumn id="8382" xr3:uid="{A347970E-BF88-4000-9F2C-4CC4FCE8280B}" name="Column8379"/>
    <tableColumn id="8383" xr3:uid="{2A9A81A5-0A21-42AF-AC32-2EAFF5A28C0C}" name="Column8380"/>
    <tableColumn id="8384" xr3:uid="{845C6FD8-9CC6-4747-A8DB-0DF4394113CA}" name="Column8381"/>
    <tableColumn id="8385" xr3:uid="{E5959F28-F0D3-4B41-A200-DC00823C28D2}" name="Column8382"/>
    <tableColumn id="8386" xr3:uid="{768DB5DA-7D78-4196-A22F-289B5774982E}" name="Column8383"/>
    <tableColumn id="8387" xr3:uid="{D3EE0367-196D-44C3-90B6-E445A3E0F716}" name="Column8384"/>
    <tableColumn id="8388" xr3:uid="{AB6EAB4F-C7B7-424C-A773-62A073F976CF}" name="Column8385"/>
    <tableColumn id="8389" xr3:uid="{CBF8C615-E9C4-4273-B35D-14F2B8630C89}" name="Column8386"/>
    <tableColumn id="8390" xr3:uid="{3E52CEDF-CC90-4618-9A10-061B3EEEAA7E}" name="Column8387"/>
    <tableColumn id="8391" xr3:uid="{4D0573F8-35A0-4AEF-B02F-396C5645EB47}" name="Column8388"/>
    <tableColumn id="8392" xr3:uid="{BEEA57DF-C818-4D5F-A9B0-E23589F83735}" name="Column8389"/>
    <tableColumn id="8393" xr3:uid="{9013A297-54F0-4428-9D0A-E7E982599BF4}" name="Column8390"/>
    <tableColumn id="8394" xr3:uid="{07025402-4B48-4B44-851C-B3ABD676A505}" name="Column8391"/>
    <tableColumn id="8395" xr3:uid="{1AEC183A-5799-41CE-89D8-6D5E43D13617}" name="Column8392"/>
    <tableColumn id="8396" xr3:uid="{16373985-4DFE-4986-B034-E2CAFE8EF5D1}" name="Column8393"/>
    <tableColumn id="8397" xr3:uid="{F7FB6418-4A03-40C4-AF90-AF094CEB37F0}" name="Column8394"/>
    <tableColumn id="8398" xr3:uid="{9F6BC9CB-03C8-4368-BE06-7E2E3E983DF1}" name="Column8395"/>
    <tableColumn id="8399" xr3:uid="{5CE67AD6-E21E-4BF3-9985-AB1F87E4EF8D}" name="Column8396"/>
    <tableColumn id="8400" xr3:uid="{1DA19BBA-613A-44B4-BECA-28F294246EE9}" name="Column8397"/>
    <tableColumn id="8401" xr3:uid="{71F4B9FF-31A2-47C8-9660-4EBEF7B36D22}" name="Column8398"/>
    <tableColumn id="8402" xr3:uid="{9B96D049-5FFE-4D9D-BBD8-2624857A2720}" name="Column8399"/>
    <tableColumn id="8403" xr3:uid="{2944550A-F77D-4FD0-9170-EB672FABDA42}" name="Column8400"/>
    <tableColumn id="8404" xr3:uid="{C0E04B9D-6970-434A-AE8B-4B3A31550B52}" name="Column8401"/>
    <tableColumn id="8405" xr3:uid="{2062EF05-B04C-4595-975A-211E12047F58}" name="Column8402"/>
    <tableColumn id="8406" xr3:uid="{FEB2F225-C44F-4402-8DF0-28086B6102CC}" name="Column8403"/>
    <tableColumn id="8407" xr3:uid="{EB7CF64D-9271-4740-B86F-44E655F4A68C}" name="Column8404"/>
    <tableColumn id="8408" xr3:uid="{8F80DE18-D29E-421C-8409-4FA7EE3250EA}" name="Column8405"/>
    <tableColumn id="8409" xr3:uid="{F354A114-7B7F-418F-940D-FFADDB502BE3}" name="Column8406"/>
    <tableColumn id="8410" xr3:uid="{0DBE782D-7E89-45A7-BFF8-8763B97B03E9}" name="Column8407"/>
    <tableColumn id="8411" xr3:uid="{4D8E593F-B28B-4F96-B2F0-809499C5F957}" name="Column8408"/>
    <tableColumn id="8412" xr3:uid="{CD4FAECE-AE34-4E80-A68D-EEE8B04C1C8C}" name="Column8409"/>
    <tableColumn id="8413" xr3:uid="{793110A3-8601-4444-8573-B75B1A6CBD75}" name="Column8410"/>
    <tableColumn id="8414" xr3:uid="{A45CEA81-D1D8-4093-B926-93226D72CAF2}" name="Column8411"/>
    <tableColumn id="8415" xr3:uid="{4BEC8E07-B71E-47D0-938E-F06A7CC76F41}" name="Column8412"/>
    <tableColumn id="8416" xr3:uid="{6D5D2B30-4A04-45F8-9969-4E9C7370163C}" name="Column8413"/>
    <tableColumn id="8417" xr3:uid="{49EAF054-7552-4A38-910D-4A1883E5B9A1}" name="Column8414"/>
    <tableColumn id="8418" xr3:uid="{0D855D0F-3CE9-413A-97AF-E1EC78EB056C}" name="Column8415"/>
    <tableColumn id="8419" xr3:uid="{2B5CE4CF-7777-499C-BB66-891E1ACA2DD8}" name="Column8416"/>
    <tableColumn id="8420" xr3:uid="{F44D387A-EBE2-4495-96AA-4856A51883FC}" name="Column8417"/>
    <tableColumn id="8421" xr3:uid="{75A61F56-4CC7-4C19-8FCC-D19B05CA2C23}" name="Column8418"/>
    <tableColumn id="8422" xr3:uid="{BDFEC3EC-1385-42FC-BB07-338F54E7A9A0}" name="Column8419"/>
    <tableColumn id="8423" xr3:uid="{20187DC5-E260-4933-A706-5987F1C8502F}" name="Column8420"/>
    <tableColumn id="8424" xr3:uid="{C683DE51-63BD-4F89-9ED7-D49678923C98}" name="Column8421"/>
    <tableColumn id="8425" xr3:uid="{5E030039-1AE4-46AC-8D4A-8CF2DC178E94}" name="Column8422"/>
    <tableColumn id="8426" xr3:uid="{22D3C7E3-701B-4755-BCF5-51EC2A05BB57}" name="Column8423"/>
    <tableColumn id="8427" xr3:uid="{030583B8-FD6E-4D93-9DF7-CEA02689BBA9}" name="Column8424"/>
    <tableColumn id="8428" xr3:uid="{75D22550-70A4-404F-908A-5897763C789E}" name="Column8425"/>
    <tableColumn id="8429" xr3:uid="{338778D8-7E07-44CD-B48B-3D4E9D5CE476}" name="Column8426"/>
    <tableColumn id="8430" xr3:uid="{76C3E87A-CF78-4426-9A8F-B22B602F0B94}" name="Column8427"/>
    <tableColumn id="8431" xr3:uid="{920B68F8-2F26-4DD8-AD11-8F6F466AF2C6}" name="Column8428"/>
    <tableColumn id="8432" xr3:uid="{2A8B2496-77EF-4478-BEFF-388BB3ECE305}" name="Column8429"/>
    <tableColumn id="8433" xr3:uid="{A904FA8E-9B9D-44AD-BD82-C734BFC19259}" name="Column8430"/>
    <tableColumn id="8434" xr3:uid="{1AB051C6-5B05-45F3-A07F-F88F444FC2C5}" name="Column8431"/>
    <tableColumn id="8435" xr3:uid="{D29AE479-FD6F-438C-8470-E9A2BC8F880F}" name="Column8432"/>
    <tableColumn id="8436" xr3:uid="{DB9198B5-2BCD-4D7D-8C07-113EAA93FF2B}" name="Column8433"/>
    <tableColumn id="8437" xr3:uid="{51B2CBEA-BACD-4E58-98F9-A2F58DA50CC5}" name="Column8434"/>
    <tableColumn id="8438" xr3:uid="{86947D4D-9031-4921-B366-F48740258775}" name="Column8435"/>
    <tableColumn id="8439" xr3:uid="{96F0048E-4C78-4D58-AD14-14214762E62D}" name="Column8436"/>
    <tableColumn id="8440" xr3:uid="{DA618336-AD28-4E7D-B162-C7440820431A}" name="Column8437"/>
    <tableColumn id="8441" xr3:uid="{00996FEF-34F0-421C-869C-F0505B429505}" name="Column8438"/>
    <tableColumn id="8442" xr3:uid="{5481C4B3-303E-41EB-9882-C856DD75409A}" name="Column8439"/>
    <tableColumn id="8443" xr3:uid="{A5A1F1AD-653A-4392-8979-AA1F98C96326}" name="Column8440"/>
    <tableColumn id="8444" xr3:uid="{289B73FB-E3AE-448D-83BA-44D3FF9A1D1C}" name="Column8441"/>
    <tableColumn id="8445" xr3:uid="{D242B0D3-58BE-41E8-9FBE-955ABCF18863}" name="Column8442"/>
    <tableColumn id="8446" xr3:uid="{EEB1AEC6-F54B-4F45-AEED-7977AB1F319A}" name="Column8443"/>
    <tableColumn id="8447" xr3:uid="{CA3FF3DB-4A10-4093-AF05-6FA25808BA57}" name="Column8444"/>
    <tableColumn id="8448" xr3:uid="{5D187CC4-40AD-409B-99F3-B410D9817658}" name="Column8445"/>
    <tableColumn id="8449" xr3:uid="{1AE29274-953B-4856-B105-6D0C1AE68941}" name="Column8446"/>
    <tableColumn id="8450" xr3:uid="{247BE954-2633-4B19-B3A5-F43176C919C9}" name="Column8447"/>
    <tableColumn id="8451" xr3:uid="{48FA784F-FBF1-433D-9C80-4C6282314E0B}" name="Column8448"/>
    <tableColumn id="8452" xr3:uid="{AB9ACFCA-F509-4444-A088-BE0ED55B4F3B}" name="Column8449"/>
    <tableColumn id="8453" xr3:uid="{6D20BB2B-3257-46D3-9754-5347BA631099}" name="Column8450"/>
    <tableColumn id="8454" xr3:uid="{018D360E-A845-437F-AC66-641717E0446E}" name="Column8451"/>
    <tableColumn id="8455" xr3:uid="{E10F38DC-EE56-4807-8CBE-F0989DC44627}" name="Column8452"/>
    <tableColumn id="8456" xr3:uid="{DDBA851B-0102-47B1-81C0-AAF24CA15007}" name="Column8453"/>
    <tableColumn id="8457" xr3:uid="{D0D25C2E-3F0B-40C5-B490-77429943899C}" name="Column8454"/>
    <tableColumn id="8458" xr3:uid="{07094667-63E6-4AB4-B0DD-B08B0DD03A7E}" name="Column8455"/>
    <tableColumn id="8459" xr3:uid="{793597BB-C908-43C8-8F01-F894A792DCFA}" name="Column8456"/>
    <tableColumn id="8460" xr3:uid="{0FF71899-35D2-4692-AAA6-35FAF2B28425}" name="Column8457"/>
    <tableColumn id="8461" xr3:uid="{94E27E3C-8D4F-4E62-A746-4BE4A18192FC}" name="Column8458"/>
    <tableColumn id="8462" xr3:uid="{572221BB-F7B4-4E35-9D4A-72EE3A45CEB2}" name="Column8459"/>
    <tableColumn id="8463" xr3:uid="{4D02373C-08E0-44F5-A914-0CE721156EE4}" name="Column8460"/>
    <tableColumn id="8464" xr3:uid="{81181E17-8562-4861-B322-8FA3C5FF1333}" name="Column8461"/>
    <tableColumn id="8465" xr3:uid="{0A744D7A-34BF-42B1-AD1A-E3BC11661371}" name="Column8462"/>
    <tableColumn id="8466" xr3:uid="{3624E980-8CAB-458C-B82E-01154573B7CD}" name="Column8463"/>
    <tableColumn id="8467" xr3:uid="{9F953D1D-DFCF-49E9-904B-99C7FA738881}" name="Column8464"/>
    <tableColumn id="8468" xr3:uid="{5EB492F8-8C16-4445-A5B3-051DA663FD1E}" name="Column8465"/>
    <tableColumn id="8469" xr3:uid="{CACE8B41-362F-4056-8188-9A2906548097}" name="Column8466"/>
    <tableColumn id="8470" xr3:uid="{66EAB895-B4AD-40E2-9B45-7FB62157EC1B}" name="Column8467"/>
    <tableColumn id="8471" xr3:uid="{61ED2C07-2E00-4252-8CEB-EF6C2BB2F7CA}" name="Column8468"/>
    <tableColumn id="8472" xr3:uid="{35B68975-EE7F-4FE6-8770-8902F011F467}" name="Column8469"/>
    <tableColumn id="8473" xr3:uid="{C866D10B-4F7D-438B-9494-03037C27F127}" name="Column8470"/>
    <tableColumn id="8474" xr3:uid="{2611C30A-2930-4751-8ED5-4B13690C402F}" name="Column8471"/>
    <tableColumn id="8475" xr3:uid="{17E2DD64-16CE-4F18-9EF0-A6C33A81A1EE}" name="Column8472"/>
    <tableColumn id="8476" xr3:uid="{52E0566E-5F66-49B5-A3C3-928C0B4E6194}" name="Column8473"/>
    <tableColumn id="8477" xr3:uid="{F606B0CA-DE39-4D8D-BE48-2F276B369903}" name="Column8474"/>
    <tableColumn id="8478" xr3:uid="{E3289974-4291-4654-8EA6-E7B8E08F47B5}" name="Column8475"/>
    <tableColumn id="8479" xr3:uid="{01A6BCAC-24DA-4D66-B0FA-299AF8EE26CF}" name="Column8476"/>
    <tableColumn id="8480" xr3:uid="{D2A4E08B-3FE5-42CD-9052-F6FF26563382}" name="Column8477"/>
    <tableColumn id="8481" xr3:uid="{8803DA34-5A5F-4846-B9F5-0008632CA0E0}" name="Column8478"/>
    <tableColumn id="8482" xr3:uid="{45E64EE4-3469-48DE-B86D-97C57C91A53A}" name="Column8479"/>
    <tableColumn id="8483" xr3:uid="{8B641EF7-A287-4BC9-9426-FC7810457310}" name="Column8480"/>
    <tableColumn id="8484" xr3:uid="{FBABE5CC-7906-4FB6-ABD1-875CA164F36F}" name="Column8481"/>
    <tableColumn id="8485" xr3:uid="{9B794C79-CEAD-4609-B028-EB688EE04C95}" name="Column8482"/>
    <tableColumn id="8486" xr3:uid="{EDA13461-AC0F-4702-8329-8AC7B6162741}" name="Column8483"/>
    <tableColumn id="8487" xr3:uid="{1689B3A5-C4AB-433C-8F13-A40ED6E6C3BF}" name="Column8484"/>
    <tableColumn id="8488" xr3:uid="{D632CFB4-552F-4E84-A7E3-1801094EE1F0}" name="Column8485"/>
    <tableColumn id="8489" xr3:uid="{89735910-7550-4486-A560-5E781D5E64C2}" name="Column8486"/>
    <tableColumn id="8490" xr3:uid="{49F64597-A744-4300-B74A-93A0F0123CD3}" name="Column8487"/>
    <tableColumn id="8491" xr3:uid="{B0DF5D58-860F-4030-9F63-AB08D66817CD}" name="Column8488"/>
    <tableColumn id="8492" xr3:uid="{D4007170-65B9-4807-9F9B-EFF2A4DAFDFF}" name="Column8489"/>
    <tableColumn id="8493" xr3:uid="{24697780-B724-44F1-B195-62A12480B5BB}" name="Column8490"/>
    <tableColumn id="8494" xr3:uid="{988E7BD3-A550-4903-A6CB-95275394502E}" name="Column8491"/>
    <tableColumn id="8495" xr3:uid="{66497B74-C652-4089-AAB7-5A102E0BA08D}" name="Column8492"/>
    <tableColumn id="8496" xr3:uid="{8B740519-F2B9-4D16-B888-907BB98E7D76}" name="Column8493"/>
    <tableColumn id="8497" xr3:uid="{212C2B0E-FCA7-4D43-9158-0A2A2CDB9E8E}" name="Column8494"/>
    <tableColumn id="8498" xr3:uid="{3EAF607D-11EC-411A-AA71-F994EC0AF967}" name="Column8495"/>
    <tableColumn id="8499" xr3:uid="{5AF47D8F-DEC8-4FB7-9B68-4143FDA4EED9}" name="Column8496"/>
    <tableColumn id="8500" xr3:uid="{5DD63F48-3B49-456C-9A96-CCC13ACFD27A}" name="Column8497"/>
    <tableColumn id="8501" xr3:uid="{51834E74-21EA-490B-ABAA-4335887E9E9E}" name="Column8498"/>
    <tableColumn id="8502" xr3:uid="{516B1B53-4E10-448B-A413-9E7828ABC23A}" name="Column8499"/>
    <tableColumn id="8503" xr3:uid="{35E6D634-5A20-4C73-BFA1-B549DC1498DC}" name="Column8500"/>
    <tableColumn id="8504" xr3:uid="{670B3A6A-3975-4A81-A680-D3EFC16AAC40}" name="Column8501"/>
    <tableColumn id="8505" xr3:uid="{BFE41C16-DA02-40EA-9A33-56C36BB6F587}" name="Column8502"/>
    <tableColumn id="8506" xr3:uid="{E88AD66A-46F4-43F2-BAEE-5F100843E888}" name="Column8503"/>
    <tableColumn id="8507" xr3:uid="{BBE8B135-0773-4D0A-9D68-CE6960060B78}" name="Column8504"/>
    <tableColumn id="8508" xr3:uid="{453EFBB9-E545-4361-AE7F-EC93AD7CA80B}" name="Column8505"/>
    <tableColumn id="8509" xr3:uid="{C351A248-036C-45AE-95C1-4FCAAD9E4667}" name="Column8506"/>
    <tableColumn id="8510" xr3:uid="{B65E768F-5FC0-4BE2-A3F3-3E21D757378C}" name="Column8507"/>
    <tableColumn id="8511" xr3:uid="{E87EB0A6-DDD6-45B7-A3F4-030017F543C0}" name="Column8508"/>
    <tableColumn id="8512" xr3:uid="{CF467EFB-E6A8-4379-BA82-92C47E575DE3}" name="Column8509"/>
    <tableColumn id="8513" xr3:uid="{EE393CFF-D171-4512-AA53-45CFA3E93B30}" name="Column8510"/>
    <tableColumn id="8514" xr3:uid="{0A61CA2D-7216-441B-B1D2-03CA0DFEDD54}" name="Column8511"/>
    <tableColumn id="8515" xr3:uid="{F4B468DC-666B-4F64-823A-BB26758D6357}" name="Column8512"/>
    <tableColumn id="8516" xr3:uid="{345E4455-C407-4EAA-A311-96721990E4AD}" name="Column8513"/>
    <tableColumn id="8517" xr3:uid="{F0D50612-86FD-4C7B-825F-CB31A5DD8429}" name="Column8514"/>
    <tableColumn id="8518" xr3:uid="{E6488A20-350D-4910-907E-1F212BF5B3A8}" name="Column8515"/>
    <tableColumn id="8519" xr3:uid="{17A1721F-8673-402C-905D-5E43D55C8359}" name="Column8516"/>
    <tableColumn id="8520" xr3:uid="{03BDAD4C-AA6B-43BF-8283-3D3B9CEBAEA2}" name="Column8517"/>
    <tableColumn id="8521" xr3:uid="{AFBB2387-A5B9-474F-B064-D450EA880FFA}" name="Column8518"/>
    <tableColumn id="8522" xr3:uid="{EDFF7D4D-C3BE-48F5-9BD2-7B8E497E0D8C}" name="Column8519"/>
    <tableColumn id="8523" xr3:uid="{9CF538B1-7808-4765-9ACE-BCF2690DC854}" name="Column8520"/>
    <tableColumn id="8524" xr3:uid="{9D884962-5FA2-4542-BC9F-3F70E4C29C99}" name="Column8521"/>
    <tableColumn id="8525" xr3:uid="{F2972AD1-337B-4AE9-9A02-8938BCF9644E}" name="Column8522"/>
    <tableColumn id="8526" xr3:uid="{C0FBE200-F141-4EC9-9513-D24D3EF33E64}" name="Column8523"/>
    <tableColumn id="8527" xr3:uid="{CCEEA23A-8055-4A78-94E1-E3482C050A8A}" name="Column8524"/>
    <tableColumn id="8528" xr3:uid="{7CB0596C-CD92-497B-8035-D800455A3805}" name="Column8525"/>
    <tableColumn id="8529" xr3:uid="{5ACE63DD-7D80-407D-A63A-DBEC1EEF9AFF}" name="Column8526"/>
    <tableColumn id="8530" xr3:uid="{9EB2D30E-233B-4242-8422-1CC12C819B47}" name="Column8527"/>
    <tableColumn id="8531" xr3:uid="{AD15E85A-C547-408F-AA9D-32284680D1D2}" name="Column8528"/>
    <tableColumn id="8532" xr3:uid="{9C035469-426B-4F2F-97E1-407571B2B687}" name="Column8529"/>
    <tableColumn id="8533" xr3:uid="{86FA321C-BC6A-4DD3-8423-EAC798FF3340}" name="Column8530"/>
    <tableColumn id="8534" xr3:uid="{285E6D98-CBAE-4B47-AB48-849CD2CF9E11}" name="Column8531"/>
    <tableColumn id="8535" xr3:uid="{9F656545-D784-42FB-8A6A-46B76E3BD752}" name="Column8532"/>
    <tableColumn id="8536" xr3:uid="{D13E1546-3B34-4120-BC2A-06E51928462D}" name="Column8533"/>
    <tableColumn id="8537" xr3:uid="{9EA8A9EC-02DE-45FB-B748-A8013C937EBB}" name="Column8534"/>
    <tableColumn id="8538" xr3:uid="{DD183159-9330-41ED-B8CF-4099F36A0379}" name="Column8535"/>
    <tableColumn id="8539" xr3:uid="{F6E73D03-F549-4965-AE5E-1C64518A4D84}" name="Column8536"/>
    <tableColumn id="8540" xr3:uid="{B397AC8E-1445-40DC-964A-518A59C34695}" name="Column8537"/>
    <tableColumn id="8541" xr3:uid="{87462322-DC1D-4FAD-9683-D78B982A369F}" name="Column8538"/>
    <tableColumn id="8542" xr3:uid="{DB0AE528-05B4-456B-A755-C01BC7B0975D}" name="Column8539"/>
    <tableColumn id="8543" xr3:uid="{216469C3-D34E-435F-B148-9EEB5F4B543A}" name="Column8540"/>
    <tableColumn id="8544" xr3:uid="{B7338FBB-3523-4E91-BBE2-9620B91A9A0F}" name="Column8541"/>
    <tableColumn id="8545" xr3:uid="{5E6545A1-9949-4815-8993-75C885CF6C47}" name="Column8542"/>
    <tableColumn id="8546" xr3:uid="{94078901-E314-4268-89DE-649B7326F167}" name="Column8543"/>
    <tableColumn id="8547" xr3:uid="{266BA433-391F-4A38-9C23-F947E7765A58}" name="Column8544"/>
    <tableColumn id="8548" xr3:uid="{9589D7B2-C496-4BB5-9CFD-D8A8F641B4F2}" name="Column8545"/>
    <tableColumn id="8549" xr3:uid="{3397B622-4EAA-444F-BCB6-9CAB30DE309E}" name="Column8546"/>
    <tableColumn id="8550" xr3:uid="{942B88A2-713C-46AD-90E7-3F8E872CAC91}" name="Column8547"/>
    <tableColumn id="8551" xr3:uid="{C56375F7-AE5F-461D-9DF1-640C0679A148}" name="Column8548"/>
    <tableColumn id="8552" xr3:uid="{7440CE89-FAD1-4360-872D-784CA84109BA}" name="Column8549"/>
    <tableColumn id="8553" xr3:uid="{C3B21C69-01B3-4A7E-96D2-2F07A2BDED04}" name="Column8550"/>
    <tableColumn id="8554" xr3:uid="{70C279C9-4BC3-4684-AE10-FAB336462D00}" name="Column8551"/>
    <tableColumn id="8555" xr3:uid="{EE32CF53-887C-4F5C-9F97-7A2565216A96}" name="Column8552"/>
    <tableColumn id="8556" xr3:uid="{ED0277A6-36A9-4109-A35E-1DD7EADFF6B6}" name="Column8553"/>
    <tableColumn id="8557" xr3:uid="{89A086A7-12B2-498A-95F7-07D489B98113}" name="Column8554"/>
    <tableColumn id="8558" xr3:uid="{5D6AEA6B-56EF-4D5B-8E28-1FF1090FEA1D}" name="Column8555"/>
    <tableColumn id="8559" xr3:uid="{2EB84A84-09E2-413C-88D6-CFA1951BD45F}" name="Column8556"/>
    <tableColumn id="8560" xr3:uid="{568A646F-43FA-497F-AD52-21FD20341D6D}" name="Column8557"/>
    <tableColumn id="8561" xr3:uid="{4CBBB7B5-6FDE-41AB-8B12-4F1910DF86D2}" name="Column8558"/>
    <tableColumn id="8562" xr3:uid="{D25723ED-CAD1-4F82-AF09-8A4346528B15}" name="Column8559"/>
    <tableColumn id="8563" xr3:uid="{1C30F9E3-7550-4E9D-AF5E-3330C3EBC029}" name="Column8560"/>
    <tableColumn id="8564" xr3:uid="{C34B39BB-DC4F-43FB-A2DD-74E9CF7AB009}" name="Column8561"/>
    <tableColumn id="8565" xr3:uid="{D7706C6F-80B4-4E45-8456-D2E44051DE82}" name="Column8562"/>
    <tableColumn id="8566" xr3:uid="{F8B709AC-DC9A-44F1-B31C-068541DDF1F5}" name="Column8563"/>
    <tableColumn id="8567" xr3:uid="{133021B2-5A77-4111-9189-680DEE62BDCB}" name="Column8564"/>
    <tableColumn id="8568" xr3:uid="{881698F5-1723-4DC6-A6CC-44A646671254}" name="Column8565"/>
    <tableColumn id="8569" xr3:uid="{C325274E-077E-4B7C-AE1F-D4DF2D673A61}" name="Column8566"/>
    <tableColumn id="8570" xr3:uid="{AE98810A-CA5E-4A40-84D5-563ED2CAE7FE}" name="Column8567"/>
    <tableColumn id="8571" xr3:uid="{1995A206-0075-415E-ACAE-A842763A044A}" name="Column8568"/>
    <tableColumn id="8572" xr3:uid="{CBE2D0B3-9C62-4D85-96A0-6AC5A9920C24}" name="Column8569"/>
    <tableColumn id="8573" xr3:uid="{8B8FE032-6347-420A-8B19-43C281E614F7}" name="Column8570"/>
    <tableColumn id="8574" xr3:uid="{184F496D-E87F-45B7-8830-3B45D6EB43B0}" name="Column8571"/>
    <tableColumn id="8575" xr3:uid="{F51BBF98-7411-450F-BC23-9373C64F31AA}" name="Column8572"/>
    <tableColumn id="8576" xr3:uid="{FB81990E-1D10-4031-9A74-6ED28278609A}" name="Column8573"/>
    <tableColumn id="8577" xr3:uid="{BFE73D74-77A3-441D-BDA5-9DCD3DB1338F}" name="Column8574"/>
    <tableColumn id="8578" xr3:uid="{03EAE18D-95BD-4DD2-949D-7789059F7AB9}" name="Column8575"/>
    <tableColumn id="8579" xr3:uid="{663F0FF8-B075-42A5-9DAA-68EB48ECCE83}" name="Column8576"/>
    <tableColumn id="8580" xr3:uid="{8F944462-236D-4221-BBA6-A490474DAA36}" name="Column8577"/>
    <tableColumn id="8581" xr3:uid="{5355E4E1-EFD2-4EE8-8DBB-91869EFD1EAB}" name="Column8578"/>
    <tableColumn id="8582" xr3:uid="{9354D563-2056-4FA8-90BB-AD8AC5BB0B68}" name="Column8579"/>
    <tableColumn id="8583" xr3:uid="{28BF19C9-23D3-4A6A-867D-0E329C40729C}" name="Column8580"/>
    <tableColumn id="8584" xr3:uid="{2E476C32-CB1B-4463-885B-D0143DB44C8E}" name="Column8581"/>
    <tableColumn id="8585" xr3:uid="{9D255FD0-7542-49EF-8F51-32F7920D0ED7}" name="Column8582"/>
    <tableColumn id="8586" xr3:uid="{7C33F42A-BDC7-4A4C-9B3B-8197B7E993DC}" name="Column8583"/>
    <tableColumn id="8587" xr3:uid="{B7F33923-7FDA-42E9-BDC5-2D25852FBE68}" name="Column8584"/>
    <tableColumn id="8588" xr3:uid="{4725CCCB-CB6A-4440-BC4D-93471E310D9E}" name="Column8585"/>
    <tableColumn id="8589" xr3:uid="{B763F431-5008-43F0-B9F4-918FEC696578}" name="Column8586"/>
    <tableColumn id="8590" xr3:uid="{34E0F6B0-810B-4183-A650-D8355A844A3F}" name="Column8587"/>
    <tableColumn id="8591" xr3:uid="{4FAD2267-CC3D-4235-83DF-5D70EED86D96}" name="Column8588"/>
    <tableColumn id="8592" xr3:uid="{CFD120CB-5DA5-49ED-8D02-DA3AC44CC7C5}" name="Column8589"/>
    <tableColumn id="8593" xr3:uid="{F7D4B18C-6A8E-426E-A7F5-1B0D8B9348BE}" name="Column8590"/>
    <tableColumn id="8594" xr3:uid="{6FA505C7-B7C8-40BE-86CC-0D39759AE828}" name="Column8591"/>
    <tableColumn id="8595" xr3:uid="{EB854A77-35B9-422B-A9CF-54486B369695}" name="Column8592"/>
    <tableColumn id="8596" xr3:uid="{49DCFAAB-A7D5-4B31-8E31-E4E846F26846}" name="Column8593"/>
    <tableColumn id="8597" xr3:uid="{0A0A9525-A953-4DDA-B3C9-496BFE16DDF7}" name="Column8594"/>
    <tableColumn id="8598" xr3:uid="{255C7797-F89E-492E-854B-FCE12CB4F923}" name="Column8595"/>
    <tableColumn id="8599" xr3:uid="{BFE7EF17-2A85-4BAD-B9CF-A9D7E1740ABD}" name="Column8596"/>
    <tableColumn id="8600" xr3:uid="{C038BDB1-569A-4BE5-A523-4AD4159F3C21}" name="Column8597"/>
    <tableColumn id="8601" xr3:uid="{8F241208-710C-492D-8E99-142E8E6EAA49}" name="Column8598"/>
    <tableColumn id="8602" xr3:uid="{16FF13FD-2466-4E39-B92D-5BCDCBCD3442}" name="Column8599"/>
    <tableColumn id="8603" xr3:uid="{E8B3BF48-4550-456C-A2EB-1C304E3D68FB}" name="Column8600"/>
    <tableColumn id="8604" xr3:uid="{D5EC2806-6A3B-4964-A370-33860DD6A14D}" name="Column8601"/>
    <tableColumn id="8605" xr3:uid="{FA5CB993-CF86-4915-A4AE-B0E72C583BA8}" name="Column8602"/>
    <tableColumn id="8606" xr3:uid="{4B134DB1-7C2D-4E76-80C0-E9028E956532}" name="Column8603"/>
    <tableColumn id="8607" xr3:uid="{82FB3BBF-E560-41A6-8181-63FA06C5810A}" name="Column8604"/>
    <tableColumn id="8608" xr3:uid="{AA55E297-D704-44AE-A07B-FA3F5B523306}" name="Column8605"/>
    <tableColumn id="8609" xr3:uid="{BECB799C-98FB-4C5A-8EB0-FD799CF0E201}" name="Column8606"/>
    <tableColumn id="8610" xr3:uid="{D18C7E3C-5078-461C-BF64-55F9E941EF1E}" name="Column8607"/>
    <tableColumn id="8611" xr3:uid="{38F18ECA-741F-441E-9C87-2843CBA0A487}" name="Column8608"/>
    <tableColumn id="8612" xr3:uid="{04333B87-FE35-4AE4-B69A-DB8A8DD80AD5}" name="Column8609"/>
    <tableColumn id="8613" xr3:uid="{CC727984-FDB3-487F-8137-A01B4DC06E87}" name="Column8610"/>
    <tableColumn id="8614" xr3:uid="{63115ED8-C464-4AD8-AFD9-D1C76C9B8D3F}" name="Column8611"/>
    <tableColumn id="8615" xr3:uid="{34B80F35-1977-4B29-B150-24FD9EE57515}" name="Column8612"/>
    <tableColumn id="8616" xr3:uid="{5B2025C7-B732-450F-8B2A-AC456611014D}" name="Column8613"/>
    <tableColumn id="8617" xr3:uid="{20D57BBE-8C64-4CB2-8965-B458C75108B1}" name="Column8614"/>
    <tableColumn id="8618" xr3:uid="{88B4A172-83B1-4BE1-A9D2-AFE4D8099E75}" name="Column8615"/>
    <tableColumn id="8619" xr3:uid="{3A492C9A-021F-4673-88C1-548A1F6B65D8}" name="Column8616"/>
    <tableColumn id="8620" xr3:uid="{124546E0-7CC6-4B6F-AF99-8E88B577B799}" name="Column8617"/>
    <tableColumn id="8621" xr3:uid="{EA13E7A0-E93D-4F30-BC99-EA9455C624E5}" name="Column8618"/>
    <tableColumn id="8622" xr3:uid="{784366F2-33C3-4C78-86A7-71369A52CF69}" name="Column8619"/>
    <tableColumn id="8623" xr3:uid="{EB7D3EB9-44DA-44C4-AC38-6FD7B6AB5208}" name="Column8620"/>
    <tableColumn id="8624" xr3:uid="{AFE37D85-0471-44E8-B1B9-9E2B8FCE4F8A}" name="Column8621"/>
    <tableColumn id="8625" xr3:uid="{12E969EB-94EB-4D12-BF13-0D68FA6B17AA}" name="Column8622"/>
    <tableColumn id="8626" xr3:uid="{23B1E1A6-8D14-4E41-9D47-F90DB6DE2F3E}" name="Column8623"/>
    <tableColumn id="8627" xr3:uid="{FC976C87-BA28-4AFE-9BD7-8B5A86961733}" name="Column8624"/>
    <tableColumn id="8628" xr3:uid="{0D1D5A35-2510-4576-AC8F-E4D72B2D8F40}" name="Column8625"/>
    <tableColumn id="8629" xr3:uid="{F3438C2D-F760-444D-914A-E43542079CA3}" name="Column8626"/>
    <tableColumn id="8630" xr3:uid="{6975F3DA-D94E-4003-B048-94FB5A6040B4}" name="Column8627"/>
    <tableColumn id="8631" xr3:uid="{2A9C9C17-08F9-4D91-BB83-77B5A467F3E9}" name="Column8628"/>
    <tableColumn id="8632" xr3:uid="{E7679AD0-3FB5-4F96-8B2C-7A27E4EAA57A}" name="Column8629"/>
    <tableColumn id="8633" xr3:uid="{4DBC9A76-E706-4D56-902D-52CF66A375F6}" name="Column8630"/>
    <tableColumn id="8634" xr3:uid="{9B5CD907-890D-4B15-A0A8-C31439B40481}" name="Column8631"/>
    <tableColumn id="8635" xr3:uid="{5BF5F9B9-199F-40A4-A79F-C66F4272D37E}" name="Column8632"/>
    <tableColumn id="8636" xr3:uid="{D5AF74DD-16F3-47A6-A590-C7229DF49AE9}" name="Column8633"/>
    <tableColumn id="8637" xr3:uid="{4CB6AA8D-B5F9-49D3-BAF3-CF2DA6C6A1AD}" name="Column8634"/>
    <tableColumn id="8638" xr3:uid="{C1F08DB8-390E-4DFC-AF0B-6A1B3A312F72}" name="Column8635"/>
    <tableColumn id="8639" xr3:uid="{CC0E57D7-D29F-43FC-8528-C5B6141FFF05}" name="Column8636"/>
    <tableColumn id="8640" xr3:uid="{3E3DB3C4-8F1D-4286-97F8-459B42B531DC}" name="Column8637"/>
    <tableColumn id="8641" xr3:uid="{2201F368-64E6-4D2F-9E0B-F3C9406D1700}" name="Column8638"/>
    <tableColumn id="8642" xr3:uid="{2985E2C8-3822-47AA-908A-1F72811ED5FA}" name="Column8639"/>
    <tableColumn id="8643" xr3:uid="{F678F018-69D6-4BF8-8674-B0C5873D3955}" name="Column8640"/>
    <tableColumn id="8644" xr3:uid="{921650C4-31E4-46E7-A00A-DF880B7E6819}" name="Column8641"/>
    <tableColumn id="8645" xr3:uid="{F676CC7E-5859-4931-919E-2096C969E681}" name="Column8642"/>
    <tableColumn id="8646" xr3:uid="{6AD15455-B8D8-46AC-9D56-5D0D69346C57}" name="Column8643"/>
    <tableColumn id="8647" xr3:uid="{4AA52B2C-2124-4A75-8532-C7779EDB4A3A}" name="Column8644"/>
    <tableColumn id="8648" xr3:uid="{69E3EFA4-F8D1-4261-A43E-B5C247A9639F}" name="Column8645"/>
    <tableColumn id="8649" xr3:uid="{EBD93B81-68F5-4E23-B6AC-B98B0D1702CE}" name="Column8646"/>
    <tableColumn id="8650" xr3:uid="{5679047A-0552-4794-951D-04AFAC096939}" name="Column8647"/>
    <tableColumn id="8651" xr3:uid="{F37E70DE-B933-4CC8-A823-D56E962A414B}" name="Column8648"/>
    <tableColumn id="8652" xr3:uid="{3D8FBEF2-534F-4A08-93B3-6B832E608853}" name="Column8649"/>
    <tableColumn id="8653" xr3:uid="{17673202-E47C-455E-A06D-BDC919AF9280}" name="Column8650"/>
    <tableColumn id="8654" xr3:uid="{4FE39AF7-6AE3-4DFC-9743-903A1830FACA}" name="Column8651"/>
    <tableColumn id="8655" xr3:uid="{9893FF8C-C88F-4394-BC18-FF3DC2B50E79}" name="Column8652"/>
    <tableColumn id="8656" xr3:uid="{DF407CD7-F311-4696-8A8A-273D62655CC5}" name="Column8653"/>
    <tableColumn id="8657" xr3:uid="{0C5F5E9E-70BA-4D81-ACBE-0C75564F9F50}" name="Column8654"/>
    <tableColumn id="8658" xr3:uid="{E8997F59-D8DA-42C6-BEA2-0B0005A618BF}" name="Column8655"/>
    <tableColumn id="8659" xr3:uid="{B4A14007-8F9E-48CA-8835-472CA5E59212}" name="Column8656"/>
    <tableColumn id="8660" xr3:uid="{61729373-BA50-4BCF-867C-2DC7E7E475AB}" name="Column8657"/>
    <tableColumn id="8661" xr3:uid="{C2BD7D62-A939-43D7-9765-4E0AFEEB75A0}" name="Column8658"/>
    <tableColumn id="8662" xr3:uid="{790E7524-030B-452A-AFDD-F0814602BD49}" name="Column8659"/>
    <tableColumn id="8663" xr3:uid="{9E9D9585-D24F-4CF7-A62C-0C2B581CD714}" name="Column8660"/>
    <tableColumn id="8664" xr3:uid="{3558BBF6-EC37-4F10-9E09-2F8CD2684AB6}" name="Column8661"/>
    <tableColumn id="8665" xr3:uid="{AC04E6E5-031A-4750-88D1-E53B027BE8A1}" name="Column8662"/>
    <tableColumn id="8666" xr3:uid="{E03559B8-2B44-4BBA-B008-58C3E14E0054}" name="Column8663"/>
    <tableColumn id="8667" xr3:uid="{A6B62695-B887-4C64-8741-BE34CE64FC5F}" name="Column8664"/>
    <tableColumn id="8668" xr3:uid="{AE5DE08C-DCA8-4D38-9F8A-9C1A26F483ED}" name="Column8665"/>
    <tableColumn id="8669" xr3:uid="{7160F5CE-9C18-4DA0-88BF-60A8BCF90613}" name="Column8666"/>
    <tableColumn id="8670" xr3:uid="{17875289-4C92-4428-BD79-BEE802BC9142}" name="Column8667"/>
    <tableColumn id="8671" xr3:uid="{A7D1B9DB-B0E2-4371-91CA-E506EEFA2DBB}" name="Column8668"/>
    <tableColumn id="8672" xr3:uid="{B1549D88-C09A-4287-84EA-AA081A45C5EC}" name="Column8669"/>
    <tableColumn id="8673" xr3:uid="{CB8A66F5-656B-4F64-B2B7-379EBA9145E4}" name="Column8670"/>
    <tableColumn id="8674" xr3:uid="{AE9F376C-B541-4566-B953-36D16455C440}" name="Column8671"/>
    <tableColumn id="8675" xr3:uid="{AC0376B6-0B60-4F61-8579-F955D072C151}" name="Column8672"/>
    <tableColumn id="8676" xr3:uid="{D7BBA70F-E6BC-4E04-AC17-A454F0F0818A}" name="Column8673"/>
    <tableColumn id="8677" xr3:uid="{1B3D1590-7E69-4DD9-8D52-D1443358B4A2}" name="Column8674"/>
    <tableColumn id="8678" xr3:uid="{37748F41-DC77-4917-AD98-6D215BE9DC1C}" name="Column8675"/>
    <tableColumn id="8679" xr3:uid="{BAD46142-E3B8-47B1-9A96-ABAFC9B79231}" name="Column8676"/>
    <tableColumn id="8680" xr3:uid="{482E07D0-17CF-417B-B428-1140CB499603}" name="Column8677"/>
    <tableColumn id="8681" xr3:uid="{6FA90C4B-CCC0-43D5-A3E4-3F9AF392520D}" name="Column8678"/>
    <tableColumn id="8682" xr3:uid="{06A7DCBC-7FB5-4B71-896A-6AED47BF5149}" name="Column8679"/>
    <tableColumn id="8683" xr3:uid="{54A30930-CEB6-4696-A9A5-51C91DFE690B}" name="Column8680"/>
    <tableColumn id="8684" xr3:uid="{0CD0AA9F-A066-43E3-B0A9-F6B38C24AA51}" name="Column8681"/>
    <tableColumn id="8685" xr3:uid="{7615B1E5-82AD-4C35-B753-31377C9813F5}" name="Column8682"/>
    <tableColumn id="8686" xr3:uid="{69493E88-E32D-4D66-9D9D-C0F119B26DDF}" name="Column8683"/>
    <tableColumn id="8687" xr3:uid="{38DE9AD0-C5A1-4816-B496-E32453155D00}" name="Column8684"/>
    <tableColumn id="8688" xr3:uid="{31A65940-E175-4D9A-8097-28E33320D85D}" name="Column8685"/>
    <tableColumn id="8689" xr3:uid="{E9A51A96-941D-463C-8A86-1F588410AEC3}" name="Column8686"/>
    <tableColumn id="8690" xr3:uid="{99D31954-4AD3-4ED9-82AE-F690D2E0F0AE}" name="Column8687"/>
    <tableColumn id="8691" xr3:uid="{53335FE3-2AAD-4313-98DB-B8350D37D961}" name="Column8688"/>
    <tableColumn id="8692" xr3:uid="{55DB527A-29C3-42ED-AB0B-FB17D718E98C}" name="Column8689"/>
    <tableColumn id="8693" xr3:uid="{28E9096C-753A-4F36-BD7E-38D36236AA0F}" name="Column8690"/>
    <tableColumn id="8694" xr3:uid="{C38620AE-7EFF-4F78-ACCA-DC30B286F06A}" name="Column8691"/>
    <tableColumn id="8695" xr3:uid="{1C8D4EF7-6FE7-47CD-A6CA-0627B81706BE}" name="Column8692"/>
    <tableColumn id="8696" xr3:uid="{CD3829D1-F661-44F1-AB5E-A36BBEFE756F}" name="Column8693"/>
    <tableColumn id="8697" xr3:uid="{5415EE99-4D99-4206-9897-803F0B56CF7F}" name="Column8694"/>
    <tableColumn id="8698" xr3:uid="{3F13974E-CED9-4C8F-AA29-F6D20D37E3A6}" name="Column8695"/>
    <tableColumn id="8699" xr3:uid="{0E2BD391-2B45-4697-9A5D-B3F73CF36283}" name="Column8696"/>
    <tableColumn id="8700" xr3:uid="{FE6471CD-FD95-4DFD-AF71-6F65103530FC}" name="Column8697"/>
    <tableColumn id="8701" xr3:uid="{E39DE603-7F6C-4C01-86E3-7BA841D7ADE6}" name="Column8698"/>
    <tableColumn id="8702" xr3:uid="{5899E365-6043-4943-B136-C01D518CB59B}" name="Column8699"/>
    <tableColumn id="8703" xr3:uid="{24F786A6-8164-46E4-9FB2-997B8262DC83}" name="Column8700"/>
    <tableColumn id="8704" xr3:uid="{A11BA349-6C19-44B8-875A-0118171F1C36}" name="Column8701"/>
    <tableColumn id="8705" xr3:uid="{63A37B6F-C524-4846-8C5A-E98645F163B1}" name="Column8702"/>
    <tableColumn id="8706" xr3:uid="{955903A7-C27C-4E9D-AF7B-829DA0973399}" name="Column8703"/>
    <tableColumn id="8707" xr3:uid="{7D6157A4-C2CD-4F4D-AAF7-FC6BC27CE1E6}" name="Column8704"/>
    <tableColumn id="8708" xr3:uid="{C879428A-4961-4658-B8BA-B97959381ED4}" name="Column8705"/>
    <tableColumn id="8709" xr3:uid="{7E9111E4-FA7C-44D0-96DF-DCFEEC44C9B7}" name="Column8706"/>
    <tableColumn id="8710" xr3:uid="{78BEE16C-689B-4207-9F64-DDE3B1E593BF}" name="Column8707"/>
    <tableColumn id="8711" xr3:uid="{6F495327-DFD3-4ADF-825B-3DE8DF0E7036}" name="Column8708"/>
    <tableColumn id="8712" xr3:uid="{6B17EB49-AD69-49FE-952D-53884F95BA78}" name="Column8709"/>
    <tableColumn id="8713" xr3:uid="{1E1E486A-2B45-4307-BB71-8BFB29D51861}" name="Column8710"/>
    <tableColumn id="8714" xr3:uid="{BE59BEAB-45CF-483E-B788-392B1863276F}" name="Column8711"/>
    <tableColumn id="8715" xr3:uid="{6D981189-7973-4801-831A-F8942EB06407}" name="Column8712"/>
    <tableColumn id="8716" xr3:uid="{E1E0B944-EA19-4A00-9183-03EFB2A7B698}" name="Column8713"/>
    <tableColumn id="8717" xr3:uid="{B93A1B14-7DBF-4CDB-978B-98D7F7AF3BDF}" name="Column8714"/>
    <tableColumn id="8718" xr3:uid="{3BE6B336-AED1-4DDE-A76C-F26BEF92CB18}" name="Column8715"/>
    <tableColumn id="8719" xr3:uid="{4E3A6D86-8AA5-4B57-9F3C-037DCEF5F7F1}" name="Column8716"/>
    <tableColumn id="8720" xr3:uid="{8A5B5D27-73B7-4859-9DF3-8A59CDEEC7BE}" name="Column8717"/>
    <tableColumn id="8721" xr3:uid="{F34AB7E1-313F-42CC-9362-2F9D37AD7216}" name="Column8718"/>
    <tableColumn id="8722" xr3:uid="{F767EAA8-DBA5-4BD9-A285-0E6FF0E2CB4F}" name="Column8719"/>
    <tableColumn id="8723" xr3:uid="{87C87742-6927-4D04-AA0F-CFB1365BE156}" name="Column8720"/>
    <tableColumn id="8724" xr3:uid="{95EAFAD5-FDA9-477E-897B-EB57739F63B4}" name="Column8721"/>
    <tableColumn id="8725" xr3:uid="{C2FFDCCB-03E4-4F51-9E6F-8B28F18B5B34}" name="Column8722"/>
    <tableColumn id="8726" xr3:uid="{75F78B19-02BF-47CF-914F-CFB4A26EE61B}" name="Column8723"/>
    <tableColumn id="8727" xr3:uid="{12457039-5D6B-419A-971A-A2DB267E5F7F}" name="Column8724"/>
    <tableColumn id="8728" xr3:uid="{83AB22E8-9E06-419F-8FCB-694B996E5BFE}" name="Column8725"/>
    <tableColumn id="8729" xr3:uid="{F0B9F855-FEF7-490E-A04A-2B8869DA5837}" name="Column8726"/>
    <tableColumn id="8730" xr3:uid="{E4BF9D6B-3536-4776-8C4C-2ECA328A0B0E}" name="Column8727"/>
    <tableColumn id="8731" xr3:uid="{12AF2412-DFA8-4C84-A963-F3182446F19F}" name="Column8728"/>
    <tableColumn id="8732" xr3:uid="{DC3AE01D-0455-41EB-8D6A-8D8808192301}" name="Column8729"/>
    <tableColumn id="8733" xr3:uid="{41206985-A991-4E99-BE0F-A9C57AC342E4}" name="Column8730"/>
    <tableColumn id="8734" xr3:uid="{CB1AF192-BD58-4B43-A9E8-F4B83D39423B}" name="Column8731"/>
    <tableColumn id="8735" xr3:uid="{B9CADA1E-B231-428B-995C-241765BE648F}" name="Column8732"/>
    <tableColumn id="8736" xr3:uid="{5AA2CEB2-2B16-41A4-8C96-AF594524A80A}" name="Column8733"/>
    <tableColumn id="8737" xr3:uid="{7186A4F7-5D2E-46C5-B01C-12CA218AECAC}" name="Column8734"/>
    <tableColumn id="8738" xr3:uid="{EBEE09BE-CB86-429A-9013-474D61651367}" name="Column8735"/>
    <tableColumn id="8739" xr3:uid="{00F84800-0675-4933-8FC4-507B08E77DBB}" name="Column8736"/>
    <tableColumn id="8740" xr3:uid="{AB0BEB66-FD8F-499F-9025-14AD02004717}" name="Column8737"/>
    <tableColumn id="8741" xr3:uid="{DFA2226D-655B-4784-80C9-2425C276A707}" name="Column8738"/>
    <tableColumn id="8742" xr3:uid="{85447BF7-D710-4E4A-9DA4-D6F5F491E722}" name="Column8739"/>
    <tableColumn id="8743" xr3:uid="{DA160617-5D1B-48F6-B3C8-3E183643ADE9}" name="Column8740"/>
    <tableColumn id="8744" xr3:uid="{6D36E14F-9881-4F7B-A42E-A4234BD405E5}" name="Column8741"/>
    <tableColumn id="8745" xr3:uid="{3AFEFDF1-2045-4FA2-89BE-61E81580C844}" name="Column8742"/>
    <tableColumn id="8746" xr3:uid="{5AD0E64F-262B-4F06-A42F-F9A4BD56EAAE}" name="Column8743"/>
    <tableColumn id="8747" xr3:uid="{75913FFE-6D7D-402B-B989-13E13708DA2C}" name="Column8744"/>
    <tableColumn id="8748" xr3:uid="{877CF6B3-C723-409D-BA82-AA21E4DDD5F4}" name="Column8745"/>
    <tableColumn id="8749" xr3:uid="{15E96C4B-2BA0-4BB8-8677-5190E694610B}" name="Column8746"/>
    <tableColumn id="8750" xr3:uid="{C31199C1-34B1-4D49-A2EC-49009089BA83}" name="Column8747"/>
    <tableColumn id="8751" xr3:uid="{01410107-F4B9-42CC-BE1F-3491C493D5A6}" name="Column8748"/>
    <tableColumn id="8752" xr3:uid="{C8FD3519-4062-42E7-8F08-63EDC5DB80D7}" name="Column8749"/>
    <tableColumn id="8753" xr3:uid="{0791DA74-FC87-4343-9784-A59C96F1C9F1}" name="Column8750"/>
    <tableColumn id="8754" xr3:uid="{8F2EEDAF-4430-45FD-95D1-45089C77903A}" name="Column8751"/>
    <tableColumn id="8755" xr3:uid="{EDC4C5B5-5AD7-4850-BB3C-D1A684F5F3CE}" name="Column8752"/>
    <tableColumn id="8756" xr3:uid="{075B86E3-8824-4CC9-8648-FA4D813E5DC2}" name="Column8753"/>
    <tableColumn id="8757" xr3:uid="{F7781F57-3D0D-48C2-BB43-3D8246FB1376}" name="Column8754"/>
    <tableColumn id="8758" xr3:uid="{02727335-6F8D-42A1-A69A-C433AFDEF2EF}" name="Column8755"/>
    <tableColumn id="8759" xr3:uid="{21FE50B2-D259-4AFD-892F-1203A66204EC}" name="Column8756"/>
    <tableColumn id="8760" xr3:uid="{595EF17D-33A4-4E4E-AE8B-F1F9F6C8E457}" name="Column8757"/>
    <tableColumn id="8761" xr3:uid="{812C1F11-62AD-4D3E-AFCA-100F46936BA1}" name="Column8758"/>
    <tableColumn id="8762" xr3:uid="{90936DF9-7798-44B6-B687-6CB2AE27C704}" name="Column8759"/>
    <tableColumn id="8763" xr3:uid="{E0EB0BFA-B121-4087-B755-5938EA56760B}" name="Column8760"/>
    <tableColumn id="8764" xr3:uid="{52A99034-E186-409E-A185-E786F743969A}" name="Column8761"/>
    <tableColumn id="8765" xr3:uid="{1A94394C-48D5-4000-AD02-08E381F65655}" name="Column8762"/>
    <tableColumn id="8766" xr3:uid="{3C5A9A71-9D84-47FE-8A0F-EE5778CF0A2E}" name="Column8763"/>
    <tableColumn id="8767" xr3:uid="{4B59D45B-73E9-4BD2-B1D3-356DC63C1B4B}" name="Column8764"/>
    <tableColumn id="8768" xr3:uid="{A51860E2-4831-4054-93BE-ABAA1FCFCC7D}" name="Column8765"/>
    <tableColumn id="8769" xr3:uid="{17FABA95-F800-4D25-A5C7-6ABCB2926EFB}" name="Column8766"/>
    <tableColumn id="8770" xr3:uid="{EFAFC87C-7EB6-46BD-A8B4-C2D8D5465E4A}" name="Column8767"/>
    <tableColumn id="8771" xr3:uid="{79C5AD37-8ED9-480E-A115-24C8731353F7}" name="Column8768"/>
    <tableColumn id="8772" xr3:uid="{0CB4395A-1C9F-4C71-B98E-5262D9EC1FA1}" name="Column8769"/>
    <tableColumn id="8773" xr3:uid="{1D680895-1214-418F-8C45-053E728BE114}" name="Column8770"/>
    <tableColumn id="8774" xr3:uid="{E89AC249-9643-434D-AAD9-7F9EC5FEBB80}" name="Column8771"/>
    <tableColumn id="8775" xr3:uid="{CB106639-121B-41DA-9BE7-3FF44E623C40}" name="Column8772"/>
    <tableColumn id="8776" xr3:uid="{64660CDC-5837-4071-A6D6-C2287934332F}" name="Column8773"/>
    <tableColumn id="8777" xr3:uid="{A2DC2CB3-2048-4FE0-A53C-929134CB615E}" name="Column8774"/>
    <tableColumn id="8778" xr3:uid="{49FFCF04-457A-4935-A620-5BCD7CB9ACB2}" name="Column8775"/>
    <tableColumn id="8779" xr3:uid="{293E92CA-0B37-4F3B-BA6C-2BC8EF52F60C}" name="Column8776"/>
    <tableColumn id="8780" xr3:uid="{79124634-8F6B-45C8-ACED-96C7D4C6E264}" name="Column8777"/>
    <tableColumn id="8781" xr3:uid="{1BE99B41-9FB6-4FA9-AA79-51F835A82C33}" name="Column8778"/>
    <tableColumn id="8782" xr3:uid="{92E8B391-4143-49E1-9A01-3F38EF15DC0F}" name="Column8779"/>
    <tableColumn id="8783" xr3:uid="{1451DAA2-A72E-44C2-BD0A-86DA9FBCAB9A}" name="Column8780"/>
    <tableColumn id="8784" xr3:uid="{DE45C657-8F09-48C7-9734-72A70A2C7C2D}" name="Column8781"/>
    <tableColumn id="8785" xr3:uid="{F25A84A3-227F-47F0-AD43-32B2B23B9C83}" name="Column8782"/>
    <tableColumn id="8786" xr3:uid="{F85240DB-4A09-4180-A4B8-2BED73666A7D}" name="Column8783"/>
    <tableColumn id="8787" xr3:uid="{CE84514D-666E-46CD-9DC0-537069E5E25A}" name="Column8784"/>
    <tableColumn id="8788" xr3:uid="{BDF8AFDF-278E-4421-958A-D38EB7115D60}" name="Column8785"/>
    <tableColumn id="8789" xr3:uid="{3EA1BC07-5DD3-424A-96FB-59F3ED510AFD}" name="Column8786"/>
    <tableColumn id="8790" xr3:uid="{D1C9A304-98EC-44DF-8858-C3D716B191CD}" name="Column8787"/>
    <tableColumn id="8791" xr3:uid="{D8A8A48B-8D60-40CD-B8AE-97B315B87EFB}" name="Column8788"/>
    <tableColumn id="8792" xr3:uid="{17F565AA-41B4-466A-A5D6-D64C248CB48A}" name="Column8789"/>
    <tableColumn id="8793" xr3:uid="{581EBEBF-498C-4B32-915C-CC99F7D38715}" name="Column8790"/>
    <tableColumn id="8794" xr3:uid="{99A95BD9-4388-4E10-B72E-B84B2F19AE8F}" name="Column8791"/>
    <tableColumn id="8795" xr3:uid="{271DCE18-804E-4FA1-A27D-CD5C655607ED}" name="Column8792"/>
    <tableColumn id="8796" xr3:uid="{ABCDC82D-0B8F-49F1-870B-CA88F1D47F90}" name="Column8793"/>
    <tableColumn id="8797" xr3:uid="{D54BCC72-AAD0-4E3D-ADD6-1FBE3635F26D}" name="Column8794"/>
    <tableColumn id="8798" xr3:uid="{99D594BD-53B4-4A2D-8710-A20AD30221A1}" name="Column8795"/>
    <tableColumn id="8799" xr3:uid="{72134BEE-0AD8-434C-9890-9DBF2E234686}" name="Column8796"/>
    <tableColumn id="8800" xr3:uid="{1F9DA791-77BD-4641-B7EE-F754A481AEF5}" name="Column8797"/>
    <tableColumn id="8801" xr3:uid="{0DF6E0E6-9902-4FBC-8549-363BE97EA32B}" name="Column8798"/>
    <tableColumn id="8802" xr3:uid="{B6E1993E-74FD-49DE-8852-C36D381156A5}" name="Column8799"/>
    <tableColumn id="8803" xr3:uid="{666BDFDB-FD96-4C39-8325-9749EE49D548}" name="Column8800"/>
    <tableColumn id="8804" xr3:uid="{D1973754-6152-4F1E-BD9B-DBE7395334C6}" name="Column8801"/>
    <tableColumn id="8805" xr3:uid="{3C657946-EA67-4E3E-9CA5-C66176193135}" name="Column8802"/>
    <tableColumn id="8806" xr3:uid="{D781425B-94F5-4939-B60E-495250167E7B}" name="Column8803"/>
    <tableColumn id="8807" xr3:uid="{AD8AFA68-82C1-4A78-A310-A9B9DC93712A}" name="Column8804"/>
    <tableColumn id="8808" xr3:uid="{DDE47BD6-E77B-4B19-B442-9AE760B64B3F}" name="Column8805"/>
    <tableColumn id="8809" xr3:uid="{78BE087D-A5AA-4077-A163-E56538768D86}" name="Column8806"/>
    <tableColumn id="8810" xr3:uid="{030A10A8-066A-4D7F-89B5-62429C843A38}" name="Column8807"/>
    <tableColumn id="8811" xr3:uid="{05813F51-05B4-4E34-A310-42D50352C749}" name="Column8808"/>
    <tableColumn id="8812" xr3:uid="{A33D6E1F-BE2C-4978-945B-CD9443C2045E}" name="Column8809"/>
    <tableColumn id="8813" xr3:uid="{0C1C580C-7E07-4D80-9365-CAE29261CDA8}" name="Column8810"/>
    <tableColumn id="8814" xr3:uid="{076D492D-8736-4569-B2EA-D964A26FE8EC}" name="Column8811"/>
    <tableColumn id="8815" xr3:uid="{551C467D-1D54-4C90-933B-1E7804C9EE45}" name="Column8812"/>
    <tableColumn id="8816" xr3:uid="{01526A8C-A44C-452A-A977-2E2B690F95A0}" name="Column8813"/>
    <tableColumn id="8817" xr3:uid="{C022ECE2-961E-4944-A90D-87CFE956DBAD}" name="Column8814"/>
    <tableColumn id="8818" xr3:uid="{BA5CE7E1-73D4-4632-9578-1CB8C4AFBC5C}" name="Column8815"/>
    <tableColumn id="8819" xr3:uid="{56903743-3049-4AE0-9986-4B48EB17FBED}" name="Column8816"/>
    <tableColumn id="8820" xr3:uid="{379D5A38-D414-49DD-9B00-4F14163A93DC}" name="Column8817"/>
    <tableColumn id="8821" xr3:uid="{A5EEFD3F-04A3-4C93-80D0-14414EE532FD}" name="Column8818"/>
    <tableColumn id="8822" xr3:uid="{96ECFBF2-334A-479E-AE8F-6AB8E09420E3}" name="Column8819"/>
    <tableColumn id="8823" xr3:uid="{E675CF61-16AD-4ACA-87C8-5C0DA47F48A3}" name="Column8820"/>
    <tableColumn id="8824" xr3:uid="{1D47E33C-9F7B-4F7C-A0F6-8A6C279410AF}" name="Column8821"/>
    <tableColumn id="8825" xr3:uid="{E2E7F24A-9FD8-4403-8F71-1A58E60A27F8}" name="Column8822"/>
    <tableColumn id="8826" xr3:uid="{301DE653-87CC-4C0E-9D64-5BD47601E81E}" name="Column8823"/>
    <tableColumn id="8827" xr3:uid="{70D0C9D1-F01E-4085-912C-CE9E636EE59D}" name="Column8824"/>
    <tableColumn id="8828" xr3:uid="{B6B6E800-45CA-4FFE-9DE0-7BE7305CA7D2}" name="Column8825"/>
    <tableColumn id="8829" xr3:uid="{904D921B-6DA2-4623-905F-D81BE1D73464}" name="Column8826"/>
    <tableColumn id="8830" xr3:uid="{0A577733-C9FC-43C2-B318-9A9B0E1276B0}" name="Column8827"/>
    <tableColumn id="8831" xr3:uid="{382208F2-9B36-41AC-9D36-024649F33333}" name="Column8828"/>
    <tableColumn id="8832" xr3:uid="{64441BD3-9230-4C3F-9C92-7E8961FE1092}" name="Column8829"/>
    <tableColumn id="8833" xr3:uid="{804F3E7A-986D-4B11-83B0-76710970EC1F}" name="Column8830"/>
    <tableColumn id="8834" xr3:uid="{E19192A2-9DCD-44BF-AE8B-45277718B235}" name="Column8831"/>
    <tableColumn id="8835" xr3:uid="{8B3C8AA5-6FA9-43E3-ACB8-F155356B1878}" name="Column8832"/>
    <tableColumn id="8836" xr3:uid="{93451F72-A584-4E92-9615-464E17D6AB9A}" name="Column8833"/>
    <tableColumn id="8837" xr3:uid="{FD9EC69F-716E-4484-AD75-EAD53C01C08F}" name="Column8834"/>
    <tableColumn id="8838" xr3:uid="{5B5990ED-5530-48BD-980A-BBDC7CA15829}" name="Column8835"/>
    <tableColumn id="8839" xr3:uid="{45C07C27-6123-473C-9742-8B41FE302567}" name="Column8836"/>
    <tableColumn id="8840" xr3:uid="{C9D9AD24-6FF8-4AE5-9E02-698BC7092C24}" name="Column8837"/>
    <tableColumn id="8841" xr3:uid="{133A6A15-2F2E-411F-8842-44356E5E1ECD}" name="Column8838"/>
    <tableColumn id="8842" xr3:uid="{F097DFC9-F215-4DCC-B31B-7A88AEE5687C}" name="Column8839"/>
    <tableColumn id="8843" xr3:uid="{03EAA64F-C16D-4313-885E-8E5FC993E672}" name="Column8840"/>
    <tableColumn id="8844" xr3:uid="{33F90770-12E4-47E6-8558-31F7912D3516}" name="Column8841"/>
    <tableColumn id="8845" xr3:uid="{B0C80B2A-67F5-48EA-AC38-5630DE5367F1}" name="Column8842"/>
    <tableColumn id="8846" xr3:uid="{E2BDCBCB-30E3-410A-9A24-AE3BBE5A7866}" name="Column8843"/>
    <tableColumn id="8847" xr3:uid="{D6390B98-C61F-4829-B89E-BFDC9B9E2BD3}" name="Column8844"/>
    <tableColumn id="8848" xr3:uid="{DD3BE174-432F-4C3E-90B5-28938174E4A7}" name="Column8845"/>
    <tableColumn id="8849" xr3:uid="{2F396AFD-9C5E-4D18-996B-1BB67D51985B}" name="Column8846"/>
    <tableColumn id="8850" xr3:uid="{D91A6EC2-2881-4DF1-8B91-97FC45A1E675}" name="Column8847"/>
    <tableColumn id="8851" xr3:uid="{0214A490-B0E2-4891-B2E2-C99E7AEFF61A}" name="Column8848"/>
    <tableColumn id="8852" xr3:uid="{6AD0DF85-02C8-46DA-9C31-219BDE7D8047}" name="Column8849"/>
    <tableColumn id="8853" xr3:uid="{C63FDC89-38A0-419D-B354-92FA8668033A}" name="Column8850"/>
    <tableColumn id="8854" xr3:uid="{354635D8-497A-46E6-A60E-F02A49034455}" name="Column8851"/>
    <tableColumn id="8855" xr3:uid="{47B15A69-EBB9-4F74-9355-4B9B152B39D8}" name="Column8852"/>
    <tableColumn id="8856" xr3:uid="{CBEA9CBC-E00B-46C9-81DB-1E10BD2A846D}" name="Column8853"/>
    <tableColumn id="8857" xr3:uid="{BBD29385-6056-4416-A5FA-CAC3064E71B4}" name="Column8854"/>
    <tableColumn id="8858" xr3:uid="{A5674F18-5F51-4EE3-9593-B4433701744C}" name="Column8855"/>
    <tableColumn id="8859" xr3:uid="{0DC512DF-2DD4-49C9-83CA-BF7E8BB370CB}" name="Column8856"/>
    <tableColumn id="8860" xr3:uid="{80A9B594-5490-4C68-9826-DFDBA55EED0C}" name="Column8857"/>
    <tableColumn id="8861" xr3:uid="{ABB05733-B6BF-4AEA-86AE-D78204623B86}" name="Column8858"/>
    <tableColumn id="8862" xr3:uid="{DAB8CE39-5808-43A1-A054-7C7108208C09}" name="Column8859"/>
    <tableColumn id="8863" xr3:uid="{24E8C188-5E41-455B-94B2-CB8AA57C469D}" name="Column8860"/>
    <tableColumn id="8864" xr3:uid="{BB11BF84-A17E-40BD-84A3-12CC9AF4F10F}" name="Column8861"/>
    <tableColumn id="8865" xr3:uid="{2F420B66-3906-4A51-899C-0303A76CBBF4}" name="Column8862"/>
    <tableColumn id="8866" xr3:uid="{0B80016E-603E-4B02-B114-A5D65E757771}" name="Column8863"/>
    <tableColumn id="8867" xr3:uid="{FCB63D77-0709-4F12-B158-9BE7CB51FD93}" name="Column8864"/>
    <tableColumn id="8868" xr3:uid="{6F13E388-90AF-4F79-B753-0A1A08B2AC1A}" name="Column8865"/>
    <tableColumn id="8869" xr3:uid="{B15AC39D-2C2A-4564-93EC-9F59A019E015}" name="Column8866"/>
    <tableColumn id="8870" xr3:uid="{0A773F9D-1178-46CA-B668-15B2896B64AF}" name="Column8867"/>
    <tableColumn id="8871" xr3:uid="{4B85A43D-E51E-45EE-9FDE-5CE7A53A06D9}" name="Column8868"/>
    <tableColumn id="8872" xr3:uid="{C4E9FA08-C1DC-45E0-A56A-FD274092D0A1}" name="Column8869"/>
    <tableColumn id="8873" xr3:uid="{65AD047B-C8F0-4E44-A95B-3A40E4F9BBA2}" name="Column8870"/>
    <tableColumn id="8874" xr3:uid="{2B9A7CB0-391F-4448-AB23-8A80506D869F}" name="Column8871"/>
    <tableColumn id="8875" xr3:uid="{409A3D99-F2EB-4E07-9938-002DCE81E8A6}" name="Column8872"/>
    <tableColumn id="8876" xr3:uid="{4015D8D2-6197-40A5-A8F0-3C1EB86F3302}" name="Column8873"/>
    <tableColumn id="8877" xr3:uid="{A3B27F9F-0466-4C47-81CE-8C1CD4537E94}" name="Column8874"/>
    <tableColumn id="8878" xr3:uid="{9F9E7BCB-3623-48D5-A56F-9FFEC1FBD9B9}" name="Column8875"/>
    <tableColumn id="8879" xr3:uid="{5BD7BC60-0857-4118-AE27-6DADEF9AF656}" name="Column8876"/>
    <tableColumn id="8880" xr3:uid="{1F62E68D-8886-4E25-B748-B39CB8CE7ABB}" name="Column8877"/>
    <tableColumn id="8881" xr3:uid="{343791ED-53E7-42A4-AF1D-17206132E7A9}" name="Column8878"/>
    <tableColumn id="8882" xr3:uid="{882F09D4-5820-4C98-9446-0CCBB77066D8}" name="Column8879"/>
    <tableColumn id="8883" xr3:uid="{75F66E00-35A8-4B9F-B328-6D80C9F041DB}" name="Column8880"/>
    <tableColumn id="8884" xr3:uid="{1209422D-9BE3-4AA5-BAE2-C7C48803C01A}" name="Column8881"/>
    <tableColumn id="8885" xr3:uid="{34DEE448-2EDE-4E2A-A3B0-80B50428FFDF}" name="Column8882"/>
    <tableColumn id="8886" xr3:uid="{08242845-C703-4126-ACC5-CA9D8441FBF5}" name="Column8883"/>
    <tableColumn id="8887" xr3:uid="{DC2F2A6E-F8F0-4545-A578-0B6218B70F91}" name="Column8884"/>
    <tableColumn id="8888" xr3:uid="{4F1CCD23-BDC7-485E-8B5E-56C7EBB63507}" name="Column8885"/>
    <tableColumn id="8889" xr3:uid="{41AB8B7F-8217-41AC-9A20-4EFBB1BE0FB3}" name="Column8886"/>
    <tableColumn id="8890" xr3:uid="{980739AD-8E6B-426A-A807-CF327496DB6C}" name="Column8887"/>
    <tableColumn id="8891" xr3:uid="{EC152720-91BF-4447-8804-87D8D91F3F59}" name="Column8888"/>
    <tableColumn id="8892" xr3:uid="{A7D06E65-CDC3-4A07-A239-EA0FC162193F}" name="Column8889"/>
    <tableColumn id="8893" xr3:uid="{266D8C40-A07C-495A-AB93-781D83EDBB36}" name="Column8890"/>
    <tableColumn id="8894" xr3:uid="{50B8BE55-24EA-46F2-9A19-3C1C05268D62}" name="Column8891"/>
    <tableColumn id="8895" xr3:uid="{B4E6D09F-F8F0-4D02-B3DB-52045D4299AC}" name="Column8892"/>
    <tableColumn id="8896" xr3:uid="{B4FDA512-7A94-454C-98DB-6CCD342C315D}" name="Column8893"/>
    <tableColumn id="8897" xr3:uid="{8E1AFA40-47BF-4375-8113-B80CB4140A6D}" name="Column8894"/>
    <tableColumn id="8898" xr3:uid="{034C9415-DFBC-4983-9563-CBE9EFA8AFE1}" name="Column8895"/>
    <tableColumn id="8899" xr3:uid="{FE5E6B59-336F-4D51-87A0-B725F2B0E133}" name="Column8896"/>
    <tableColumn id="8900" xr3:uid="{CB5351AA-4351-4A74-A96A-7606FE066FF9}" name="Column8897"/>
    <tableColumn id="8901" xr3:uid="{3FC6BB2E-EBEB-48A6-8E8F-0AA5A754B268}" name="Column8898"/>
    <tableColumn id="8902" xr3:uid="{1369C217-3319-45BD-B1C4-15901CBB0AF6}" name="Column8899"/>
    <tableColumn id="8903" xr3:uid="{FC1DAF1D-47B9-4023-ADA6-B326C4CB94A8}" name="Column8900"/>
    <tableColumn id="8904" xr3:uid="{FC0DAB87-FD9E-46BE-B69E-F1478FC87628}" name="Column8901"/>
    <tableColumn id="8905" xr3:uid="{E8B4F573-1C45-423E-9EEB-8BF7574C75C3}" name="Column8902"/>
    <tableColumn id="8906" xr3:uid="{08594FF6-DBBF-4DAF-AF86-358FF3CF6EE6}" name="Column8903"/>
    <tableColumn id="8907" xr3:uid="{56969CD7-E381-466E-A409-824DAA779A4F}" name="Column8904"/>
    <tableColumn id="8908" xr3:uid="{7B0E562F-D932-4F20-B7DE-93D567EC296D}" name="Column8905"/>
    <tableColumn id="8909" xr3:uid="{54C9A4E1-D13D-4EA6-8C2B-FEF4CD53D317}" name="Column8906"/>
    <tableColumn id="8910" xr3:uid="{BB111032-B456-445C-884C-9A313CDD00BD}" name="Column8907"/>
    <tableColumn id="8911" xr3:uid="{21E572D9-8E42-4F18-BBD2-5639DC9750ED}" name="Column8908"/>
    <tableColumn id="8912" xr3:uid="{FC04CA24-0F54-4640-99AD-1533E43DD9CD}" name="Column8909"/>
    <tableColumn id="8913" xr3:uid="{ACA3B21E-3A1E-4220-ABFE-A6EF49932756}" name="Column8910"/>
    <tableColumn id="8914" xr3:uid="{737AD1E3-88A2-4EB4-B009-751A3E6C7F44}" name="Column8911"/>
    <tableColumn id="8915" xr3:uid="{53FB5D41-D5A2-4B78-9B8E-AF864FDF0130}" name="Column8912"/>
    <tableColumn id="8916" xr3:uid="{9A47F68D-A126-4083-A608-36BC8B220CDB}" name="Column8913"/>
    <tableColumn id="8917" xr3:uid="{797B57B9-B7DC-461F-B89B-4FC6F6ECC046}" name="Column8914"/>
    <tableColumn id="8918" xr3:uid="{94412953-A89B-45BF-A8E7-8C28F04B363B}" name="Column8915"/>
    <tableColumn id="8919" xr3:uid="{A81B1D17-0DB4-4B60-A5CA-A8FD9FFA4221}" name="Column8916"/>
    <tableColumn id="8920" xr3:uid="{DE05126D-49B9-404E-AFEE-77EE9B089F80}" name="Column8917"/>
    <tableColumn id="8921" xr3:uid="{0F0E5A8F-0B45-4E58-8676-725C8A59FE55}" name="Column8918"/>
    <tableColumn id="8922" xr3:uid="{6CA6155F-4FD8-4FAA-BC3B-48D5322B8DAD}" name="Column8919"/>
    <tableColumn id="8923" xr3:uid="{479EB2ED-782E-4B26-AC7B-57C4043B8959}" name="Column8920"/>
    <tableColumn id="8924" xr3:uid="{668AFE04-3ED3-4282-BE39-653F56FADC75}" name="Column8921"/>
    <tableColumn id="8925" xr3:uid="{EAB3E83E-3451-40AF-B05C-42CEEA12FAE1}" name="Column8922"/>
    <tableColumn id="8926" xr3:uid="{163195BB-98D2-498C-AD4D-8C65AF76356D}" name="Column8923"/>
    <tableColumn id="8927" xr3:uid="{DA47F11C-3709-4F7A-867F-EB6397508ADF}" name="Column8924"/>
    <tableColumn id="8928" xr3:uid="{C547F5F7-9105-4198-972D-5AA5A215A765}" name="Column8925"/>
    <tableColumn id="8929" xr3:uid="{5D23242F-2E26-47AC-9ADD-CB2F13F4D59E}" name="Column8926"/>
    <tableColumn id="8930" xr3:uid="{423C3183-B2ED-4232-8BAC-D5061C48B8A8}" name="Column8927"/>
    <tableColumn id="8931" xr3:uid="{78857C3C-9E75-4811-B245-029393378640}" name="Column8928"/>
    <tableColumn id="8932" xr3:uid="{63458CEF-9F8A-4CDE-B268-7853B7E11ECA}" name="Column8929"/>
    <tableColumn id="8933" xr3:uid="{D40DE2E6-0A96-4D6C-9604-581FEA741027}" name="Column8930"/>
    <tableColumn id="8934" xr3:uid="{7CD10A87-09B4-411D-9153-ACCD27BBFA6D}" name="Column8931"/>
    <tableColumn id="8935" xr3:uid="{5AE02222-E4DF-4809-8847-30AA5C0A6450}" name="Column8932"/>
    <tableColumn id="8936" xr3:uid="{D3B2F859-DBA5-49B3-B3A0-BD3115AA48A4}" name="Column8933"/>
    <tableColumn id="8937" xr3:uid="{369CA639-9948-4BE9-9A78-AED5C5BFD9BB}" name="Column8934"/>
    <tableColumn id="8938" xr3:uid="{72E1CC58-2E2D-4BA5-B900-EB7F94096104}" name="Column8935"/>
    <tableColumn id="8939" xr3:uid="{8251D5DB-1D7A-436B-A8E3-14F7C1F51C39}" name="Column8936"/>
    <tableColumn id="8940" xr3:uid="{A3288335-BC46-428E-B7FE-9CCEFABA409C}" name="Column8937"/>
    <tableColumn id="8941" xr3:uid="{40F22787-A4DC-476B-BBA0-B07FA5CDADC6}" name="Column8938"/>
    <tableColumn id="8942" xr3:uid="{89DD9422-ABC5-4AA0-90E7-2115F0417188}" name="Column8939"/>
    <tableColumn id="8943" xr3:uid="{F45B4CE3-13D1-40B9-95CD-608EF30F097F}" name="Column8940"/>
    <tableColumn id="8944" xr3:uid="{0AE02BD8-463E-4EA7-8453-2C226912470E}" name="Column8941"/>
    <tableColumn id="8945" xr3:uid="{C35F3333-50E9-42DF-BF20-9F976B6AB999}" name="Column8942"/>
    <tableColumn id="8946" xr3:uid="{6CB70587-045F-467B-AFFC-AC18685849BF}" name="Column8943"/>
    <tableColumn id="8947" xr3:uid="{27C7B509-86B3-4903-B519-92428A9C3DA6}" name="Column8944"/>
    <tableColumn id="8948" xr3:uid="{17C94949-9B72-4336-8441-ADB7097DA27E}" name="Column8945"/>
    <tableColumn id="8949" xr3:uid="{95A9EE56-2C8C-43BD-AF19-95266495C293}" name="Column8946"/>
    <tableColumn id="8950" xr3:uid="{B519E77C-10DD-441F-9EAC-D6378EBFE065}" name="Column8947"/>
    <tableColumn id="8951" xr3:uid="{4ECB9D29-E5FB-4DB3-AB4F-FC8900968DB4}" name="Column8948"/>
    <tableColumn id="8952" xr3:uid="{9EBA1E22-82BD-4B87-B1C2-6B863999BC01}" name="Column8949"/>
    <tableColumn id="8953" xr3:uid="{B2D8E814-DCDD-4235-B584-CBD3C329D308}" name="Column8950"/>
    <tableColumn id="8954" xr3:uid="{8D2D1FA1-79F9-4733-A90C-BCD103925084}" name="Column8951"/>
    <tableColumn id="8955" xr3:uid="{30447DBC-E510-49FF-929D-FB06A23EF935}" name="Column8952"/>
    <tableColumn id="8956" xr3:uid="{BDB03EFC-90AD-4AC5-A3F9-B0B07C3B3CB4}" name="Column8953"/>
    <tableColumn id="8957" xr3:uid="{3B1FE1B9-E171-4602-B889-80B1660483D0}" name="Column8954"/>
    <tableColumn id="8958" xr3:uid="{AAF6C789-1C64-4BB6-BE9E-DB791AD7D4A2}" name="Column8955"/>
    <tableColumn id="8959" xr3:uid="{68A54393-8921-4D8A-B50B-C981C692536B}" name="Column8956"/>
    <tableColumn id="8960" xr3:uid="{00EE94B7-FB34-43CC-A02B-7516BE4D3E9E}" name="Column8957"/>
    <tableColumn id="8961" xr3:uid="{1C05B5FD-02CA-4820-BC3D-9243BAAEC6FC}" name="Column8958"/>
    <tableColumn id="8962" xr3:uid="{9A2A4053-5550-42B5-A7FD-B7A4FFC69EE7}" name="Column8959"/>
    <tableColumn id="8963" xr3:uid="{92096DD9-E8B4-44EB-8369-AFABED37C8AA}" name="Column8960"/>
    <tableColumn id="8964" xr3:uid="{5D7C4BB2-AC65-4D59-9A35-007A9A3BB3DD}" name="Column8961"/>
    <tableColumn id="8965" xr3:uid="{606192B8-1B0B-49D3-9976-925D25AFEDB7}" name="Column8962"/>
    <tableColumn id="8966" xr3:uid="{1B6B2D68-DAC6-4DEE-8F93-A2D3D7E37E47}" name="Column8963"/>
    <tableColumn id="8967" xr3:uid="{EDD97AE9-9D5A-4C0B-ADBE-A7BC6ACDD556}" name="Column8964"/>
    <tableColumn id="8968" xr3:uid="{E70A6968-0C09-4ED3-AAA4-E8AF369B0D61}" name="Column8965"/>
    <tableColumn id="8969" xr3:uid="{2A804114-A65C-47F4-A91B-6294C31965DE}" name="Column8966"/>
    <tableColumn id="8970" xr3:uid="{F9E0FB60-D158-4467-A071-F490A07B7C59}" name="Column8967"/>
    <tableColumn id="8971" xr3:uid="{ADA58A1B-EAB9-4CC7-A445-2C85BCE555BE}" name="Column8968"/>
    <tableColumn id="8972" xr3:uid="{9BBA8804-70F5-4A70-B6E2-CF427A6F3E16}" name="Column8969"/>
    <tableColumn id="8973" xr3:uid="{8958952A-C6C9-4816-A73D-8EB00613D856}" name="Column8970"/>
    <tableColumn id="8974" xr3:uid="{9861EBBC-197E-4C06-A0B1-7907A489B07B}" name="Column8971"/>
    <tableColumn id="8975" xr3:uid="{E4974CAE-9C1E-462E-A517-2C6275F6E48F}" name="Column8972"/>
    <tableColumn id="8976" xr3:uid="{E5F18903-C70A-4445-8706-5B9D4B8ED22E}" name="Column8973"/>
    <tableColumn id="8977" xr3:uid="{43632AB7-6F21-4529-87AA-AB63E6D3D0D6}" name="Column8974"/>
    <tableColumn id="8978" xr3:uid="{11F749BD-BFFD-4FB8-857F-8EF6953139BD}" name="Column8975"/>
    <tableColumn id="8979" xr3:uid="{794B80EB-FA73-4044-9C7F-019DC6BEB4E2}" name="Column8976"/>
    <tableColumn id="8980" xr3:uid="{5D1C2653-B0EC-4C95-9614-C8E84E1FE943}" name="Column8977"/>
    <tableColumn id="8981" xr3:uid="{41ACF661-97FA-4DF5-BF8E-FD5701E21305}" name="Column8978"/>
    <tableColumn id="8982" xr3:uid="{A73A59B7-F9C7-41DB-9D5C-E57B23B4DB21}" name="Column8979"/>
    <tableColumn id="8983" xr3:uid="{BEBA7A61-638A-42F2-A700-ED06AD13F606}" name="Column8980"/>
    <tableColumn id="8984" xr3:uid="{110CB263-C10B-4C0B-B92F-28C3E1D55E72}" name="Column8981"/>
    <tableColumn id="8985" xr3:uid="{206A4B3D-A597-4FBF-A456-82F49E058CA1}" name="Column8982"/>
    <tableColumn id="8986" xr3:uid="{FE191610-76F3-4739-B6B1-3F094AF71CCC}" name="Column8983"/>
    <tableColumn id="8987" xr3:uid="{D685B3A9-5128-4B35-B406-CF9D09E3F0A6}" name="Column8984"/>
    <tableColumn id="8988" xr3:uid="{6CABE1AC-9047-4530-A29D-4BCE53C9CDC0}" name="Column8985"/>
    <tableColumn id="8989" xr3:uid="{F0D4F101-7C2D-4D85-A0E5-4B9515CFFA29}" name="Column8986"/>
    <tableColumn id="8990" xr3:uid="{37E45E4F-5022-4C9B-9C48-CE2291525CF3}" name="Column8987"/>
    <tableColumn id="8991" xr3:uid="{A447E6D8-FEF7-4EE2-9C28-9A81FAFE9E8F}" name="Column8988"/>
    <tableColumn id="8992" xr3:uid="{81A96BEF-797A-4883-B49F-9A3CB8B660E4}" name="Column8989"/>
    <tableColumn id="8993" xr3:uid="{650AD25E-BD5D-4779-A601-3DDEC2EA5646}" name="Column8990"/>
    <tableColumn id="8994" xr3:uid="{CC81F09E-8E32-4A80-9E47-E533003EF222}" name="Column8991"/>
    <tableColumn id="8995" xr3:uid="{A58BB4E4-E7AF-4F81-87B1-61CEEB2D0E88}" name="Column8992"/>
    <tableColumn id="8996" xr3:uid="{F499BBEF-DAD4-4617-BAAC-865DED242100}" name="Column8993"/>
    <tableColumn id="8997" xr3:uid="{A899C319-3DED-43B6-A984-C3E8EADB9F17}" name="Column8994"/>
    <tableColumn id="8998" xr3:uid="{19C71D22-12F9-4118-A44F-C61C587D0CA3}" name="Column8995"/>
    <tableColumn id="8999" xr3:uid="{ACA24F8C-BEAF-49A4-B210-EAA13A5911C5}" name="Column8996"/>
    <tableColumn id="9000" xr3:uid="{7B319D49-0CC1-4B0A-A35B-9F05CE550EB9}" name="Column8997"/>
    <tableColumn id="9001" xr3:uid="{5C5E97B1-2754-4F5C-82BB-618925D533E5}" name="Column8998"/>
    <tableColumn id="9002" xr3:uid="{F650187B-C286-4775-9789-315D86507B7A}" name="Column8999"/>
    <tableColumn id="9003" xr3:uid="{516E02A5-0D17-4C9B-8402-C48186165D3E}" name="Column9000"/>
    <tableColumn id="9004" xr3:uid="{12944C75-C0EF-44E2-AD8A-F30CACCF3AF5}" name="Column9001"/>
    <tableColumn id="9005" xr3:uid="{3AF4B372-84BF-4F3E-91BE-B17925E6006D}" name="Column9002"/>
    <tableColumn id="9006" xr3:uid="{A348F53F-E5AC-43C2-9611-F3109B7D03DF}" name="Column9003"/>
    <tableColumn id="9007" xr3:uid="{363EFD85-A01C-4F48-A455-2344AF6280AB}" name="Column9004"/>
    <tableColumn id="9008" xr3:uid="{4E5F1537-B631-4B87-88C0-C2E85438C264}" name="Column9005"/>
    <tableColumn id="9009" xr3:uid="{DF8C7C7F-2854-4BA1-BC6A-74F799066251}" name="Column9006"/>
    <tableColumn id="9010" xr3:uid="{5572D9DA-A349-4B80-A663-0F25C4595C5D}" name="Column9007"/>
    <tableColumn id="9011" xr3:uid="{F069C035-4297-4D24-8693-A4CE96CBD348}" name="Column9008"/>
    <tableColumn id="9012" xr3:uid="{5CB6399C-65B2-4A3A-96C7-91ACF24FDF2C}" name="Column9009"/>
    <tableColumn id="9013" xr3:uid="{2EECC372-5BDB-4254-9CE7-0F375553DEDF}" name="Column9010"/>
    <tableColumn id="9014" xr3:uid="{5FBBA07B-4D4E-4030-A728-EA4C4DDA7D65}" name="Column9011"/>
    <tableColumn id="9015" xr3:uid="{1FDA3B74-E3D8-481F-B222-5E1E78B4B6F9}" name="Column9012"/>
    <tableColumn id="9016" xr3:uid="{5D3247F9-D8C6-4249-8ECF-CE4DBD9ED32D}" name="Column9013"/>
    <tableColumn id="9017" xr3:uid="{84760AFA-D26B-4623-AED7-F9881EB8CDF7}" name="Column9014"/>
    <tableColumn id="9018" xr3:uid="{C97A8995-DEA6-4A1A-941F-5C798B89E79F}" name="Column9015"/>
    <tableColumn id="9019" xr3:uid="{973F6FE1-19C1-45C4-B703-2EEA2235251B}" name="Column9016"/>
    <tableColumn id="9020" xr3:uid="{8FA3D0DC-B41A-4F5A-B056-194EE329AB08}" name="Column9017"/>
    <tableColumn id="9021" xr3:uid="{1EDE2F0A-7FC3-4B1C-93CD-DA1102BC0E08}" name="Column9018"/>
    <tableColumn id="9022" xr3:uid="{62ADE1D7-BA03-40F3-8A3A-DD5E9F52B145}" name="Column9019"/>
    <tableColumn id="9023" xr3:uid="{29E7FA8C-3CB6-4674-908C-2EE788740767}" name="Column9020"/>
    <tableColumn id="9024" xr3:uid="{5399C74A-23B9-4D80-BC0B-709128E0F80C}" name="Column9021"/>
    <tableColumn id="9025" xr3:uid="{D0C82DCA-8E42-4C52-96F8-282A3EA1F079}" name="Column9022"/>
    <tableColumn id="9026" xr3:uid="{19FEB42D-5D48-4521-A9B1-E916256F92A4}" name="Column9023"/>
    <tableColumn id="9027" xr3:uid="{8CE5886C-5914-4000-8E11-E8F1045875AF}" name="Column9024"/>
    <tableColumn id="9028" xr3:uid="{33249FE6-392D-4C6E-A47E-5FE4A787907C}" name="Column9025"/>
    <tableColumn id="9029" xr3:uid="{64D4D055-3832-4EFE-9A72-9E348E946793}" name="Column9026"/>
    <tableColumn id="9030" xr3:uid="{2B0E706F-831F-4A21-A4A0-1A4DD895E342}" name="Column9027"/>
    <tableColumn id="9031" xr3:uid="{986130CC-C912-4473-BDA5-90E62384328E}" name="Column9028"/>
    <tableColumn id="9032" xr3:uid="{C30BB42D-4D08-4CC3-BF13-B6DE628B0E61}" name="Column9029"/>
    <tableColumn id="9033" xr3:uid="{151DB677-C7D3-41C3-BFF9-A01EA6D0457A}" name="Column9030"/>
    <tableColumn id="9034" xr3:uid="{6B249571-AF10-44BC-9DA4-38DF092F89F3}" name="Column9031"/>
    <tableColumn id="9035" xr3:uid="{98CC55E5-A5A2-489C-8D83-19AD1CBC7490}" name="Column9032"/>
    <tableColumn id="9036" xr3:uid="{AA5486C4-899A-41CA-8492-087021E5AD35}" name="Column9033"/>
    <tableColumn id="9037" xr3:uid="{AD35CE0C-D960-45BB-B3C4-15468733550F}" name="Column9034"/>
    <tableColumn id="9038" xr3:uid="{8CD67DA2-E7E8-43BE-98BE-FEC05551DFF5}" name="Column9035"/>
    <tableColumn id="9039" xr3:uid="{17F09398-8E41-4741-A302-1C85F696FCB8}" name="Column9036"/>
    <tableColumn id="9040" xr3:uid="{112BD61B-F826-4D59-A9E2-AE7B9E16032D}" name="Column9037"/>
    <tableColumn id="9041" xr3:uid="{AAF608A9-37F4-44A8-A672-AF12C7F8BF87}" name="Column9038"/>
    <tableColumn id="9042" xr3:uid="{2D8BDB91-B92A-460C-A533-3D084C0A33B2}" name="Column9039"/>
    <tableColumn id="9043" xr3:uid="{C501E5F1-ABD5-4A38-9FD8-2BFDF92D9E23}" name="Column9040"/>
    <tableColumn id="9044" xr3:uid="{5B0BB625-6F77-4D79-9325-A120355684CC}" name="Column9041"/>
    <tableColumn id="9045" xr3:uid="{F06F6F5F-8C8D-4CA8-8C9A-613EE59A2512}" name="Column9042"/>
    <tableColumn id="9046" xr3:uid="{A7C80B19-D1FC-4A14-92E0-7BD368845D96}" name="Column9043"/>
    <tableColumn id="9047" xr3:uid="{F4BDE827-9526-441A-A468-A56E73F8D293}" name="Column9044"/>
    <tableColumn id="9048" xr3:uid="{A556B949-9AD2-4950-A1E2-DF35E36E84EB}" name="Column9045"/>
    <tableColumn id="9049" xr3:uid="{97F4D05C-1C4F-40CF-955B-D08C498BFB57}" name="Column9046"/>
    <tableColumn id="9050" xr3:uid="{0F41ABFE-CB4B-4E35-8413-D9125E369223}" name="Column9047"/>
    <tableColumn id="9051" xr3:uid="{9BB77B9F-1E38-4A48-B4AB-A2C87DEEA70A}" name="Column9048"/>
    <tableColumn id="9052" xr3:uid="{40A52784-7B54-4EDF-946A-919696C13A7E}" name="Column9049"/>
    <tableColumn id="9053" xr3:uid="{3DE7A9F6-D1FB-4FEB-B24B-8FEEBEC4BD38}" name="Column9050"/>
    <tableColumn id="9054" xr3:uid="{15B38DF2-28F5-47BC-A906-64061BAE3F9D}" name="Column9051"/>
    <tableColumn id="9055" xr3:uid="{678B001B-38CF-45F2-9843-FD404B608009}" name="Column9052"/>
    <tableColumn id="9056" xr3:uid="{2562466C-8411-4E31-8A80-57E0F0BC2AE7}" name="Column9053"/>
    <tableColumn id="9057" xr3:uid="{0737FACF-9CBA-48F2-8452-3B83E5573FBC}" name="Column9054"/>
    <tableColumn id="9058" xr3:uid="{A71D82DB-3096-47B6-AF21-1436859DA535}" name="Column9055"/>
    <tableColumn id="9059" xr3:uid="{72FC1D8A-F2AA-46C3-BB8B-68D05A67942D}" name="Column9056"/>
    <tableColumn id="9060" xr3:uid="{95006132-F5FC-4655-B3E1-5BE68865D9AD}" name="Column9057"/>
    <tableColumn id="9061" xr3:uid="{2C93660E-108A-4404-88BF-47AAF3CCA10B}" name="Column9058"/>
    <tableColumn id="9062" xr3:uid="{13DAE626-207D-4965-8190-B07FA63E095E}" name="Column9059"/>
    <tableColumn id="9063" xr3:uid="{80AEBE0F-6EB9-47EE-8C17-95AF35BE1FF8}" name="Column9060"/>
    <tableColumn id="9064" xr3:uid="{02E1BB83-2FA8-4464-BEA3-60788E557754}" name="Column9061"/>
    <tableColumn id="9065" xr3:uid="{8C9D1AF1-4058-490A-A387-95A1695A8A4E}" name="Column9062"/>
    <tableColumn id="9066" xr3:uid="{0AE6F250-E5AA-4FF4-B1D4-8755EA6E7A51}" name="Column9063"/>
    <tableColumn id="9067" xr3:uid="{FCA18AC5-AE4E-46B3-B90A-8A6005E75CFA}" name="Column9064"/>
    <tableColumn id="9068" xr3:uid="{9C3A6320-0CD9-4C16-A57C-AD0B909158E9}" name="Column9065"/>
    <tableColumn id="9069" xr3:uid="{A0DBB359-52D9-41BB-89EC-1B06F9C38ADE}" name="Column9066"/>
    <tableColumn id="9070" xr3:uid="{8458FF42-3949-4DBC-A6F4-8222A2403014}" name="Column9067"/>
    <tableColumn id="9071" xr3:uid="{4546C098-585D-4878-B74C-AA006E3D671D}" name="Column9068"/>
    <tableColumn id="9072" xr3:uid="{48947DF5-3745-4ECD-9D26-B2FD9C192B07}" name="Column9069"/>
    <tableColumn id="9073" xr3:uid="{F6654DF5-2C48-4135-9836-7B00DCFD879B}" name="Column9070"/>
    <tableColumn id="9074" xr3:uid="{D4A452BC-85D9-4CB0-AB3C-2973F3434DC1}" name="Column9071"/>
    <tableColumn id="9075" xr3:uid="{3DA14F6D-AFF8-4FFF-BB7B-BF74BFD8080E}" name="Column9072"/>
    <tableColumn id="9076" xr3:uid="{608213C9-ADEA-492D-87DC-B58600D658BE}" name="Column9073"/>
    <tableColumn id="9077" xr3:uid="{49414E06-0E16-47E4-8572-96D972B1D8FE}" name="Column9074"/>
    <tableColumn id="9078" xr3:uid="{46144FD6-0CFB-4E46-BBC6-801E9C50841C}" name="Column9075"/>
    <tableColumn id="9079" xr3:uid="{51F2A069-48C4-4810-8FF9-249CE253C473}" name="Column9076"/>
    <tableColumn id="9080" xr3:uid="{F53BE54B-A10C-472C-9307-6E2EF73CA49B}" name="Column9077"/>
    <tableColumn id="9081" xr3:uid="{AE7F9511-8472-4D1A-B195-9A48B719828E}" name="Column9078"/>
    <tableColumn id="9082" xr3:uid="{6FD80D2E-6D2B-447F-820C-777E6031C5C4}" name="Column9079"/>
    <tableColumn id="9083" xr3:uid="{675329D4-E71E-46A5-9540-2DBB1D9430B4}" name="Column9080"/>
    <tableColumn id="9084" xr3:uid="{EEDBCF0A-71EF-4E1D-BCA4-95922D6CB0C5}" name="Column9081"/>
    <tableColumn id="9085" xr3:uid="{5FDB2E48-0199-4F4E-8A94-70007FD364B9}" name="Column9082"/>
    <tableColumn id="9086" xr3:uid="{B5A61783-4423-420C-BF96-ED56F81BF727}" name="Column9083"/>
    <tableColumn id="9087" xr3:uid="{831E6AC4-74C7-4ADF-8D7B-D801F8A1DC29}" name="Column9084"/>
    <tableColumn id="9088" xr3:uid="{BA3A9CB2-EB17-4521-8E3C-92B3A4A72209}" name="Column9085"/>
    <tableColumn id="9089" xr3:uid="{94031D2C-C71B-43CC-9947-55DA13FBFD9A}" name="Column9086"/>
    <tableColumn id="9090" xr3:uid="{7219D6D7-C7BD-4D24-B5E9-9E83AD15A739}" name="Column9087"/>
    <tableColumn id="9091" xr3:uid="{E5AFF359-49F6-4968-B27E-4427C716BFB5}" name="Column9088"/>
    <tableColumn id="9092" xr3:uid="{EF59ECA9-71D7-4045-85CE-C6499D384199}" name="Column9089"/>
    <tableColumn id="9093" xr3:uid="{45FB6F38-EBA8-4BB1-BD96-36996BA2CC39}" name="Column9090"/>
    <tableColumn id="9094" xr3:uid="{D22C0A56-BC86-4368-8703-060CEBBEB82C}" name="Column9091"/>
    <tableColumn id="9095" xr3:uid="{0E02C12A-6B32-4B3E-BA08-F4A38045AE36}" name="Column9092"/>
    <tableColumn id="9096" xr3:uid="{39130101-1CA9-4D06-B25C-CCA712228973}" name="Column9093"/>
    <tableColumn id="9097" xr3:uid="{6668D86B-2159-4CB9-BEEB-E9B8DC535208}" name="Column9094"/>
    <tableColumn id="9098" xr3:uid="{0E6DCA6F-CD9C-46AC-B5D6-B048D9BBF5D8}" name="Column9095"/>
    <tableColumn id="9099" xr3:uid="{6018475B-12D3-4732-A6FA-CCAD8B8A9FEB}" name="Column9096"/>
    <tableColumn id="9100" xr3:uid="{AEB083F0-275B-4EF6-A438-50F485CD2547}" name="Column9097"/>
    <tableColumn id="9101" xr3:uid="{245B4FE4-4B1D-41D5-91CD-440A65F5DB93}" name="Column9098"/>
    <tableColumn id="9102" xr3:uid="{63315679-307C-4AFC-B27D-93DA239B5FD5}" name="Column9099"/>
    <tableColumn id="9103" xr3:uid="{D507EBC3-E884-405E-B013-56CFBF71A211}" name="Column9100"/>
    <tableColumn id="9104" xr3:uid="{71D1D2CF-2A5B-424D-AA7B-F8EE838A1FE6}" name="Column9101"/>
    <tableColumn id="9105" xr3:uid="{7A9079D6-3382-4964-9C6C-16292351A248}" name="Column9102"/>
    <tableColumn id="9106" xr3:uid="{07FCEBEE-B325-40FA-8083-99D062DB7EF0}" name="Column9103"/>
    <tableColumn id="9107" xr3:uid="{F4F29DE5-47C8-4C29-BC42-E657D27B6794}" name="Column9104"/>
    <tableColumn id="9108" xr3:uid="{2DEA8EC9-0C1E-4B1B-BBF5-CFCC84083F07}" name="Column9105"/>
    <tableColumn id="9109" xr3:uid="{12A96C80-82A8-4477-BC8B-36E05E4C3FAA}" name="Column9106"/>
    <tableColumn id="9110" xr3:uid="{9A39C18B-FB50-4751-9333-F02C9C402150}" name="Column9107"/>
    <tableColumn id="9111" xr3:uid="{829C8DCE-9686-43C9-A6EE-23AF9A86A169}" name="Column9108"/>
    <tableColumn id="9112" xr3:uid="{A6591D69-9644-40C5-B51B-2B401AF017FB}" name="Column9109"/>
    <tableColumn id="9113" xr3:uid="{6B2BBA18-8BED-4FC7-A900-543E6D6333ED}" name="Column9110"/>
    <tableColumn id="9114" xr3:uid="{25E2B643-1DF9-49E7-AC75-2DA859ACE661}" name="Column9111"/>
    <tableColumn id="9115" xr3:uid="{F74FED46-E2C5-4BBB-ABD3-67A7742F6BAD}" name="Column9112"/>
    <tableColumn id="9116" xr3:uid="{F2BD1AC1-645D-47FF-96B8-3516A862EB2D}" name="Column9113"/>
    <tableColumn id="9117" xr3:uid="{F4F436E2-18B6-4854-98AE-41155CC72FA5}" name="Column9114"/>
    <tableColumn id="9118" xr3:uid="{97919926-CDDB-49B4-9A48-4369ACA7DFB9}" name="Column9115"/>
    <tableColumn id="9119" xr3:uid="{807154D6-089B-4EC1-A80C-CFC40F07EB74}" name="Column9116"/>
    <tableColumn id="9120" xr3:uid="{1C43CC99-1C29-4B88-BB1E-86EC59DFD71C}" name="Column9117"/>
    <tableColumn id="9121" xr3:uid="{45BE6DDE-A281-426E-B241-6BC622DF1A86}" name="Column9118"/>
    <tableColumn id="9122" xr3:uid="{861378D1-7750-4FEB-84E8-7F4F57EC13DE}" name="Column9119"/>
    <tableColumn id="9123" xr3:uid="{A7110B69-81FA-444F-BCBE-7EB42CE0DCDD}" name="Column9120"/>
    <tableColumn id="9124" xr3:uid="{1DEAB84C-9444-4795-8A20-6CCAABF87030}" name="Column9121"/>
    <tableColumn id="9125" xr3:uid="{CA6A960A-AFCE-4C79-A737-C66EBF0AA397}" name="Column9122"/>
    <tableColumn id="9126" xr3:uid="{608078DA-8B26-476C-9A2E-E63B1F08EC43}" name="Column9123"/>
    <tableColumn id="9127" xr3:uid="{C236FD03-919D-4CB1-931D-82F90F261A4E}" name="Column9124"/>
    <tableColumn id="9128" xr3:uid="{AC5739AF-651D-4C70-9D37-3ED2076418BF}" name="Column9125"/>
    <tableColumn id="9129" xr3:uid="{9022A913-1B24-47D0-8E01-E28E944DA138}" name="Column9126"/>
    <tableColumn id="9130" xr3:uid="{360E1036-81E9-4F53-B1AA-3B1727D879C1}" name="Column9127"/>
    <tableColumn id="9131" xr3:uid="{4728EE7D-D2D4-4607-9C04-1806632A6E28}" name="Column9128"/>
    <tableColumn id="9132" xr3:uid="{8C985027-8DE7-41BC-BEB0-D6CFD5425F43}" name="Column9129"/>
    <tableColumn id="9133" xr3:uid="{EF2FDBD0-2D2E-44E2-9585-60548FA00815}" name="Column9130"/>
    <tableColumn id="9134" xr3:uid="{F7D36AE4-C346-4445-8A0F-199A5AFB1945}" name="Column9131"/>
    <tableColumn id="9135" xr3:uid="{316F4DA8-3E09-4416-AEE8-B71D8DEB733E}" name="Column9132"/>
    <tableColumn id="9136" xr3:uid="{494C89F6-B354-4980-9315-4CE7247EEC49}" name="Column9133"/>
    <tableColumn id="9137" xr3:uid="{517FF25D-9301-4533-AF2D-A2B329C62582}" name="Column9134"/>
    <tableColumn id="9138" xr3:uid="{9D35E7C2-5727-40DD-A490-7018609D92BE}" name="Column9135"/>
    <tableColumn id="9139" xr3:uid="{8D5AA621-B31F-43CE-8A65-1FADA8A22213}" name="Column9136"/>
    <tableColumn id="9140" xr3:uid="{8BE8ACBB-D871-4AEF-92FE-39F4AD2E1E3D}" name="Column9137"/>
    <tableColumn id="9141" xr3:uid="{56AF3FEC-070F-4D43-AB7F-C9284B36BC68}" name="Column9138"/>
    <tableColumn id="9142" xr3:uid="{7A08DA3D-775A-40EC-B393-7479BBE3B928}" name="Column9139"/>
    <tableColumn id="9143" xr3:uid="{0147105E-4468-4452-9B24-6ED8708826F4}" name="Column9140"/>
    <tableColumn id="9144" xr3:uid="{AB5FE4C4-F26E-4F3B-BA82-1F183081017C}" name="Column9141"/>
    <tableColumn id="9145" xr3:uid="{E34601B1-82A9-4835-973D-BE6AC9C5DB87}" name="Column9142"/>
    <tableColumn id="9146" xr3:uid="{21926C34-11E7-4B6B-A561-98F26614B771}" name="Column9143"/>
    <tableColumn id="9147" xr3:uid="{6BC1C8FB-0716-4548-840E-7A618BAF3866}" name="Column9144"/>
    <tableColumn id="9148" xr3:uid="{72F66325-22FE-46C7-A120-ED6C24DCC137}" name="Column9145"/>
    <tableColumn id="9149" xr3:uid="{47FF19BD-6624-4044-8221-DDADE1FDAC25}" name="Column9146"/>
    <tableColumn id="9150" xr3:uid="{8C00E287-8941-440F-B006-1AB85E2959BA}" name="Column9147"/>
    <tableColumn id="9151" xr3:uid="{6A41465E-C58E-4FA8-AA01-5AB3739F1862}" name="Column9148"/>
    <tableColumn id="9152" xr3:uid="{58914735-4616-4A4F-8E48-3AD3192492A1}" name="Column9149"/>
    <tableColumn id="9153" xr3:uid="{36D2D583-2A17-499B-9498-8E8097D17E52}" name="Column9150"/>
    <tableColumn id="9154" xr3:uid="{2981DD9F-3370-46E7-BF01-4A34EC1C8980}" name="Column9151"/>
    <tableColumn id="9155" xr3:uid="{FD93E401-672D-4810-A1AE-00B3DAE110B7}" name="Column9152"/>
    <tableColumn id="9156" xr3:uid="{84526181-D5B8-4CD7-8253-7D9F7B95B435}" name="Column9153"/>
    <tableColumn id="9157" xr3:uid="{5A45260D-FB73-4961-8686-B44663876CA9}" name="Column9154"/>
    <tableColumn id="9158" xr3:uid="{A368A635-CD03-435F-8D4A-5600608048CF}" name="Column9155"/>
    <tableColumn id="9159" xr3:uid="{86100AB3-3A86-4723-BBEB-F958877E519F}" name="Column9156"/>
    <tableColumn id="9160" xr3:uid="{8FCFCB05-9E00-45EC-A8EA-F87826250350}" name="Column9157"/>
    <tableColumn id="9161" xr3:uid="{174F2F34-060E-4D8C-98FF-9E30EF8ECF33}" name="Column9158"/>
    <tableColumn id="9162" xr3:uid="{08DE6557-5E4D-47C8-B6B3-4A5900483D7A}" name="Column9159"/>
    <tableColumn id="9163" xr3:uid="{CEDF6A1A-F284-4EBF-BB48-4CE39D234BCD}" name="Column9160"/>
    <tableColumn id="9164" xr3:uid="{0FEBED5C-A370-49EB-BC1B-68097F9F1EAA}" name="Column9161"/>
    <tableColumn id="9165" xr3:uid="{103BBCD5-12ED-4BEC-A0B0-CB62E611C5E1}" name="Column9162"/>
    <tableColumn id="9166" xr3:uid="{A7A72F74-1C01-415F-9A38-FBD47D471BBC}" name="Column9163"/>
    <tableColumn id="9167" xr3:uid="{98D10A57-865A-48B3-83F3-519350C300AA}" name="Column9164"/>
    <tableColumn id="9168" xr3:uid="{6E36683B-D842-49D8-8B0E-654098DAD32F}" name="Column9165"/>
    <tableColumn id="9169" xr3:uid="{241FD211-879A-4608-84BD-B21324CC7F34}" name="Column9166"/>
    <tableColumn id="9170" xr3:uid="{92E91B26-CAD5-4617-9D69-E4AC6A2F77E6}" name="Column9167"/>
    <tableColumn id="9171" xr3:uid="{CD66E9CB-59C2-4B94-996E-D0B7091D1B52}" name="Column9168"/>
    <tableColumn id="9172" xr3:uid="{0D7E9D9B-DF4D-441F-A493-F259A480E75E}" name="Column9169"/>
    <tableColumn id="9173" xr3:uid="{82021194-947D-4D8C-88C9-6A2597D7AFCD}" name="Column9170"/>
    <tableColumn id="9174" xr3:uid="{B131933C-6958-4704-B1C1-208AE7583D99}" name="Column9171"/>
    <tableColumn id="9175" xr3:uid="{F8C5BBBA-F741-45E1-B4AF-24EF204A735C}" name="Column9172"/>
    <tableColumn id="9176" xr3:uid="{FB445580-C847-4B61-96E2-CF11E8B20221}" name="Column9173"/>
    <tableColumn id="9177" xr3:uid="{D117ECC9-BE93-44F9-BD11-E730C67EC1BB}" name="Column9174"/>
    <tableColumn id="9178" xr3:uid="{778A5DEC-F765-4BF2-9794-55A8FAF2D2D5}" name="Column9175"/>
    <tableColumn id="9179" xr3:uid="{8B6DB86C-0C3A-4474-B916-73512E2AF019}" name="Column9176"/>
    <tableColumn id="9180" xr3:uid="{F20C7CDC-7CFF-4C5E-9F55-D9ACC446F46C}" name="Column9177"/>
    <tableColumn id="9181" xr3:uid="{A3C8E6E1-F638-4650-A964-E4825EE19C90}" name="Column9178"/>
    <tableColumn id="9182" xr3:uid="{20644F19-882D-4942-8E6C-6199BFB3EA68}" name="Column9179"/>
    <tableColumn id="9183" xr3:uid="{6604E0E0-3B8D-42A1-9815-5068441F2AB3}" name="Column9180"/>
    <tableColumn id="9184" xr3:uid="{02825FF1-B845-4368-8B33-8079958AC0CF}" name="Column9181"/>
    <tableColumn id="9185" xr3:uid="{C38F8854-E72B-4DBE-ADF2-F3C85756B411}" name="Column9182"/>
    <tableColumn id="9186" xr3:uid="{692ACB50-C8ED-4765-89F5-03242759BD03}" name="Column9183"/>
    <tableColumn id="9187" xr3:uid="{FBFFBCA6-E6A4-4748-9D0F-4F8458617BBE}" name="Column9184"/>
    <tableColumn id="9188" xr3:uid="{E6945B70-835D-400C-9B01-32636913E304}" name="Column9185"/>
    <tableColumn id="9189" xr3:uid="{0FE91C3C-C2E9-4C64-A92D-F729B291CBB1}" name="Column9186"/>
    <tableColumn id="9190" xr3:uid="{D0CB3C49-E3EB-4BD4-AE4B-77C5CD76036F}" name="Column9187"/>
    <tableColumn id="9191" xr3:uid="{EC88108F-E1F5-4D92-BBCD-BACB6823A79A}" name="Column9188"/>
    <tableColumn id="9192" xr3:uid="{DBD70FDD-E5B4-4826-8BF8-C88D34DD9433}" name="Column9189"/>
    <tableColumn id="9193" xr3:uid="{016E9E0D-37C1-4205-9F95-487DB33D4F3D}" name="Column9190"/>
    <tableColumn id="9194" xr3:uid="{F70EBABB-7515-41D2-97CA-E6DAD41DDAD4}" name="Column9191"/>
    <tableColumn id="9195" xr3:uid="{CEF801E8-F85F-4790-8920-DCCEBF082FBF}" name="Column9192"/>
    <tableColumn id="9196" xr3:uid="{A99FA492-00E6-4EC5-9288-AFA0A32F3163}" name="Column9193"/>
    <tableColumn id="9197" xr3:uid="{D9D41599-5B7C-4534-94BC-4A732678E736}" name="Column9194"/>
    <tableColumn id="9198" xr3:uid="{F0CE2E8C-1D86-441A-8A65-75E28A397926}" name="Column9195"/>
    <tableColumn id="9199" xr3:uid="{59C492E4-50C4-473A-9BF4-94FDB07710B5}" name="Column9196"/>
    <tableColumn id="9200" xr3:uid="{35E0D0C3-9889-4A87-81E6-854AF027B331}" name="Column9197"/>
    <tableColumn id="9201" xr3:uid="{47CF6A0F-BD10-416D-BC76-78B9C44CCC56}" name="Column9198"/>
    <tableColumn id="9202" xr3:uid="{5915E6E4-D313-49E3-BA81-8EEC8B12A400}" name="Column9199"/>
    <tableColumn id="9203" xr3:uid="{F1AE2DA5-278C-4A44-9AC5-E6E06EB7BCB1}" name="Column9200"/>
    <tableColumn id="9204" xr3:uid="{0F227450-03B4-4B46-9945-3C8BDF14A7C2}" name="Column9201"/>
    <tableColumn id="9205" xr3:uid="{D5E003D2-0E44-45BB-8CEB-80E3FA6E15CA}" name="Column9202"/>
    <tableColumn id="9206" xr3:uid="{7FD3B653-4332-4CA5-9071-FA967065E41A}" name="Column9203"/>
    <tableColumn id="9207" xr3:uid="{B150CC2E-59E3-4463-AB3D-4595BEE2E340}" name="Column9204"/>
    <tableColumn id="9208" xr3:uid="{E95AF326-AC3B-42A7-986D-0EA59A1C41F5}" name="Column9205"/>
    <tableColumn id="9209" xr3:uid="{811C2FF4-0D63-466A-A1F4-A1F28AA3EFBD}" name="Column9206"/>
    <tableColumn id="9210" xr3:uid="{D14D2542-8B69-46E3-AA79-4C81A3B6D465}" name="Column9207"/>
    <tableColumn id="9211" xr3:uid="{9EF3F98B-57EE-4E85-96F1-79A4731B0ADE}" name="Column9208"/>
    <tableColumn id="9212" xr3:uid="{ED9814AC-D64B-4682-BAE9-16897842B4E6}" name="Column9209"/>
    <tableColumn id="9213" xr3:uid="{92BB45A1-A3AC-44DF-AC2A-6F624111B395}" name="Column9210"/>
    <tableColumn id="9214" xr3:uid="{73C1437A-656C-41A8-97D6-4F001F2BA3D4}" name="Column9211"/>
    <tableColumn id="9215" xr3:uid="{E6971DF4-949F-4B2E-8CA3-A7E16B43E199}" name="Column9212"/>
    <tableColumn id="9216" xr3:uid="{60865280-3EE4-43C2-BA9A-880D226419BF}" name="Column9213"/>
    <tableColumn id="9217" xr3:uid="{3D4DC67C-0D6A-41A8-8C94-0F853888E8B3}" name="Column9214"/>
    <tableColumn id="9218" xr3:uid="{9F316B41-E291-43C5-A013-F12822DF5F75}" name="Column9215"/>
    <tableColumn id="9219" xr3:uid="{A1150B08-9713-4B29-AD8D-4F6816DE7F08}" name="Column9216"/>
    <tableColumn id="9220" xr3:uid="{14E97941-35D3-4D5F-9D54-03BF9488CFBF}" name="Column9217"/>
    <tableColumn id="9221" xr3:uid="{ABEE44FD-9BCB-42FC-BB46-C60F8545BA98}" name="Column9218"/>
    <tableColumn id="9222" xr3:uid="{CC15E2C5-ECD4-421A-9BAD-50FD75FF4436}" name="Column9219"/>
    <tableColumn id="9223" xr3:uid="{254CC17E-EFAD-457F-96B0-79FF5E2A48AD}" name="Column9220"/>
    <tableColumn id="9224" xr3:uid="{4386FC06-93BA-4FBA-93D9-40B5658C046C}" name="Column9221"/>
    <tableColumn id="9225" xr3:uid="{DBE61B9B-58D3-498C-BA3F-1B58A359FEFE}" name="Column9222"/>
    <tableColumn id="9226" xr3:uid="{0A1AEE9C-6FD7-4A80-9BEE-C719C10E9FFD}" name="Column9223"/>
    <tableColumn id="9227" xr3:uid="{B8A578BC-655D-46B3-9B2B-90B46242F3F9}" name="Column9224"/>
    <tableColumn id="9228" xr3:uid="{79E3025D-B172-4EE8-9861-67737DB03843}" name="Column9225"/>
    <tableColumn id="9229" xr3:uid="{43575584-3B8B-40F8-BAFD-4E812F86C1CB}" name="Column9226"/>
    <tableColumn id="9230" xr3:uid="{B28AAE1C-235C-4421-9923-8D5AAC3E466B}" name="Column9227"/>
    <tableColumn id="9231" xr3:uid="{BF588C93-DA8A-4969-8A63-C09CB8FFD263}" name="Column9228"/>
    <tableColumn id="9232" xr3:uid="{F262C1DC-A611-4C9E-A064-6F98FA9A97EA}" name="Column9229"/>
    <tableColumn id="9233" xr3:uid="{7E896245-B6E6-4A93-8A7D-E5E2D1B42F5F}" name="Column9230"/>
    <tableColumn id="9234" xr3:uid="{54233846-FA07-4CCD-89FF-5A03EFB114D0}" name="Column9231"/>
    <tableColumn id="9235" xr3:uid="{C208580E-4887-446C-A58C-6A2FD414C59B}" name="Column9232"/>
    <tableColumn id="9236" xr3:uid="{F70259EE-D477-4757-A754-EE4DE4E28D75}" name="Column9233"/>
    <tableColumn id="9237" xr3:uid="{79EFC242-EC96-4FCF-874D-5950880DCCA3}" name="Column9234"/>
    <tableColumn id="9238" xr3:uid="{419CD22D-5D85-4E18-B403-670B00FB5151}" name="Column9235"/>
    <tableColumn id="9239" xr3:uid="{95C0C2E1-6FE5-4BDA-989A-F36D248EF529}" name="Column9236"/>
    <tableColumn id="9240" xr3:uid="{39EDF26E-09F1-4BDA-9814-26389F1E8CF2}" name="Column9237"/>
    <tableColumn id="9241" xr3:uid="{0CD76D10-3F5F-4339-A67C-C8B4B8BAAF8E}" name="Column9238"/>
    <tableColumn id="9242" xr3:uid="{AC55A31D-A5CA-4F26-BFC4-8B9430458671}" name="Column9239"/>
    <tableColumn id="9243" xr3:uid="{EA30D634-E86F-454D-A01F-ADD0351F6AE5}" name="Column9240"/>
    <tableColumn id="9244" xr3:uid="{B6DA5061-DE53-49FB-9C0D-A818B4AC60D5}" name="Column9241"/>
    <tableColumn id="9245" xr3:uid="{95F74124-8743-4BCD-905A-DC0A179CD8E6}" name="Column9242"/>
    <tableColumn id="9246" xr3:uid="{F0315E9A-EEDA-42BA-9D59-E51522ED76F8}" name="Column9243"/>
    <tableColumn id="9247" xr3:uid="{7ABD6FA0-17A5-4D8E-8840-3B9E44941919}" name="Column9244"/>
    <tableColumn id="9248" xr3:uid="{DA124DDF-3213-476E-A27E-7C8E08DF610B}" name="Column9245"/>
    <tableColumn id="9249" xr3:uid="{3E4237B8-8256-42A2-A698-F1FE4F64ABB4}" name="Column9246"/>
    <tableColumn id="9250" xr3:uid="{39DA2CF0-B056-42E7-9A93-C54E66E6A77B}" name="Column9247"/>
    <tableColumn id="9251" xr3:uid="{39F8008B-EBAD-4160-AD58-8EC54C670808}" name="Column9248"/>
    <tableColumn id="9252" xr3:uid="{697E8152-152B-449A-BEC4-FCCD9B870B15}" name="Column9249"/>
    <tableColumn id="9253" xr3:uid="{2D484379-A4FF-43BD-8745-F604E9071B15}" name="Column9250"/>
    <tableColumn id="9254" xr3:uid="{4F7BB303-D584-47EA-8271-73BEE627A7AE}" name="Column9251"/>
    <tableColumn id="9255" xr3:uid="{F0F1CFAB-AC6D-49D7-BFA0-DAB14EDD993E}" name="Column9252"/>
    <tableColumn id="9256" xr3:uid="{9D86BC4F-FA5C-4D3E-A37A-66104A8654CF}" name="Column9253"/>
    <tableColumn id="9257" xr3:uid="{20D3E77A-8324-4D6A-9CDD-B49BA4245A19}" name="Column9254"/>
    <tableColumn id="9258" xr3:uid="{A4AEA192-2219-410D-8913-67B41B0F7404}" name="Column9255"/>
    <tableColumn id="9259" xr3:uid="{EABD6EFF-2BDB-40A3-92FD-65EAFE062EC8}" name="Column9256"/>
    <tableColumn id="9260" xr3:uid="{73A190BC-8413-47C6-8E83-1ED2E53B5953}" name="Column9257"/>
    <tableColumn id="9261" xr3:uid="{BCFF5793-C5DF-47AD-A577-312E972B0936}" name="Column9258"/>
    <tableColumn id="9262" xr3:uid="{22030AB5-3E99-4292-8F2E-25E06DEB28DE}" name="Column9259"/>
    <tableColumn id="9263" xr3:uid="{D9DBCF90-F3C5-43D5-82D2-331119A44838}" name="Column9260"/>
    <tableColumn id="9264" xr3:uid="{6C6D6284-5D28-40C9-B630-DA65A30C28C3}" name="Column9261"/>
    <tableColumn id="9265" xr3:uid="{0538F550-1115-45AA-95C8-332823B8FA8D}" name="Column9262"/>
    <tableColumn id="9266" xr3:uid="{3DB13ED7-CF40-42B3-AB02-BD7B1703991A}" name="Column9263"/>
    <tableColumn id="9267" xr3:uid="{4AEAB709-27F9-475B-85A6-7C1A3E5C907B}" name="Column9264"/>
    <tableColumn id="9268" xr3:uid="{35F9CBC0-8DA8-4CB3-86C7-CAD3E22CF093}" name="Column9265"/>
    <tableColumn id="9269" xr3:uid="{A93F7E74-4CD2-46A8-A5CB-5490DEDBD493}" name="Column9266"/>
    <tableColumn id="9270" xr3:uid="{86297EDB-01C1-46D1-B3F5-A1B5E9ED3BA3}" name="Column9267"/>
    <tableColumn id="9271" xr3:uid="{B0906355-8779-4442-AE7C-DDF11E2E3C34}" name="Column9268"/>
    <tableColumn id="9272" xr3:uid="{2FB648FC-6772-4146-9E86-DF938F84422C}" name="Column9269"/>
    <tableColumn id="9273" xr3:uid="{B2699CC0-EB53-4F52-9636-3283927EC0D6}" name="Column9270"/>
    <tableColumn id="9274" xr3:uid="{60C3F275-D4E4-43A9-B8C7-1F865A405993}" name="Column9271"/>
    <tableColumn id="9275" xr3:uid="{F35507D9-CDC3-43FD-8507-339B69B4A75D}" name="Column9272"/>
    <tableColumn id="9276" xr3:uid="{2AC348F2-4228-4A15-9C8E-9AAB48BB304B}" name="Column9273"/>
    <tableColumn id="9277" xr3:uid="{18CFB271-1136-43F1-9C1D-ECCA351C0235}" name="Column9274"/>
    <tableColumn id="9278" xr3:uid="{B07AEC45-A80E-4110-9C6D-EAF8B55758ED}" name="Column9275"/>
    <tableColumn id="9279" xr3:uid="{B9FBEA38-E374-456E-BE45-1B1C8C57571D}" name="Column9276"/>
    <tableColumn id="9280" xr3:uid="{AE9FCB42-B8E6-4454-B12F-739FBE7F11BB}" name="Column9277"/>
    <tableColumn id="9281" xr3:uid="{20831510-A73F-47AE-9A19-A94F0225E62C}" name="Column9278"/>
    <tableColumn id="9282" xr3:uid="{C72A7292-6998-4552-BB9E-65F080F59C8E}" name="Column9279"/>
    <tableColumn id="9283" xr3:uid="{D3DDDD7C-FF67-4055-94F6-F127C5BF01A6}" name="Column9280"/>
    <tableColumn id="9284" xr3:uid="{212869A7-3FE2-4F68-A8CF-38FB72F56EAD}" name="Column9281"/>
    <tableColumn id="9285" xr3:uid="{DBB713FB-8A57-4F8F-B327-84E84B587C93}" name="Column9282"/>
    <tableColumn id="9286" xr3:uid="{5E59C8C2-76AA-47FA-8FC8-4DBD33FDF0D5}" name="Column9283"/>
    <tableColumn id="9287" xr3:uid="{6227D6EC-7B24-41A6-A3A2-42BF0AE93FAD}" name="Column9284"/>
    <tableColumn id="9288" xr3:uid="{F71459A6-6D86-4D03-9EC7-908BCD5FCC68}" name="Column9285"/>
    <tableColumn id="9289" xr3:uid="{307F67E3-BB0B-453E-B06A-1223AACBCE27}" name="Column9286"/>
    <tableColumn id="9290" xr3:uid="{B468FBE5-0570-494B-ABCE-017561C499D7}" name="Column9287"/>
    <tableColumn id="9291" xr3:uid="{99B59A4E-2CC8-4197-91AB-32898A637820}" name="Column9288"/>
    <tableColumn id="9292" xr3:uid="{2B926ED9-FEBD-467F-869D-5BE1AB8D88D8}" name="Column9289"/>
    <tableColumn id="9293" xr3:uid="{570C7EAF-6FA9-4F84-9F4F-05E98542D12C}" name="Column9290"/>
    <tableColumn id="9294" xr3:uid="{C67CCE3C-D4A9-48D5-B94E-50D70F315F7F}" name="Column9291"/>
    <tableColumn id="9295" xr3:uid="{5DDB9A1B-F1D7-4464-B3A9-AC78B4584C8A}" name="Column9292"/>
    <tableColumn id="9296" xr3:uid="{4B0066AA-747A-41B0-A2EE-FA639CD89831}" name="Column9293"/>
    <tableColumn id="9297" xr3:uid="{1DBA442C-D583-4853-899B-9B665E94E160}" name="Column9294"/>
    <tableColumn id="9298" xr3:uid="{B3578C35-3D37-4966-93EC-8FAF798621B5}" name="Column9295"/>
    <tableColumn id="9299" xr3:uid="{C0901E07-5FFA-4B79-AA44-6941187B373E}" name="Column9296"/>
    <tableColumn id="9300" xr3:uid="{6BF2F1F4-2C24-40C8-A2FE-0686B3636288}" name="Column9297"/>
    <tableColumn id="9301" xr3:uid="{2B36FC92-D27F-46CD-93C2-6E26B19EB91D}" name="Column9298"/>
    <tableColumn id="9302" xr3:uid="{A04AE4AD-B24C-44A0-B2A3-32E2AEE599BA}" name="Column9299"/>
    <tableColumn id="9303" xr3:uid="{3EA44723-E485-4347-93FA-A9F1282C3789}" name="Column9300"/>
    <tableColumn id="9304" xr3:uid="{AF1E43CB-5F40-414F-B55E-CD9332D0826D}" name="Column9301"/>
    <tableColumn id="9305" xr3:uid="{10406A79-B755-47F6-9E0C-488EC4FAD68D}" name="Column9302"/>
    <tableColumn id="9306" xr3:uid="{91E6329C-A501-41F2-B651-288D06441185}" name="Column9303"/>
    <tableColumn id="9307" xr3:uid="{5A70AE42-DB4A-4DB1-A00B-D00CAE6CDFD1}" name="Column9304"/>
    <tableColumn id="9308" xr3:uid="{CE140C0C-6E9B-4A28-AEC0-EACC58F3838F}" name="Column9305"/>
    <tableColumn id="9309" xr3:uid="{4779E6CC-156D-4085-8D6F-EA6222638B86}" name="Column9306"/>
    <tableColumn id="9310" xr3:uid="{59656E58-6ECB-4E83-8185-786754747427}" name="Column9307"/>
    <tableColumn id="9311" xr3:uid="{286AF981-200B-4D3B-B93F-947540954BE4}" name="Column9308"/>
    <tableColumn id="9312" xr3:uid="{EACBE43F-B889-427F-95A9-1F1BB362D13F}" name="Column9309"/>
    <tableColumn id="9313" xr3:uid="{89C5B08D-75B2-4375-90CE-155B8EAC652F}" name="Column9310"/>
    <tableColumn id="9314" xr3:uid="{4568BE58-F312-49F0-AEB1-5BA6C133DF88}" name="Column9311"/>
    <tableColumn id="9315" xr3:uid="{4BE037CB-9C8B-444C-BF97-AE112071103B}" name="Column9312"/>
    <tableColumn id="9316" xr3:uid="{535C20E4-773E-4E1A-9D79-08CBA0371AAA}" name="Column9313"/>
    <tableColumn id="9317" xr3:uid="{EF6A19A8-78C1-4CE0-8B6A-93D681FD6EEA}" name="Column9314"/>
    <tableColumn id="9318" xr3:uid="{8059FB2D-DD9D-4F75-8D97-8A2F5D75112F}" name="Column9315"/>
    <tableColumn id="9319" xr3:uid="{830B4335-C4EF-44A9-8464-2F2AD9AF8046}" name="Column9316"/>
    <tableColumn id="9320" xr3:uid="{D8888A16-0BCE-465D-9F17-5902E97FEC0F}" name="Column9317"/>
    <tableColumn id="9321" xr3:uid="{09F1F6EE-7079-4CDB-ABB8-A4C89B279166}" name="Column9318"/>
    <tableColumn id="9322" xr3:uid="{FEDAA0F5-EBCD-42D1-A2B9-C6A4D7E2F98B}" name="Column9319"/>
    <tableColumn id="9323" xr3:uid="{D1D14BCA-B1D3-442D-885D-D054BD1E398E}" name="Column9320"/>
    <tableColumn id="9324" xr3:uid="{21BFDB53-2851-4493-BE6D-EB5ECEECEA56}" name="Column9321"/>
    <tableColumn id="9325" xr3:uid="{BEC018E0-3FA5-4D58-A1B8-8B0E34351277}" name="Column9322"/>
    <tableColumn id="9326" xr3:uid="{B788F815-0A0D-439C-93D7-AC9B30F9DBDA}" name="Column9323"/>
    <tableColumn id="9327" xr3:uid="{FDCEB6C0-D5F7-4B26-83DD-F898D54C59B4}" name="Column9324"/>
    <tableColumn id="9328" xr3:uid="{4C326FEE-267A-488B-867B-05A8559A6EA0}" name="Column9325"/>
    <tableColumn id="9329" xr3:uid="{53E99F70-47E4-4E05-BE04-79BECCC4EA09}" name="Column9326"/>
    <tableColumn id="9330" xr3:uid="{8E28B5FB-8FD4-4215-B7C0-D3EF9AC94B6C}" name="Column9327"/>
    <tableColumn id="9331" xr3:uid="{3EED30CE-D47B-4B6C-96D6-DEAA570C835E}" name="Column9328"/>
    <tableColumn id="9332" xr3:uid="{6DC4987F-0A98-470B-A879-AF2AD67E63C4}" name="Column9329"/>
    <tableColumn id="9333" xr3:uid="{5013BFD1-0CD5-437E-B0E4-DCB4EE2F87E7}" name="Column9330"/>
    <tableColumn id="9334" xr3:uid="{676957CF-634A-4F9D-8AB4-8EDE8C74775F}" name="Column9331"/>
    <tableColumn id="9335" xr3:uid="{17555A0F-447F-4269-82F2-8B804974D327}" name="Column9332"/>
    <tableColumn id="9336" xr3:uid="{B5C5725A-5D66-4865-BF8C-3C6C3C3A7E38}" name="Column9333"/>
    <tableColumn id="9337" xr3:uid="{E42FC17D-3F52-43CE-8286-350883736E2F}" name="Column9334"/>
    <tableColumn id="9338" xr3:uid="{164D35FE-FEB2-467D-8BFA-9C8FF5C3A5E5}" name="Column9335"/>
    <tableColumn id="9339" xr3:uid="{A62F163C-1F88-4D3B-B8F2-04D5E077A7F1}" name="Column9336"/>
    <tableColumn id="9340" xr3:uid="{D2D179AB-5E41-444C-B7B9-505F0A3E396E}" name="Column9337"/>
    <tableColumn id="9341" xr3:uid="{B302802F-38F3-4D81-AA4E-4205C41AF5C1}" name="Column9338"/>
    <tableColumn id="9342" xr3:uid="{0B1CEEA2-1638-4EFF-B0EE-F503A92D8258}" name="Column9339"/>
    <tableColumn id="9343" xr3:uid="{8538F7C3-8D8B-46B0-BD2F-BE5E6B6D0561}" name="Column9340"/>
    <tableColumn id="9344" xr3:uid="{BFC3C81D-D976-4874-B76F-55F7C64B24ED}" name="Column9341"/>
    <tableColumn id="9345" xr3:uid="{A248AD4E-95D8-4F56-8CF9-93EBEC276882}" name="Column9342"/>
    <tableColumn id="9346" xr3:uid="{25308C25-7BF8-401B-8015-8C03609AD73B}" name="Column9343"/>
    <tableColumn id="9347" xr3:uid="{DC68D2B6-417B-4AF8-BFB5-90B540992E25}" name="Column9344"/>
    <tableColumn id="9348" xr3:uid="{796CC0FB-2260-4B3A-B15D-B1EFB5303D52}" name="Column9345"/>
    <tableColumn id="9349" xr3:uid="{DE7ADA8F-DF7E-49D3-813B-37559212F1C3}" name="Column9346"/>
    <tableColumn id="9350" xr3:uid="{A671F3CE-5727-4F55-8C49-48DBD0AABABA}" name="Column9347"/>
    <tableColumn id="9351" xr3:uid="{2B4A8853-9D0F-4072-9A61-023DFA98F4B4}" name="Column9348"/>
    <tableColumn id="9352" xr3:uid="{39D43334-E818-48DE-87AB-6C58B18145CC}" name="Column9349"/>
    <tableColumn id="9353" xr3:uid="{5597CF5E-49EC-4CDF-B3DB-B751A385B254}" name="Column9350"/>
    <tableColumn id="9354" xr3:uid="{9D565110-3C8D-481F-B484-29FA2DFE341B}" name="Column9351"/>
    <tableColumn id="9355" xr3:uid="{4A313143-80F2-4EB5-B1B0-61839E1B80EE}" name="Column9352"/>
    <tableColumn id="9356" xr3:uid="{83C13DA2-58C9-4F64-8AD9-732B66EB33CC}" name="Column9353"/>
    <tableColumn id="9357" xr3:uid="{83D6E739-ADE7-44A9-8E8B-276410247324}" name="Column9354"/>
    <tableColumn id="9358" xr3:uid="{0C36AB32-1D7C-4D1C-98E1-7A4A9C27AA06}" name="Column9355"/>
    <tableColumn id="9359" xr3:uid="{5AF89B22-7228-4108-A0EA-C9161D4CC8D1}" name="Column9356"/>
    <tableColumn id="9360" xr3:uid="{3EA8566F-8F0B-4D4A-950B-5618A87B3998}" name="Column9357"/>
    <tableColumn id="9361" xr3:uid="{42F3B10B-F63C-405E-B1A3-0F81CFF3D704}" name="Column9358"/>
    <tableColumn id="9362" xr3:uid="{E5E0D5DB-CD1E-48CD-8ED2-852CA2973294}" name="Column9359"/>
    <tableColumn id="9363" xr3:uid="{1954B1B9-5C16-4B5E-9155-2ED7D742D5F0}" name="Column9360"/>
    <tableColumn id="9364" xr3:uid="{7485C113-4884-4F91-8E23-89CE7C5311F0}" name="Column9361"/>
    <tableColumn id="9365" xr3:uid="{CCC6690E-C694-4A42-B9C8-CB6F0159442D}" name="Column9362"/>
    <tableColumn id="9366" xr3:uid="{B2533BE6-7155-4997-AAF3-527762C01FC4}" name="Column9363"/>
    <tableColumn id="9367" xr3:uid="{360FEA54-951E-4DE1-BC13-69B8FE0EB606}" name="Column9364"/>
    <tableColumn id="9368" xr3:uid="{E96EB6BA-1079-48BC-A9CA-D81475B695FC}" name="Column9365"/>
    <tableColumn id="9369" xr3:uid="{EE854C8B-BC6C-47D9-AA21-E14426271F66}" name="Column9366"/>
    <tableColumn id="9370" xr3:uid="{CB36CAC5-8ED3-43CD-B0C3-13C63BC2752E}" name="Column9367"/>
    <tableColumn id="9371" xr3:uid="{151D504B-7822-4AD9-9FA0-B025A9445A90}" name="Column9368"/>
    <tableColumn id="9372" xr3:uid="{9A086BD2-9AB5-4D1E-804B-67215160A17A}" name="Column9369"/>
    <tableColumn id="9373" xr3:uid="{95BDB996-54E5-4A28-9348-AAE418DACE5C}" name="Column9370"/>
    <tableColumn id="9374" xr3:uid="{58D4BF93-1D15-4510-AFCB-12A3948C690D}" name="Column9371"/>
    <tableColumn id="9375" xr3:uid="{983883CE-D4D9-41BB-B703-A795B63223B8}" name="Column9372"/>
    <tableColumn id="9376" xr3:uid="{6EC3513D-4CA1-4437-8040-CDC9D229E6B0}" name="Column9373"/>
    <tableColumn id="9377" xr3:uid="{0F90FBF3-28E6-421C-AB81-BFC605F9A8AB}" name="Column9374"/>
    <tableColumn id="9378" xr3:uid="{E276D8E2-B5D5-47AA-B88D-0D4367E24565}" name="Column9375"/>
    <tableColumn id="9379" xr3:uid="{4A743F6C-877E-4835-8E14-863D9079F7E9}" name="Column9376"/>
    <tableColumn id="9380" xr3:uid="{ECA709AC-56C3-4BAE-B737-674CA6C85CEC}" name="Column9377"/>
    <tableColumn id="9381" xr3:uid="{D81B48B3-A671-4F12-A916-DC4870CEA932}" name="Column9378"/>
    <tableColumn id="9382" xr3:uid="{3BDB8DE5-E0BF-42C6-994D-59AF3FB4EBFB}" name="Column9379"/>
    <tableColumn id="9383" xr3:uid="{F16843C2-F046-43A3-9E4E-E7E43630C154}" name="Column9380"/>
    <tableColumn id="9384" xr3:uid="{508A4A19-F433-4E8E-BC1F-6645BFCCED9D}" name="Column9381"/>
    <tableColumn id="9385" xr3:uid="{7081B330-2C45-4B64-8372-1D84A745ECD5}" name="Column9382"/>
    <tableColumn id="9386" xr3:uid="{AEA6F69F-5270-49AF-98D2-16BE6BCBF935}" name="Column9383"/>
    <tableColumn id="9387" xr3:uid="{1F8887CA-C691-429F-9241-398747E8FD3E}" name="Column9384"/>
    <tableColumn id="9388" xr3:uid="{6774C20F-8513-49C8-921F-0A91D811A864}" name="Column9385"/>
    <tableColumn id="9389" xr3:uid="{C49C5D5A-67B5-4177-BD4D-86B9EA8B514E}" name="Column9386"/>
    <tableColumn id="9390" xr3:uid="{09C53E00-1366-43E5-871D-8457319E9A19}" name="Column9387"/>
    <tableColumn id="9391" xr3:uid="{EADD940D-B483-4B15-BC68-CDFC194BD23E}" name="Column9388"/>
    <tableColumn id="9392" xr3:uid="{475D2AD5-480B-4028-B44B-F25CF40803E8}" name="Column9389"/>
    <tableColumn id="9393" xr3:uid="{06C86446-0C1E-4322-976B-30231948E9E3}" name="Column9390"/>
    <tableColumn id="9394" xr3:uid="{0357BD25-D825-484F-9573-669BA8880BB5}" name="Column9391"/>
    <tableColumn id="9395" xr3:uid="{0CAF5217-B0F1-4517-A807-EB74B942AC2D}" name="Column9392"/>
    <tableColumn id="9396" xr3:uid="{7939CB63-4150-478B-8BCE-D044CB8D230D}" name="Column9393"/>
    <tableColumn id="9397" xr3:uid="{ADD529B8-78DE-42B0-BDEC-3703154080A9}" name="Column9394"/>
    <tableColumn id="9398" xr3:uid="{41A408AA-DCB8-4939-B6BF-10D09EBEF9AC}" name="Column9395"/>
    <tableColumn id="9399" xr3:uid="{94D5157D-2A97-4840-96B6-89AE59B45002}" name="Column9396"/>
    <tableColumn id="9400" xr3:uid="{40B6696C-EC42-4EA4-9725-F9D5A8EC74EA}" name="Column9397"/>
    <tableColumn id="9401" xr3:uid="{161B690F-8401-49A7-8B34-BAA4A56A6CB1}" name="Column9398"/>
    <tableColumn id="9402" xr3:uid="{ED73DB24-770C-4484-81DC-D7A9482DBD03}" name="Column9399"/>
    <tableColumn id="9403" xr3:uid="{35F3EB83-AF73-4F09-A292-4D04DD08CD9E}" name="Column9400"/>
    <tableColumn id="9404" xr3:uid="{8C5F8ACB-2973-4F95-AA44-97C395F55224}" name="Column9401"/>
    <tableColumn id="9405" xr3:uid="{83CECE3B-4A4A-44B8-B2AD-21D0129EF8E4}" name="Column9402"/>
    <tableColumn id="9406" xr3:uid="{E6A6BDBD-728D-49F4-A64A-404B732BE380}" name="Column9403"/>
    <tableColumn id="9407" xr3:uid="{7A27E18B-6A62-487A-8E6C-0D7FE4347BE9}" name="Column9404"/>
    <tableColumn id="9408" xr3:uid="{5B49CF64-9666-40FC-BF2D-02C97325C1C3}" name="Column9405"/>
    <tableColumn id="9409" xr3:uid="{26A44A47-D354-4832-A617-037DE3A8A874}" name="Column9406"/>
    <tableColumn id="9410" xr3:uid="{7000ACE5-581D-4D71-8E72-EFDA2C1B648D}" name="Column9407"/>
    <tableColumn id="9411" xr3:uid="{91175B72-CF91-4860-8308-D0162FDEA981}" name="Column9408"/>
    <tableColumn id="9412" xr3:uid="{470D6B7A-3237-4A87-B358-261449028899}" name="Column9409"/>
    <tableColumn id="9413" xr3:uid="{EA462CAA-03CD-4FD1-A438-DD729E0F9401}" name="Column9410"/>
    <tableColumn id="9414" xr3:uid="{738D77C6-516D-4FC2-9990-72A653C2198E}" name="Column9411"/>
    <tableColumn id="9415" xr3:uid="{EA8CFDFE-7824-416F-91C6-8A16B0664BC9}" name="Column9412"/>
    <tableColumn id="9416" xr3:uid="{569DFBD2-4C0F-4C25-92AE-95BB1A647C57}" name="Column9413"/>
    <tableColumn id="9417" xr3:uid="{D3691682-5171-4EF3-B953-1CD17A1FD2A2}" name="Column9414"/>
    <tableColumn id="9418" xr3:uid="{05140536-B84E-4345-A9C0-EC9EBDA8CB4E}" name="Column9415"/>
    <tableColumn id="9419" xr3:uid="{5A39856F-E622-4501-868C-A7946AECD1C6}" name="Column9416"/>
    <tableColumn id="9420" xr3:uid="{3B20DC6E-889E-476E-AC15-3B11AF732C97}" name="Column9417"/>
    <tableColumn id="9421" xr3:uid="{627699E4-6F4C-4228-970B-2117C0CF98E4}" name="Column9418"/>
    <tableColumn id="9422" xr3:uid="{4F7BE98E-8461-466B-91B3-E2261056AD55}" name="Column9419"/>
    <tableColumn id="9423" xr3:uid="{0E7A9592-8213-466B-A99C-8AE1C9EB70CF}" name="Column9420"/>
    <tableColumn id="9424" xr3:uid="{BE3DDB9A-6FA8-44D1-B3F3-46D6E79BE7C8}" name="Column9421"/>
    <tableColumn id="9425" xr3:uid="{16340689-63E4-4FD5-98BF-0FDBD28A4662}" name="Column9422"/>
    <tableColumn id="9426" xr3:uid="{5263CB5A-C8EF-4273-BE62-AD47DEED9C33}" name="Column9423"/>
    <tableColumn id="9427" xr3:uid="{D7BB3A27-F857-4575-B436-82B340233262}" name="Column9424"/>
    <tableColumn id="9428" xr3:uid="{AA96F102-3C96-48D8-B9CD-E349629D6920}" name="Column9425"/>
    <tableColumn id="9429" xr3:uid="{233ADAD0-CA5F-4A07-ACF5-8A1EDCDFD869}" name="Column9426"/>
    <tableColumn id="9430" xr3:uid="{A14CCF06-A322-437A-9665-197A906D3556}" name="Column9427"/>
    <tableColumn id="9431" xr3:uid="{3545A8E5-575F-4A3C-81B6-4589694C685D}" name="Column9428"/>
    <tableColumn id="9432" xr3:uid="{C75FBA45-AB55-4553-8A5E-FBACF0CBFD56}" name="Column9429"/>
    <tableColumn id="9433" xr3:uid="{3F3C271E-6B25-44B6-95B1-7CAC173F066D}" name="Column9430"/>
    <tableColumn id="9434" xr3:uid="{DCE9FA39-00B8-40FA-91F9-ADD653CDA5A3}" name="Column9431"/>
    <tableColumn id="9435" xr3:uid="{5359BEDC-8201-4E14-A386-F6B26EBC3D03}" name="Column9432"/>
    <tableColumn id="9436" xr3:uid="{DE335AC5-845F-465F-89DE-5D67242BC562}" name="Column9433"/>
    <tableColumn id="9437" xr3:uid="{180EA0E1-FC63-4CD8-A2BB-AA8DD8709120}" name="Column9434"/>
    <tableColumn id="9438" xr3:uid="{B9774D7E-CFB6-42D3-AC41-942E6AA0DFAA}" name="Column9435"/>
    <tableColumn id="9439" xr3:uid="{A48F33A8-B1C5-47C4-8BC2-7B869DBEC0D7}" name="Column9436"/>
    <tableColumn id="9440" xr3:uid="{6F0DDAC7-B476-4984-B469-A2D724299DC4}" name="Column9437"/>
    <tableColumn id="9441" xr3:uid="{F1D987DA-F242-49C4-B310-4A2F819A4189}" name="Column9438"/>
    <tableColumn id="9442" xr3:uid="{16AD4A25-FCF6-4969-AC5A-8CF4742C4129}" name="Column9439"/>
    <tableColumn id="9443" xr3:uid="{D146C684-8963-4F4A-8BA8-482C7544E71B}" name="Column9440"/>
    <tableColumn id="9444" xr3:uid="{B7B2057A-6FFD-4E02-8907-4E470545915E}" name="Column9441"/>
    <tableColumn id="9445" xr3:uid="{4DC07FFB-B430-4F36-8FC5-6CF7FED3B31C}" name="Column9442"/>
    <tableColumn id="9446" xr3:uid="{223E7896-2308-435B-A2E4-C9177F264D75}" name="Column9443"/>
    <tableColumn id="9447" xr3:uid="{89F8CDC1-C341-4581-A563-6EDA84074597}" name="Column9444"/>
    <tableColumn id="9448" xr3:uid="{6DCD7C4B-2A40-4061-8080-E45543054C8C}" name="Column9445"/>
    <tableColumn id="9449" xr3:uid="{00924C47-549D-4223-A9D7-7FC06C383018}" name="Column9446"/>
    <tableColumn id="9450" xr3:uid="{14F1CB46-4F83-41FA-BB0E-8B454A09F650}" name="Column9447"/>
    <tableColumn id="9451" xr3:uid="{FBDBC40E-D40D-47A8-8F39-D91C857C78E7}" name="Column9448"/>
    <tableColumn id="9452" xr3:uid="{CE84CD38-F1BB-43EE-B786-FEFADA0178E9}" name="Column9449"/>
    <tableColumn id="9453" xr3:uid="{E8069ACC-F064-41A3-8BA1-98F3619032BC}" name="Column9450"/>
    <tableColumn id="9454" xr3:uid="{DF782B9E-6297-43FC-930B-412C4E6E6CDD}" name="Column9451"/>
    <tableColumn id="9455" xr3:uid="{1D4B5980-C49B-4AAD-9157-8B690AA6999D}" name="Column9452"/>
    <tableColumn id="9456" xr3:uid="{4E89E94F-E86E-4794-A4A4-D596937B710E}" name="Column9453"/>
    <tableColumn id="9457" xr3:uid="{27104E46-65F4-4F6D-A220-CAAAA07EFC94}" name="Column9454"/>
    <tableColumn id="9458" xr3:uid="{827EB131-1BA7-454F-BF4C-39A8E8D408B9}" name="Column9455"/>
    <tableColumn id="9459" xr3:uid="{98FE0550-9084-4B82-BA79-5BAF0EDB9B42}" name="Column9456"/>
    <tableColumn id="9460" xr3:uid="{AD54C499-1870-41A5-9222-C4043BEC6C27}" name="Column9457"/>
    <tableColumn id="9461" xr3:uid="{E8DF201C-A964-43B8-A85E-A341C24EBE5D}" name="Column9458"/>
    <tableColumn id="9462" xr3:uid="{A87E32DC-7DF8-472D-A08A-D514C6B5F3E6}" name="Column9459"/>
    <tableColumn id="9463" xr3:uid="{83772F0D-2B33-446C-837B-70920DCE58D7}" name="Column9460"/>
    <tableColumn id="9464" xr3:uid="{0C55E537-4F06-45F4-A4CC-737C85DF5A78}" name="Column9461"/>
    <tableColumn id="9465" xr3:uid="{BA522789-1106-4269-A13F-9C020140B8E5}" name="Column9462"/>
    <tableColumn id="9466" xr3:uid="{1A36FC5A-9F48-41C3-9664-6B3BCB0DF24E}" name="Column9463"/>
    <tableColumn id="9467" xr3:uid="{93375D1A-257F-48FC-9919-E25AAD19176A}" name="Column9464"/>
    <tableColumn id="9468" xr3:uid="{CF68DB48-C3D5-48B6-AA9D-9F8C454E836A}" name="Column9465"/>
    <tableColumn id="9469" xr3:uid="{FC3D68A3-0605-468D-9E16-EC68B53BA428}" name="Column9466"/>
    <tableColumn id="9470" xr3:uid="{D84ECE5F-986F-4F5A-A132-E683A40D5D48}" name="Column9467"/>
    <tableColumn id="9471" xr3:uid="{7D8320FD-41C4-4BF4-A71E-2E7B50D828B2}" name="Column9468"/>
    <tableColumn id="9472" xr3:uid="{7094867C-ABCF-4A67-85EA-75B65AD6D93A}" name="Column9469"/>
    <tableColumn id="9473" xr3:uid="{54C1E878-3651-48C8-90D9-65E31003C273}" name="Column9470"/>
    <tableColumn id="9474" xr3:uid="{D8BAFA47-CF7C-4B50-AF98-53EC41AA2D29}" name="Column9471"/>
    <tableColumn id="9475" xr3:uid="{E7182EAC-1E09-44C9-A7CD-454E91641E3B}" name="Column9472"/>
    <tableColumn id="9476" xr3:uid="{EB3ECB00-D661-4BD7-AEE0-593208BFC1CD}" name="Column9473"/>
    <tableColumn id="9477" xr3:uid="{D128887D-DA4B-4A1E-9603-E65E38D316C6}" name="Column9474"/>
    <tableColumn id="9478" xr3:uid="{F53F9418-7091-46A7-83B9-9338D4ADCA24}" name="Column9475"/>
    <tableColumn id="9479" xr3:uid="{B450D98A-2892-4E71-8979-37265167BCBA}" name="Column9476"/>
    <tableColumn id="9480" xr3:uid="{313C8692-C580-4310-ACCD-F8D3D4B78869}" name="Column9477"/>
    <tableColumn id="9481" xr3:uid="{E7B31998-B8ED-4352-99DD-D42C84E74B14}" name="Column9478"/>
    <tableColumn id="9482" xr3:uid="{4DA3B3D3-69FD-40D6-81C5-6A556475F5E0}" name="Column9479"/>
    <tableColumn id="9483" xr3:uid="{8C41755C-3C5C-4C1E-8F92-39CC00642738}" name="Column9480"/>
    <tableColumn id="9484" xr3:uid="{EE7D651C-CCC4-452A-ACC2-FFD8BA51F738}" name="Column9481"/>
    <tableColumn id="9485" xr3:uid="{1982E80C-8911-4655-8069-EB80B75C212B}" name="Column9482"/>
    <tableColumn id="9486" xr3:uid="{35A5C9BE-BA5C-44EE-A8EE-07D247200856}" name="Column9483"/>
    <tableColumn id="9487" xr3:uid="{7ECB2267-08EA-4A99-8C53-655E9F6702E4}" name="Column9484"/>
    <tableColumn id="9488" xr3:uid="{3783BEBA-4B60-4190-9F4F-0BE9141D8937}" name="Column9485"/>
    <tableColumn id="9489" xr3:uid="{0DC5EA57-9DDE-4383-A804-DE4EB9101E44}" name="Column9486"/>
    <tableColumn id="9490" xr3:uid="{A00BAFA0-C94E-4136-AF75-CC75C2593512}" name="Column9487"/>
    <tableColumn id="9491" xr3:uid="{9D291C4F-F521-4609-B2B5-14931A617FF5}" name="Column9488"/>
    <tableColumn id="9492" xr3:uid="{6F10269F-5C80-4922-8F54-5C67B25B9BAE}" name="Column9489"/>
    <tableColumn id="9493" xr3:uid="{7549E45A-3CDE-449C-868A-EDB9E8D3623F}" name="Column9490"/>
    <tableColumn id="9494" xr3:uid="{92F48E58-37AD-46BF-B93B-2A6166AC23C8}" name="Column9491"/>
    <tableColumn id="9495" xr3:uid="{E4E515F8-A8DD-4A88-A1C0-00756CA79F2B}" name="Column9492"/>
    <tableColumn id="9496" xr3:uid="{8AABA7E6-D28F-404D-B736-D469CEFFE05B}" name="Column9493"/>
    <tableColumn id="9497" xr3:uid="{7910321A-3275-409B-B685-18CAFC3C3586}" name="Column9494"/>
    <tableColumn id="9498" xr3:uid="{C4DCAA7A-C747-455F-A794-3E1FA0888BF8}" name="Column9495"/>
    <tableColumn id="9499" xr3:uid="{CF97F9D0-16BD-4FDE-821C-99D445748178}" name="Column9496"/>
    <tableColumn id="9500" xr3:uid="{5B97BD1F-3677-47D3-B32E-350B52D0B128}" name="Column9497"/>
    <tableColumn id="9501" xr3:uid="{D127796E-2347-4A0B-A4B7-4F5A4827CDF0}" name="Column9498"/>
    <tableColumn id="9502" xr3:uid="{0B8C7D90-7F62-48B3-8AAF-5245B130534F}" name="Column9499"/>
    <tableColumn id="9503" xr3:uid="{139FAF8B-D523-4BB6-ACB9-DE3361259760}" name="Column9500"/>
    <tableColumn id="9504" xr3:uid="{59982A5E-60BE-471C-AFC3-8F5E5C5FC80B}" name="Column9501"/>
    <tableColumn id="9505" xr3:uid="{EA248E46-C051-4C4F-BF6A-2DC098B74DCD}" name="Column9502"/>
    <tableColumn id="9506" xr3:uid="{AF33EA58-A275-422D-A938-8BAF6B991238}" name="Column9503"/>
    <tableColumn id="9507" xr3:uid="{10E96D1B-8EF2-4E85-9B6A-0AB99C7D229B}" name="Column9504"/>
    <tableColumn id="9508" xr3:uid="{B67F02EE-A348-43CC-B981-8D2D003A8BF9}" name="Column9505"/>
    <tableColumn id="9509" xr3:uid="{0C2E1D85-4B8B-4352-982B-77DEB611E2A9}" name="Column9506"/>
    <tableColumn id="9510" xr3:uid="{20FBCCDE-400D-4CE4-AECB-DC8FEBE9BAFA}" name="Column9507"/>
    <tableColumn id="9511" xr3:uid="{70AFDF7D-FCF4-4558-BB9B-994DED57CCD9}" name="Column9508"/>
    <tableColumn id="9512" xr3:uid="{1EA19506-3C81-4EA3-9EB2-4936040559A8}" name="Column9509"/>
    <tableColumn id="9513" xr3:uid="{9125F2E7-61E6-4118-89D2-135EF1B3DC03}" name="Column9510"/>
    <tableColumn id="9514" xr3:uid="{C887B00E-DF8A-4E50-9C6B-72F9C9B8B208}" name="Column9511"/>
    <tableColumn id="9515" xr3:uid="{85EF49D3-EED8-47FF-9CF7-A357395CD764}" name="Column9512"/>
    <tableColumn id="9516" xr3:uid="{C2032B3B-6149-4CE1-905B-96C42B2AB03D}" name="Column9513"/>
    <tableColumn id="9517" xr3:uid="{0E4A9D7A-C277-4A41-9B9D-C9FACCD1FFA5}" name="Column9514"/>
    <tableColumn id="9518" xr3:uid="{D72460B1-67A7-41DB-AD40-8FAE3FED5D42}" name="Column9515"/>
    <tableColumn id="9519" xr3:uid="{ADE7437F-237E-4C48-82C3-5E743D2FCB87}" name="Column9516"/>
    <tableColumn id="9520" xr3:uid="{78FC3A39-AFC0-4E47-B1B1-9D5115AB9220}" name="Column9517"/>
    <tableColumn id="9521" xr3:uid="{18F19550-6D04-4AA2-837B-437DC8056E9C}" name="Column9518"/>
    <tableColumn id="9522" xr3:uid="{199BD8C1-1444-4796-B534-7C08A730754D}" name="Column9519"/>
    <tableColumn id="9523" xr3:uid="{59A0B478-D4C0-4B27-89A5-86AAE9924CB7}" name="Column9520"/>
    <tableColumn id="9524" xr3:uid="{1DFBFB2A-03DD-4109-9547-4AFE4531B710}" name="Column9521"/>
    <tableColumn id="9525" xr3:uid="{F8010D9B-3978-4EDD-9C85-5CE02D7F6B75}" name="Column9522"/>
    <tableColumn id="9526" xr3:uid="{8249575F-3537-4626-9B00-B3615528D1AF}" name="Column9523"/>
    <tableColumn id="9527" xr3:uid="{B29286A0-1589-4F3F-9F2C-D5CA48D1B228}" name="Column9524"/>
    <tableColumn id="9528" xr3:uid="{EADB56E9-9DF8-47F3-A015-C5B9CE7186EE}" name="Column9525"/>
    <tableColumn id="9529" xr3:uid="{29312415-0440-4D13-8E22-9BD37CAF88DF}" name="Column9526"/>
    <tableColumn id="9530" xr3:uid="{6705C3F7-A2DC-499F-B548-A3CF0F526957}" name="Column9527"/>
    <tableColumn id="9531" xr3:uid="{97190354-9641-45B4-A782-58738A7E1D18}" name="Column9528"/>
    <tableColumn id="9532" xr3:uid="{3FD48F2B-9265-4D0E-BC65-4A7F18F2B33E}" name="Column9529"/>
    <tableColumn id="9533" xr3:uid="{5C887D15-DA7D-4353-B40F-1521DD2A38DD}" name="Column9530"/>
    <tableColumn id="9534" xr3:uid="{8CECE44B-6C75-4E60-9E6C-D5F5A1BC71AF}" name="Column9531"/>
    <tableColumn id="9535" xr3:uid="{60EAA469-89E8-4272-AEBD-97C2350C481C}" name="Column9532"/>
    <tableColumn id="9536" xr3:uid="{471A0224-872B-4BC0-9843-49DF4AE08571}" name="Column9533"/>
    <tableColumn id="9537" xr3:uid="{6BFB37BC-844A-4ABE-9DB5-7DCDE75480FC}" name="Column9534"/>
    <tableColumn id="9538" xr3:uid="{177EBEEC-35C9-4A88-AC89-5A6208AA9E1A}" name="Column9535"/>
    <tableColumn id="9539" xr3:uid="{6B011116-F0E0-433F-8F7A-8428E9342954}" name="Column9536"/>
    <tableColumn id="9540" xr3:uid="{C8B9CF5C-56EF-4445-A1A0-D21DD2172910}" name="Column9537"/>
    <tableColumn id="9541" xr3:uid="{21384BB9-5686-4B6D-83F7-E04CAAAA9508}" name="Column9538"/>
    <tableColumn id="9542" xr3:uid="{E6AABF37-9A39-4EC2-86B9-39A02524B04D}" name="Column9539"/>
    <tableColumn id="9543" xr3:uid="{2D3FF726-82AE-41B6-AE26-7B4B044603D9}" name="Column9540"/>
    <tableColumn id="9544" xr3:uid="{891F3D51-55FC-478F-A437-CB460E5DEF1F}" name="Column9541"/>
    <tableColumn id="9545" xr3:uid="{EFB13949-6CB2-4EE6-B5A1-6E7715CD9A30}" name="Column9542"/>
    <tableColumn id="9546" xr3:uid="{5C0FC40F-12A1-4D4D-BA88-44B8D6DEC15D}" name="Column9543"/>
    <tableColumn id="9547" xr3:uid="{2B651B78-27F9-4F82-9302-7B56866DC905}" name="Column9544"/>
    <tableColumn id="9548" xr3:uid="{420137A8-86A3-48D1-A43D-A064C62D7C07}" name="Column9545"/>
    <tableColumn id="9549" xr3:uid="{08C1D994-56F0-40FE-9266-F21371FDCC2A}" name="Column9546"/>
    <tableColumn id="9550" xr3:uid="{6AE0E2F5-714D-4D42-92F8-076AFF5F8175}" name="Column9547"/>
    <tableColumn id="9551" xr3:uid="{30539237-10DF-4188-ADC2-545789DD34C8}" name="Column9548"/>
    <tableColumn id="9552" xr3:uid="{466BFF0E-1D7C-4B15-AAF6-11620710DD36}" name="Column9549"/>
    <tableColumn id="9553" xr3:uid="{C9D80DDE-2A6F-4F8D-B087-EEBD27B9C137}" name="Column9550"/>
    <tableColumn id="9554" xr3:uid="{9509CC2A-F462-4556-941F-BAD82FD56489}" name="Column9551"/>
    <tableColumn id="9555" xr3:uid="{EC44D1FC-BF94-4242-9147-F54466AB9A49}" name="Column9552"/>
    <tableColumn id="9556" xr3:uid="{1538A895-8993-41E7-AD66-D886880506F3}" name="Column9553"/>
    <tableColumn id="9557" xr3:uid="{5DDDB623-748B-4BAF-A43D-29C9625515C4}" name="Column9554"/>
    <tableColumn id="9558" xr3:uid="{56B998A2-A1A5-4E3C-99DB-E3C50DFA03AD}" name="Column9555"/>
    <tableColumn id="9559" xr3:uid="{9EF5CD98-C9DA-48E8-A7C2-4F2FB3B2461E}" name="Column9556"/>
    <tableColumn id="9560" xr3:uid="{B329CEA4-916A-4FF2-98BA-8ADCB080EE41}" name="Column9557"/>
    <tableColumn id="9561" xr3:uid="{DF75C78F-ACA0-476F-90EA-9AF2942F16B2}" name="Column9558"/>
    <tableColumn id="9562" xr3:uid="{743A3DE5-7EB6-44A6-8532-E9FE93685791}" name="Column9559"/>
    <tableColumn id="9563" xr3:uid="{3A716096-B152-4EA8-94F3-03F2A515CC3C}" name="Column9560"/>
    <tableColumn id="9564" xr3:uid="{46A00602-C2DD-466B-AEDE-43D9FF4C32EA}" name="Column9561"/>
    <tableColumn id="9565" xr3:uid="{5D12DE94-BFBC-4B1D-8136-1F92297209C0}" name="Column9562"/>
    <tableColumn id="9566" xr3:uid="{83EA66FC-B0BB-4A3E-A706-F367AD83D60C}" name="Column9563"/>
    <tableColumn id="9567" xr3:uid="{F97A2B3F-7867-4104-8FD3-AC0E0CCC71EE}" name="Column9564"/>
    <tableColumn id="9568" xr3:uid="{DBE24CF4-7594-4F93-914F-1908B31FADEF}" name="Column9565"/>
    <tableColumn id="9569" xr3:uid="{9730B603-EF85-41A7-A6D0-0AEC4939514B}" name="Column9566"/>
    <tableColumn id="9570" xr3:uid="{95135FED-09D9-4D0C-A802-5D42BADCB3AC}" name="Column9567"/>
    <tableColumn id="9571" xr3:uid="{567DCF50-05AD-41C5-9BD3-A6A61FA2A2EB}" name="Column9568"/>
    <tableColumn id="9572" xr3:uid="{22B16684-8045-45B1-82C4-9CB4CD5F35AB}" name="Column9569"/>
    <tableColumn id="9573" xr3:uid="{5ABDC3C5-95F1-4456-9308-8CC8F58986F4}" name="Column9570"/>
    <tableColumn id="9574" xr3:uid="{288D1290-6F37-45C6-8127-295DB4314614}" name="Column9571"/>
    <tableColumn id="9575" xr3:uid="{22E9F61A-0B97-4137-8009-5881591D6F83}" name="Column9572"/>
    <tableColumn id="9576" xr3:uid="{33A251A1-06DD-4B4D-A0B8-1F79E9A4E8B0}" name="Column9573"/>
    <tableColumn id="9577" xr3:uid="{71238FBF-C4CE-4463-AB28-8C6378C9FE12}" name="Column9574"/>
    <tableColumn id="9578" xr3:uid="{333486E9-85AC-4E05-A257-EA9D0F2CA908}" name="Column9575"/>
    <tableColumn id="9579" xr3:uid="{AE373877-9699-44F9-94AF-AB77C91737A6}" name="Column9576"/>
    <tableColumn id="9580" xr3:uid="{AB2157A9-CAD6-4AE6-98A6-F67D1206297E}" name="Column9577"/>
    <tableColumn id="9581" xr3:uid="{C432A924-2D7E-4D74-AF51-9ED108DCDCD8}" name="Column9578"/>
    <tableColumn id="9582" xr3:uid="{4F79F29B-5AA4-487B-B895-28D8FD845771}" name="Column9579"/>
    <tableColumn id="9583" xr3:uid="{560B6AEE-1A86-4A81-940C-93E779454F2C}" name="Column9580"/>
    <tableColumn id="9584" xr3:uid="{EFE6733A-E4AA-4ED8-856B-3773075BEA2B}" name="Column9581"/>
    <tableColumn id="9585" xr3:uid="{A1CA8B27-AE76-4497-9D0A-3C89EEE39F4D}" name="Column9582"/>
    <tableColumn id="9586" xr3:uid="{F31A62B7-09E1-4A23-86EB-20CD54BF075E}" name="Column9583"/>
    <tableColumn id="9587" xr3:uid="{5225BE94-E581-45D4-8170-BB15340EFFBF}" name="Column9584"/>
    <tableColumn id="9588" xr3:uid="{2079C8E9-846F-41FB-9902-3C4858127680}" name="Column9585"/>
    <tableColumn id="9589" xr3:uid="{D84F7A1D-6EE8-47DA-998A-FA177916383D}" name="Column9586"/>
    <tableColumn id="9590" xr3:uid="{6C6DD138-3AE7-47D5-9BC5-6C22D422746B}" name="Column9587"/>
    <tableColumn id="9591" xr3:uid="{E074ABD3-FE94-42A8-AB16-527046EEAB1C}" name="Column9588"/>
    <tableColumn id="9592" xr3:uid="{D6A84BA9-474B-4E23-8BE4-112136785179}" name="Column9589"/>
    <tableColumn id="9593" xr3:uid="{567242C7-90B0-4C74-972F-8A14D7C89F1F}" name="Column9590"/>
    <tableColumn id="9594" xr3:uid="{A2874D38-794A-458D-AC72-65869E0FAA86}" name="Column9591"/>
    <tableColumn id="9595" xr3:uid="{1C64061D-450F-4FC4-AE57-765F48BC9DB0}" name="Column9592"/>
    <tableColumn id="9596" xr3:uid="{719212E1-047A-4220-B44F-19581F5F45C6}" name="Column9593"/>
    <tableColumn id="9597" xr3:uid="{BC1CFB0C-B373-4EA4-8718-EE16942AAD8D}" name="Column9594"/>
    <tableColumn id="9598" xr3:uid="{6138A02D-D9B8-44E9-BFBD-08ADF18E122F}" name="Column9595"/>
    <tableColumn id="9599" xr3:uid="{DAF37757-169F-4D43-86F8-9F550DF59F41}" name="Column9596"/>
    <tableColumn id="9600" xr3:uid="{A2A1A2D9-1CB1-4516-B3A5-929EC429DDD4}" name="Column9597"/>
    <tableColumn id="9601" xr3:uid="{4407438A-7F89-4625-89EA-DA2003218443}" name="Column9598"/>
    <tableColumn id="9602" xr3:uid="{62AC9C14-8ACF-4C21-957F-2E25CDAC76F9}" name="Column9599"/>
    <tableColumn id="9603" xr3:uid="{C9EF9144-65EE-4D7C-9C55-1BD6BB346666}" name="Column9600"/>
    <tableColumn id="9604" xr3:uid="{0C495421-2EFD-4E46-B790-21B1B831A112}" name="Column9601"/>
    <tableColumn id="9605" xr3:uid="{8FD25807-556D-4948-8D83-D8E7EE551BA2}" name="Column9602"/>
    <tableColumn id="9606" xr3:uid="{E3B1673F-98EC-4B14-A8E6-D028EF51FAE9}" name="Column9603"/>
    <tableColumn id="9607" xr3:uid="{0A3A218A-FC50-44DE-844A-FC4EE6CBF91B}" name="Column9604"/>
    <tableColumn id="9608" xr3:uid="{68D4FA25-0BCB-4F35-8C20-9F59836DDF0A}" name="Column9605"/>
    <tableColumn id="9609" xr3:uid="{B419098B-CCD4-4FD2-B83A-C8F2A180B093}" name="Column9606"/>
    <tableColumn id="9610" xr3:uid="{84A9A492-732F-4395-96E1-13FF92FFB171}" name="Column9607"/>
    <tableColumn id="9611" xr3:uid="{4DB80201-1738-484E-A950-1FA708636F15}" name="Column9608"/>
    <tableColumn id="9612" xr3:uid="{4C7C045B-8538-4261-8366-C130CF4F91FA}" name="Column9609"/>
    <tableColumn id="9613" xr3:uid="{C7116F1E-098B-43FF-AD52-BABDD9B622B7}" name="Column9610"/>
    <tableColumn id="9614" xr3:uid="{A482C4B0-A7AD-4C65-B660-FFD3742F0174}" name="Column9611"/>
    <tableColumn id="9615" xr3:uid="{4BC998A0-A093-4888-A773-CEBABDB43E63}" name="Column9612"/>
    <tableColumn id="9616" xr3:uid="{3BD706EC-C8CD-41A0-BA98-DECF64493071}" name="Column9613"/>
    <tableColumn id="9617" xr3:uid="{360145CC-88C1-4CAF-8374-63DD892DAD62}" name="Column9614"/>
    <tableColumn id="9618" xr3:uid="{D9DEDA7E-F9D3-4E5B-96BC-8C33CC65C76E}" name="Column9615"/>
    <tableColumn id="9619" xr3:uid="{56110ED0-F37B-4375-8CDB-84EF12E177D6}" name="Column9616"/>
    <tableColumn id="9620" xr3:uid="{64C82432-CE27-42C6-8F1F-872DC71F6FDD}" name="Column9617"/>
    <tableColumn id="9621" xr3:uid="{0159517A-AB37-47D1-90EF-01AC016B2D36}" name="Column9618"/>
    <tableColumn id="9622" xr3:uid="{2D9B8E16-64F3-4EFA-9FFD-A5D1FEEAF1CC}" name="Column9619"/>
    <tableColumn id="9623" xr3:uid="{72F7E8BA-83D3-4A93-821E-41DA5C604260}" name="Column9620"/>
    <tableColumn id="9624" xr3:uid="{18F4FE0A-78A1-4F86-AEC5-3DDB1501643D}" name="Column9621"/>
    <tableColumn id="9625" xr3:uid="{CEA31D71-4FD5-4B82-9FDD-00381605AB4F}" name="Column9622"/>
    <tableColumn id="9626" xr3:uid="{2E3F12EA-A3EE-4D03-B3D9-2E8CEEE812E9}" name="Column9623"/>
    <tableColumn id="9627" xr3:uid="{2FD0E838-6C4A-48FF-BD70-CECE96F27A07}" name="Column9624"/>
    <tableColumn id="9628" xr3:uid="{42A62E9C-032F-4B8F-89EE-0C0ACAC65B53}" name="Column9625"/>
    <tableColumn id="9629" xr3:uid="{57A6FFDB-1D62-4BC5-8BD1-F2B4BF2C0D04}" name="Column9626"/>
    <tableColumn id="9630" xr3:uid="{E3AC8E93-7DFE-4A11-A90A-CF9F4B1813C3}" name="Column9627"/>
    <tableColumn id="9631" xr3:uid="{EAFD0262-ADA8-4DFC-88F2-576AC019436D}" name="Column9628"/>
    <tableColumn id="9632" xr3:uid="{D81F5034-44B6-4D25-9A6C-B28BE2975021}" name="Column9629"/>
    <tableColumn id="9633" xr3:uid="{4F45CA2D-A01B-40C9-A306-907A7567DFA3}" name="Column9630"/>
    <tableColumn id="9634" xr3:uid="{39240B54-1545-47DC-A1C1-438314B4C981}" name="Column9631"/>
    <tableColumn id="9635" xr3:uid="{07033164-580D-450B-9E14-E59E682C559A}" name="Column9632"/>
    <tableColumn id="9636" xr3:uid="{1799FFC6-9AF6-433A-957A-6D32B0875316}" name="Column9633"/>
    <tableColumn id="9637" xr3:uid="{824EA845-650D-46C0-B351-BF64E0A0EC98}" name="Column9634"/>
    <tableColumn id="9638" xr3:uid="{F498B8C9-064C-4AA8-8835-3E073F94E41D}" name="Column9635"/>
    <tableColumn id="9639" xr3:uid="{72ED7FCE-22B3-48C8-8A41-CD6B24349948}" name="Column9636"/>
    <tableColumn id="9640" xr3:uid="{BE15B0E9-87AE-4581-9A47-8984775A20F2}" name="Column9637"/>
    <tableColumn id="9641" xr3:uid="{CCCDF056-0A3B-4B0E-A61B-D2BBEAD8016A}" name="Column9638"/>
    <tableColumn id="9642" xr3:uid="{8C22F636-ADB0-421F-99FE-18A794AA3BD5}" name="Column9639"/>
    <tableColumn id="9643" xr3:uid="{A339856F-77C2-4B42-9C9B-6F642B3E0C9E}" name="Column9640"/>
    <tableColumn id="9644" xr3:uid="{103A875D-5228-43D3-AA16-29AA599328BC}" name="Column9641"/>
    <tableColumn id="9645" xr3:uid="{C85CBDE4-31B8-4CCC-9150-3936F32F97B4}" name="Column9642"/>
    <tableColumn id="9646" xr3:uid="{4CB7AE34-CD1B-4D7E-9B79-CC5F16AE78B9}" name="Column9643"/>
    <tableColumn id="9647" xr3:uid="{0A6EF562-1BDE-4765-A3FB-CDFE01044314}" name="Column9644"/>
    <tableColumn id="9648" xr3:uid="{FA1BA1E2-B8AE-4665-8A3C-B4DB3F54F41C}" name="Column9645"/>
    <tableColumn id="9649" xr3:uid="{35DE24ED-C2A1-4B8B-897E-56FEBCEAABC8}" name="Column9646"/>
    <tableColumn id="9650" xr3:uid="{D74E6E09-7ECD-4E85-9419-BCF49FD44A82}" name="Column9647"/>
    <tableColumn id="9651" xr3:uid="{999D8E40-B531-429D-A7F9-0AF0B8D1A173}" name="Column9648"/>
    <tableColumn id="9652" xr3:uid="{72CF6046-9F1D-465F-B675-88C8433C2237}" name="Column9649"/>
    <tableColumn id="9653" xr3:uid="{4DB6D8DE-9F62-4289-97C9-58A4B3DC2FF7}" name="Column9650"/>
    <tableColumn id="9654" xr3:uid="{45A1E2B1-C35F-43E8-97C4-C5DF8C5B1A6C}" name="Column9651"/>
    <tableColumn id="9655" xr3:uid="{2C93E4B7-975D-4EC1-AB26-9066DD40B914}" name="Column9652"/>
    <tableColumn id="9656" xr3:uid="{13CC2CF5-58CE-480F-98DE-F9BD808ADB80}" name="Column9653"/>
    <tableColumn id="9657" xr3:uid="{41133497-A628-41C5-B5FD-F655DE06FBCE}" name="Column9654"/>
    <tableColumn id="9658" xr3:uid="{D617D571-42F6-45AC-A704-6E587CCDA492}" name="Column9655"/>
    <tableColumn id="9659" xr3:uid="{1F7E0391-68F0-43A9-B03B-33E043F1BAFF}" name="Column9656"/>
    <tableColumn id="9660" xr3:uid="{16A39F53-09C3-4207-9B50-1283963222DC}" name="Column9657"/>
    <tableColumn id="9661" xr3:uid="{6B1E3099-3791-469C-A9BA-5E37EC397F37}" name="Column9658"/>
    <tableColumn id="9662" xr3:uid="{F2662F17-DEBA-4395-93DC-10685DB5A7A5}" name="Column9659"/>
    <tableColumn id="9663" xr3:uid="{A6539036-0F99-42E5-BFEA-4ADFA5AB3EB3}" name="Column9660"/>
    <tableColumn id="9664" xr3:uid="{0472E9CE-7223-4866-8486-95F51BD4E3FF}" name="Column9661"/>
    <tableColumn id="9665" xr3:uid="{B8F316FA-96BA-43B7-AF3E-1D7ECAEF631B}" name="Column9662"/>
    <tableColumn id="9666" xr3:uid="{DDBC7D38-05B9-4F54-AE42-63294D166243}" name="Column9663"/>
    <tableColumn id="9667" xr3:uid="{4A82B987-1A36-441E-8103-6697AF0ABA98}" name="Column9664"/>
    <tableColumn id="9668" xr3:uid="{D1F0D7AC-502E-4ED2-9814-83ECB1440366}" name="Column9665"/>
    <tableColumn id="9669" xr3:uid="{2197A504-2604-4BB0-A1F3-632058B0CC26}" name="Column9666"/>
    <tableColumn id="9670" xr3:uid="{8670C673-3E52-418C-8132-F1BB81328097}" name="Column9667"/>
    <tableColumn id="9671" xr3:uid="{A5D67737-B027-4483-ADBA-3C0B4CBEF775}" name="Column9668"/>
    <tableColumn id="9672" xr3:uid="{D4D7CBDA-888B-488C-BE7F-501361195C7D}" name="Column9669"/>
    <tableColumn id="9673" xr3:uid="{6363134E-DDB5-43D8-93DA-D51CB72E1877}" name="Column9670"/>
    <tableColumn id="9674" xr3:uid="{E7709EFB-553A-4025-A7C1-993788778E24}" name="Column9671"/>
    <tableColumn id="9675" xr3:uid="{5B4D92A8-EDE3-4098-9CB2-B803126D8437}" name="Column9672"/>
    <tableColumn id="9676" xr3:uid="{93687894-C11C-4FE9-8A80-9B8C18EAE8CE}" name="Column9673"/>
    <tableColumn id="9677" xr3:uid="{3C0BD6D1-1DF3-489D-BF9F-563A732CB9BD}" name="Column9674"/>
    <tableColumn id="9678" xr3:uid="{541B121F-4CE2-44ED-8B4F-263DCF61DA4A}" name="Column9675"/>
    <tableColumn id="9679" xr3:uid="{A7CE50A0-5AD4-41BE-8173-1C021E12ECD3}" name="Column9676"/>
    <tableColumn id="9680" xr3:uid="{5476DD99-D72D-42DC-ADD4-9607116B096F}" name="Column9677"/>
    <tableColumn id="9681" xr3:uid="{0E885E0C-8B9B-43B5-AFDD-DA2D80145255}" name="Column9678"/>
    <tableColumn id="9682" xr3:uid="{CC05740C-C5A5-49AC-BFEB-D3565F86DCFB}" name="Column9679"/>
    <tableColumn id="9683" xr3:uid="{D56DFBA7-7F93-4F68-A91C-4681B733561C}" name="Column9680"/>
    <tableColumn id="9684" xr3:uid="{EF765876-195A-4B6B-A834-04B73B2ACBB7}" name="Column9681"/>
    <tableColumn id="9685" xr3:uid="{86B66989-1CF8-45A9-A38E-9CB8764209C8}" name="Column9682"/>
    <tableColumn id="9686" xr3:uid="{E2950C30-A17A-4BB5-B067-7DB843348A67}" name="Column9683"/>
    <tableColumn id="9687" xr3:uid="{2E396C5F-F4BA-48C7-8082-496CA7F90586}" name="Column9684"/>
    <tableColumn id="9688" xr3:uid="{65419FE2-EF84-4D47-AD00-006ED19B8279}" name="Column9685"/>
    <tableColumn id="9689" xr3:uid="{AC51EE3E-A39A-4A59-90B5-E8933A76E0C5}" name="Column9686"/>
    <tableColumn id="9690" xr3:uid="{8A5245E9-ADBF-4FC0-94F0-DAB02294B274}" name="Column9687"/>
    <tableColumn id="9691" xr3:uid="{E2C3C7BF-51E4-4306-8F21-E706CC19E246}" name="Column9688"/>
    <tableColumn id="9692" xr3:uid="{E9F8A5D1-2111-44D8-B313-DE57073E1711}" name="Column9689"/>
    <tableColumn id="9693" xr3:uid="{097861A2-BB51-4A6E-A8FF-81B30B667613}" name="Column9690"/>
    <tableColumn id="9694" xr3:uid="{60CD6C0F-CE7E-4CD5-A2C4-DE55AC146408}" name="Column9691"/>
    <tableColumn id="9695" xr3:uid="{FB8C7D17-15DA-43A0-A783-5A6062B82E7D}" name="Column9692"/>
    <tableColumn id="9696" xr3:uid="{A727CD7E-0E32-45F8-A867-A6342B80A9AD}" name="Column9693"/>
    <tableColumn id="9697" xr3:uid="{9F1D879B-3104-40DA-BB23-E37D5015338E}" name="Column9694"/>
    <tableColumn id="9698" xr3:uid="{E360FEAF-D3F3-4CBE-95BD-FC620F14F146}" name="Column9695"/>
    <tableColumn id="9699" xr3:uid="{FF384F2C-DFD5-4FAF-9C79-E59D4A85D79A}" name="Column9696"/>
    <tableColumn id="9700" xr3:uid="{852CDC55-1081-4243-8FC1-A8E049D208B7}" name="Column9697"/>
    <tableColumn id="9701" xr3:uid="{1FAA8B39-7324-4891-AA6A-76C325F29221}" name="Column9698"/>
    <tableColumn id="9702" xr3:uid="{0EFE0C8D-F7B5-4608-B3B8-47F1A0EB2C05}" name="Column9699"/>
    <tableColumn id="9703" xr3:uid="{E04C7A59-9EB9-457B-9991-B99340BF14B7}" name="Column9700"/>
    <tableColumn id="9704" xr3:uid="{EE3BCFCA-8B2B-4603-83F1-B9D0DFA8106A}" name="Column9701"/>
    <tableColumn id="9705" xr3:uid="{FB37577A-1D97-47F2-8F6A-37D5C1E6853D}" name="Column9702"/>
    <tableColumn id="9706" xr3:uid="{29E5C34C-D200-4B37-BCBA-FA47DB0B3788}" name="Column9703"/>
    <tableColumn id="9707" xr3:uid="{892C6797-EBF4-4A42-994E-3B126D3112E6}" name="Column9704"/>
    <tableColumn id="9708" xr3:uid="{7CCBAA71-F75B-4B8A-B761-18D86BAE26E6}" name="Column9705"/>
    <tableColumn id="9709" xr3:uid="{3F2C4371-05FA-4887-AB10-0CAB08CDBFA3}" name="Column9706"/>
    <tableColumn id="9710" xr3:uid="{1F034D9A-8548-4E5D-AF71-E807F2F95371}" name="Column9707"/>
    <tableColumn id="9711" xr3:uid="{1903027F-F3A8-40A2-B601-A96D496F69AA}" name="Column9708"/>
    <tableColumn id="9712" xr3:uid="{C2D54063-B3D4-40F8-B923-22D8D87DFE46}" name="Column9709"/>
    <tableColumn id="9713" xr3:uid="{DC26CC70-3439-4DA6-A464-AAA87643C0DD}" name="Column9710"/>
    <tableColumn id="9714" xr3:uid="{E3BCFDEA-D7E3-45D5-AB9D-E5F7ED1631CB}" name="Column9711"/>
    <tableColumn id="9715" xr3:uid="{2583A325-9BD4-49FF-A3CC-2570CD39ED05}" name="Column9712"/>
    <tableColumn id="9716" xr3:uid="{BEA3E0A2-920A-4E15-B740-F1F1025869E3}" name="Column9713"/>
    <tableColumn id="9717" xr3:uid="{B7F4F8AE-4B1D-4F16-A3C6-DEC5066315D8}" name="Column9714"/>
    <tableColumn id="9718" xr3:uid="{1D436E96-3DF2-4171-B8A0-714419434EA6}" name="Column9715"/>
    <tableColumn id="9719" xr3:uid="{FA0820AF-DCAC-4D18-B228-3FF2F0E1857E}" name="Column9716"/>
    <tableColumn id="9720" xr3:uid="{1570842E-CA83-4E1A-B6E3-D78A71744931}" name="Column9717"/>
    <tableColumn id="9721" xr3:uid="{965C0543-68DE-4D47-86BB-33BC46637019}" name="Column9718"/>
    <tableColumn id="9722" xr3:uid="{12B7E165-AAA9-47A5-A061-34E8A4A897F7}" name="Column9719"/>
    <tableColumn id="9723" xr3:uid="{CDE6327A-DF19-4E56-9AA8-B951A6277526}" name="Column9720"/>
    <tableColumn id="9724" xr3:uid="{71C1035B-CEF7-406D-97EC-CAF3939602FC}" name="Column9721"/>
    <tableColumn id="9725" xr3:uid="{44ABB2FB-55AA-4108-8A0F-EE6EE3651E64}" name="Column9722"/>
    <tableColumn id="9726" xr3:uid="{0CDBA210-C0FF-4800-8953-D92C537DAB66}" name="Column9723"/>
    <tableColumn id="9727" xr3:uid="{31138557-CED4-4316-B02F-38E19A5E068B}" name="Column9724"/>
    <tableColumn id="9728" xr3:uid="{8D9341A3-204D-4698-87E3-003F1566DC4D}" name="Column9725"/>
    <tableColumn id="9729" xr3:uid="{C9827B7B-26A9-4800-8FAB-FA4E8F4FEDE2}" name="Column9726"/>
    <tableColumn id="9730" xr3:uid="{936D4D57-C887-4FCD-ADEC-D06C2ABF50BD}" name="Column9727"/>
    <tableColumn id="9731" xr3:uid="{FF684218-0821-4365-A8A1-1748C6F9D948}" name="Column9728"/>
    <tableColumn id="9732" xr3:uid="{F545B3BE-242B-4AC5-B82A-FD6C9A4242A2}" name="Column9729"/>
    <tableColumn id="9733" xr3:uid="{B5D48CF0-0F4E-493F-BAF0-5F9DBAE83B9F}" name="Column9730"/>
    <tableColumn id="9734" xr3:uid="{A21A3D3A-F707-4000-928F-818BA353E357}" name="Column9731"/>
    <tableColumn id="9735" xr3:uid="{0CB13791-949C-4C14-BBF4-E5A1A77E274E}" name="Column9732"/>
    <tableColumn id="9736" xr3:uid="{F4CD42C1-A3A1-4B3B-8F9C-0969D0BE5443}" name="Column9733"/>
    <tableColumn id="9737" xr3:uid="{97E6C2FE-DDAA-4046-8AE2-0A28A3F6D94D}" name="Column9734"/>
    <tableColumn id="9738" xr3:uid="{A9AAEF33-D525-41D0-98DE-DB81533E78D9}" name="Column9735"/>
    <tableColumn id="9739" xr3:uid="{5CE22619-4251-4B97-90AC-BB0AC013C2D0}" name="Column9736"/>
    <tableColumn id="9740" xr3:uid="{1118487A-8374-422D-89D4-DB4213AB2D7E}" name="Column9737"/>
    <tableColumn id="9741" xr3:uid="{EF03C080-F248-4AFB-A338-30E3285FA515}" name="Column9738"/>
    <tableColumn id="9742" xr3:uid="{13A966F3-9344-4C43-9C3D-AAC70FED3AB0}" name="Column9739"/>
    <tableColumn id="9743" xr3:uid="{975F06A4-777B-4F02-8AA6-A3D1B355F7F2}" name="Column9740"/>
    <tableColumn id="9744" xr3:uid="{828ED454-EBFA-4F23-805D-6FE32756C4DD}" name="Column9741"/>
    <tableColumn id="9745" xr3:uid="{6D4683EA-B045-4265-B2C8-7C75D894AA8F}" name="Column9742"/>
    <tableColumn id="9746" xr3:uid="{A5633027-F904-472F-9FFA-AF61BAD71AC2}" name="Column9743"/>
    <tableColumn id="9747" xr3:uid="{768F3CD5-0435-45B9-A2D8-B709777D47E6}" name="Column9744"/>
    <tableColumn id="9748" xr3:uid="{8BD8723E-45A2-4F6E-B5B4-E8CB77E77954}" name="Column9745"/>
    <tableColumn id="9749" xr3:uid="{0BD2A20C-06FB-4C55-AF5D-A26C6D64054C}" name="Column9746"/>
    <tableColumn id="9750" xr3:uid="{F9BA74B2-610C-4341-903E-2074AE9B2C3D}" name="Column9747"/>
    <tableColumn id="9751" xr3:uid="{B9FE8062-EC77-4767-87DC-ECFD8D29A930}" name="Column9748"/>
    <tableColumn id="9752" xr3:uid="{AA77E094-EDBE-406C-837A-C7A1C0A80A42}" name="Column9749"/>
    <tableColumn id="9753" xr3:uid="{CABA1CD6-D4BD-4AE9-A4D5-FA1FC6BE2E4D}" name="Column9750"/>
    <tableColumn id="9754" xr3:uid="{9E45A66F-7A10-4C17-9A0F-427C12BA59B5}" name="Column9751"/>
    <tableColumn id="9755" xr3:uid="{F06E40F8-1A18-4485-AD9C-AFB44BBBA849}" name="Column9752"/>
    <tableColumn id="9756" xr3:uid="{29396724-03AE-495C-A385-79D1F4708538}" name="Column9753"/>
    <tableColumn id="9757" xr3:uid="{27F9DDC5-2180-40EE-B253-7EB7A49469FD}" name="Column9754"/>
    <tableColumn id="9758" xr3:uid="{B84147D5-79B1-4873-BF4B-918A3D7AED47}" name="Column9755"/>
    <tableColumn id="9759" xr3:uid="{256EAFB5-B56A-4964-8932-2E3A1FE027AD}" name="Column9756"/>
    <tableColumn id="9760" xr3:uid="{42DC4D51-52B5-45AB-AE9E-2242240A79A7}" name="Column9757"/>
    <tableColumn id="9761" xr3:uid="{82C5E90F-1FDC-4E20-A18D-6303063DE0F3}" name="Column9758"/>
    <tableColumn id="9762" xr3:uid="{106D479F-78EE-485C-93F0-EA0A3C623507}" name="Column9759"/>
    <tableColumn id="9763" xr3:uid="{88C539FD-4E34-479C-9458-DFD21A1CAEAC}" name="Column9760"/>
    <tableColumn id="9764" xr3:uid="{B6196509-497F-4819-9621-A0337CF16B47}" name="Column9761"/>
    <tableColumn id="9765" xr3:uid="{572CB608-7821-431F-9070-543CD4B982DA}" name="Column9762"/>
    <tableColumn id="9766" xr3:uid="{3F80448B-5DE2-4A92-B52B-711B1F4C5744}" name="Column9763"/>
    <tableColumn id="9767" xr3:uid="{8CD5B82A-9432-43C4-8BA2-CDA98FD400F6}" name="Column9764"/>
    <tableColumn id="9768" xr3:uid="{11966D31-2151-435D-912B-FB48848A1795}" name="Column9765"/>
    <tableColumn id="9769" xr3:uid="{0A44D4A4-9081-494C-B685-089EA4DF16CF}" name="Column9766"/>
    <tableColumn id="9770" xr3:uid="{A846D2D5-500B-4533-B597-0D340D72BC29}" name="Column9767"/>
    <tableColumn id="9771" xr3:uid="{D864711C-3A2A-4F05-8688-74585D04D408}" name="Column9768"/>
    <tableColumn id="9772" xr3:uid="{758F866C-563E-4538-BA38-367771FBA755}" name="Column9769"/>
    <tableColumn id="9773" xr3:uid="{95962A0F-8A3D-4701-BCB4-E1A123626154}" name="Column9770"/>
    <tableColumn id="9774" xr3:uid="{FF50BF67-A514-4628-B4CF-0D357625D8CD}" name="Column9771"/>
    <tableColumn id="9775" xr3:uid="{340C3127-79B6-4762-8933-E4157D9D44F2}" name="Column9772"/>
    <tableColumn id="9776" xr3:uid="{A9AC8233-D033-4510-946B-1B9A664323C3}" name="Column9773"/>
    <tableColumn id="9777" xr3:uid="{D76C55F3-1199-4621-89AD-DA9FFE41D3A7}" name="Column9774"/>
    <tableColumn id="9778" xr3:uid="{E6AA3406-0FBD-44EB-9958-49FD68851D28}" name="Column9775"/>
    <tableColumn id="9779" xr3:uid="{9F9BF8E7-6BBF-4CB3-A98F-19098A5FCFCF}" name="Column9776"/>
    <tableColumn id="9780" xr3:uid="{0A4408BE-982B-4F87-9B01-808559E15314}" name="Column9777"/>
    <tableColumn id="9781" xr3:uid="{AB7BE0EC-9AAF-479A-8FD8-D8DE28309C9C}" name="Column9778"/>
    <tableColumn id="9782" xr3:uid="{A77EDB8F-7B59-45F1-B8D4-423A3DFF1046}" name="Column9779"/>
    <tableColumn id="9783" xr3:uid="{AE23CA05-7780-4DE8-B2EE-F01D5E959F19}" name="Column9780"/>
    <tableColumn id="9784" xr3:uid="{2CCB643E-FC4C-47FB-B573-BE60F15E0030}" name="Column9781"/>
    <tableColumn id="9785" xr3:uid="{6455CB20-61D3-473C-8773-0B8DE05B6962}" name="Column9782"/>
    <tableColumn id="9786" xr3:uid="{65747112-A710-4CCE-B9E0-C10B87F9FC3E}" name="Column9783"/>
    <tableColumn id="9787" xr3:uid="{1AA60976-DEF4-43ED-80FD-C5A5A0054396}" name="Column9784"/>
    <tableColumn id="9788" xr3:uid="{1AEB5426-7620-400A-B731-32747D56E4A8}" name="Column9785"/>
    <tableColumn id="9789" xr3:uid="{2B5CF85E-A865-46EF-991F-671B2579B8AA}" name="Column9786"/>
    <tableColumn id="9790" xr3:uid="{82DDE98F-9117-4A34-8587-9A5CADF9B79E}" name="Column9787"/>
    <tableColumn id="9791" xr3:uid="{15D7B660-8BBB-4275-B25D-BF7A2C4BA9DA}" name="Column9788"/>
    <tableColumn id="9792" xr3:uid="{7A3B4D90-A899-42DA-AF98-FDC162D36CD0}" name="Column9789"/>
    <tableColumn id="9793" xr3:uid="{EB3B33D0-96FB-4B13-B231-7C73CC530344}" name="Column9790"/>
    <tableColumn id="9794" xr3:uid="{85BEC5CB-ABD0-4574-B82E-677EED85C312}" name="Column9791"/>
    <tableColumn id="9795" xr3:uid="{BA568226-D356-4522-8C94-8A4A9FFFB6C9}" name="Column9792"/>
    <tableColumn id="9796" xr3:uid="{6976F536-34DD-4C06-89B5-D81015C20DDB}" name="Column9793"/>
    <tableColumn id="9797" xr3:uid="{71BEEF3F-D36C-46F7-B672-F72F1F12E409}" name="Column9794"/>
    <tableColumn id="9798" xr3:uid="{32D0694E-B965-4326-B101-431A91F341E2}" name="Column9795"/>
    <tableColumn id="9799" xr3:uid="{249160AB-A547-454F-B5DF-A5BBCA8207C9}" name="Column9796"/>
    <tableColumn id="9800" xr3:uid="{5E362217-FCA9-4439-95E1-FB4E485AE89B}" name="Column9797"/>
    <tableColumn id="9801" xr3:uid="{138F0948-ABF3-4B72-9CDA-C091F3F30C17}" name="Column9798"/>
    <tableColumn id="9802" xr3:uid="{FB57D86D-4559-447A-BAF2-8E4F146FEC7C}" name="Column9799"/>
    <tableColumn id="9803" xr3:uid="{4C0B0440-5531-4BBF-9357-E4742B606BC2}" name="Column9800"/>
    <tableColumn id="9804" xr3:uid="{BA456759-81B8-44F2-AE1A-65A38DB447AA}" name="Column9801"/>
    <tableColumn id="9805" xr3:uid="{1822773C-1694-4D7C-BF1F-C5C3091F4A51}" name="Column9802"/>
    <tableColumn id="9806" xr3:uid="{1A46F234-3168-4075-8E6E-4999A0DF5D17}" name="Column9803"/>
    <tableColumn id="9807" xr3:uid="{F33B1033-8082-4E9B-A9F2-EA3D9137DE9B}" name="Column9804"/>
    <tableColumn id="9808" xr3:uid="{81F25A64-7CA4-4EF2-8609-DD1E3629022F}" name="Column9805"/>
    <tableColumn id="9809" xr3:uid="{F8CAA577-2B4C-48B9-857A-160D11E54C4B}" name="Column9806"/>
    <tableColumn id="9810" xr3:uid="{9C27019A-5299-4122-837F-580215EE9755}" name="Column9807"/>
    <tableColumn id="9811" xr3:uid="{E2D2680D-6921-45B0-AB50-6FEF613D28EF}" name="Column9808"/>
    <tableColumn id="9812" xr3:uid="{3304EDE6-7087-4E3D-904D-21392963EC0D}" name="Column9809"/>
    <tableColumn id="9813" xr3:uid="{DBCE1DA5-32AA-4069-B5EB-9EC17C76D1A1}" name="Column9810"/>
    <tableColumn id="9814" xr3:uid="{8DA69509-5505-45DD-A843-1E2456DCF62D}" name="Column9811"/>
    <tableColumn id="9815" xr3:uid="{5EB26F8C-79EC-429C-8B28-5613AA8B126F}" name="Column9812"/>
    <tableColumn id="9816" xr3:uid="{543E419F-2031-4BFA-B145-0C1CD6A1620B}" name="Column9813"/>
    <tableColumn id="9817" xr3:uid="{FA05392B-500A-48F9-86F5-20EFFC9C24D6}" name="Column9814"/>
    <tableColumn id="9818" xr3:uid="{BA6BE5D3-F1C7-4BB3-9AF7-3C5676A7D163}" name="Column9815"/>
    <tableColumn id="9819" xr3:uid="{6781DC2C-479B-4C64-82E5-65702B8858AB}" name="Column9816"/>
    <tableColumn id="9820" xr3:uid="{CD8CB23D-FF32-4954-8DDC-44B899E9543B}" name="Column9817"/>
    <tableColumn id="9821" xr3:uid="{3EA42280-197D-4AFA-8357-DEDAE3AED838}" name="Column9818"/>
    <tableColumn id="9822" xr3:uid="{F7FCD695-192A-4899-BA08-0210E7F1BF0C}" name="Column9819"/>
    <tableColumn id="9823" xr3:uid="{95A77DC6-4DF3-4673-9655-5586528E02B5}" name="Column9820"/>
    <tableColumn id="9824" xr3:uid="{BEC3C61E-AFBA-4869-AA5D-8F049BD92098}" name="Column9821"/>
    <tableColumn id="9825" xr3:uid="{CACCAEB3-1B33-4E37-8D51-36E65A45F389}" name="Column9822"/>
    <tableColumn id="9826" xr3:uid="{0DC27A02-8E51-4D86-8475-580928E710AD}" name="Column9823"/>
    <tableColumn id="9827" xr3:uid="{A24D7071-F104-448D-915C-09CFE6F8D571}" name="Column9824"/>
    <tableColumn id="9828" xr3:uid="{C3D82805-2B2B-41CB-850A-E2AF73C7F26C}" name="Column9825"/>
    <tableColumn id="9829" xr3:uid="{683A1578-0C82-463C-842B-92AF717C9FA1}" name="Column9826"/>
    <tableColumn id="9830" xr3:uid="{167DF7B7-A8E3-4735-9B97-2359AB8D9E31}" name="Column9827"/>
    <tableColumn id="9831" xr3:uid="{370C9532-E987-4F15-A6FE-9C550908B027}" name="Column9828"/>
    <tableColumn id="9832" xr3:uid="{D4372581-97F8-4B19-975D-4FF43823A350}" name="Column9829"/>
    <tableColumn id="9833" xr3:uid="{26EEDF84-C374-49B8-A99D-215EEB9AA497}" name="Column9830"/>
    <tableColumn id="9834" xr3:uid="{C3329C4D-7FE2-4D24-B112-949DEE3A3EC5}" name="Column9831"/>
    <tableColumn id="9835" xr3:uid="{3F80CAEF-5E17-47FA-A556-68CF9A13F923}" name="Column9832"/>
    <tableColumn id="9836" xr3:uid="{25FC9A3D-41FB-4386-9C58-7D122D880911}" name="Column9833"/>
    <tableColumn id="9837" xr3:uid="{0D935553-B7B5-4186-803B-C538DBA99C2C}" name="Column9834"/>
    <tableColumn id="9838" xr3:uid="{739283B8-9F39-4F86-A47E-AA5F21EB4CFB}" name="Column9835"/>
    <tableColumn id="9839" xr3:uid="{AC43145D-3DC8-4446-9B81-CFCE823C9A52}" name="Column9836"/>
    <tableColumn id="9840" xr3:uid="{34A5A82F-E5E8-4AA0-B531-6BC09EF252F8}" name="Column9837"/>
    <tableColumn id="9841" xr3:uid="{D4D46F59-4853-4611-8E32-47FCD83337A3}" name="Column9838"/>
    <tableColumn id="9842" xr3:uid="{647805DD-FED0-46A1-B978-74A3D6F9A5B2}" name="Column9839"/>
    <tableColumn id="9843" xr3:uid="{54C37EBD-3659-45CB-8BFE-2EC44E67B3A6}" name="Column9840"/>
    <tableColumn id="9844" xr3:uid="{2D81D5A6-8211-4719-9BA3-2B8FEED74A34}" name="Column9841"/>
    <tableColumn id="9845" xr3:uid="{7127F574-50C1-45D1-8291-066A7F92BB09}" name="Column9842"/>
    <tableColumn id="9846" xr3:uid="{3F66E62C-3187-4161-B869-84A32DACD65B}" name="Column9843"/>
    <tableColumn id="9847" xr3:uid="{4C0F1E62-0F3B-49AC-AC84-25145D8D5A76}" name="Column9844"/>
    <tableColumn id="9848" xr3:uid="{02539D9F-ACE7-459A-897E-1C792FE0DFB9}" name="Column9845"/>
    <tableColumn id="9849" xr3:uid="{AFCD4BC8-0A86-4143-8999-BCBF0370B299}" name="Column9846"/>
    <tableColumn id="9850" xr3:uid="{43C52661-FB58-4892-8986-0893B8A53E6D}" name="Column9847"/>
    <tableColumn id="9851" xr3:uid="{1BD2217B-EA97-43D4-82A9-2EBC54A3AF4C}" name="Column9848"/>
    <tableColumn id="9852" xr3:uid="{B014B7A7-5A80-40E6-ADD5-297D325C1C3C}" name="Column9849"/>
    <tableColumn id="9853" xr3:uid="{16B92242-3364-43AB-A735-D4F650B71368}" name="Column9850"/>
    <tableColumn id="9854" xr3:uid="{288586CD-0FB1-4578-9FAD-E3AE0DE3D751}" name="Column9851"/>
    <tableColumn id="9855" xr3:uid="{E7B5A1BF-1224-4135-BF46-88BC13B92F94}" name="Column9852"/>
    <tableColumn id="9856" xr3:uid="{2DE40FD8-6824-4D33-AEA4-F24F06550310}" name="Column9853"/>
    <tableColumn id="9857" xr3:uid="{7F86CB34-CEC8-4152-9FAE-5B39A6579D2B}" name="Column9854"/>
    <tableColumn id="9858" xr3:uid="{AEB62E18-E92E-4F70-9A67-6CED4854A86A}" name="Column9855"/>
    <tableColumn id="9859" xr3:uid="{5FBF5973-868E-4995-B3E8-6A7A386366FF}" name="Column9856"/>
    <tableColumn id="9860" xr3:uid="{D3C14EFA-1970-4C27-8FE5-05517BE32FCA}" name="Column9857"/>
    <tableColumn id="9861" xr3:uid="{659BD1B4-7E29-43D1-B06C-3D3689ECD129}" name="Column9858"/>
    <tableColumn id="9862" xr3:uid="{A34BB461-9DC6-42ED-8899-8EAA0BE3D3D4}" name="Column9859"/>
    <tableColumn id="9863" xr3:uid="{89327B67-55DA-49C9-97BF-AABDA925728B}" name="Column9860"/>
    <tableColumn id="9864" xr3:uid="{43EE4B4E-A598-44E7-A53B-616BE90519A7}" name="Column9861"/>
    <tableColumn id="9865" xr3:uid="{A526B8A3-AF48-4E05-BA31-FE504BB1BC39}" name="Column9862"/>
    <tableColumn id="9866" xr3:uid="{31859BB0-546C-4DD4-A10F-902630B01918}" name="Column9863"/>
    <tableColumn id="9867" xr3:uid="{6E63F27D-F52A-4ECB-A240-8CDC2E0F194D}" name="Column9864"/>
    <tableColumn id="9868" xr3:uid="{986B22AD-91B0-4E12-9074-A34C21867825}" name="Column9865"/>
    <tableColumn id="9869" xr3:uid="{C09271C1-82C7-45F2-B03D-61AB795B3FD1}" name="Column9866"/>
    <tableColumn id="9870" xr3:uid="{DB0F0894-4C86-4150-9350-04BAC8AC960F}" name="Column9867"/>
    <tableColumn id="9871" xr3:uid="{2762ED13-C614-469C-81A7-F8E05F25F788}" name="Column9868"/>
    <tableColumn id="9872" xr3:uid="{D530067D-1D8C-4297-8BB5-018B18EEB962}" name="Column9869"/>
    <tableColumn id="9873" xr3:uid="{36F2AC75-8582-40D0-B574-942BB868FF47}" name="Column9870"/>
    <tableColumn id="9874" xr3:uid="{BB05C7B1-3F8D-41E4-96BE-5516F2BCECE3}" name="Column9871"/>
    <tableColumn id="9875" xr3:uid="{F28CDA51-A267-4713-87F9-945449ACA271}" name="Column9872"/>
    <tableColumn id="9876" xr3:uid="{ECA6C373-7E7B-4139-8E86-47BFFCA61111}" name="Column9873"/>
    <tableColumn id="9877" xr3:uid="{1DA2F779-96E7-4862-A064-116E4636A909}" name="Column9874"/>
    <tableColumn id="9878" xr3:uid="{3BA45C84-7397-40D8-914B-0819CAEC5BD5}" name="Column9875"/>
    <tableColumn id="9879" xr3:uid="{4BFB92FC-01CC-4285-AED5-B5DDD1184C1B}" name="Column9876"/>
    <tableColumn id="9880" xr3:uid="{1A207560-3185-4FD6-9148-D39BD597F7F3}" name="Column9877"/>
    <tableColumn id="9881" xr3:uid="{A53F6D83-804A-4084-8165-FB0AD30A7524}" name="Column9878"/>
    <tableColumn id="9882" xr3:uid="{77051090-7CE1-46C6-B748-92CD167136C2}" name="Column9879"/>
    <tableColumn id="9883" xr3:uid="{A9DF5911-FB7E-4A95-B76A-B575DBA1786F}" name="Column9880"/>
    <tableColumn id="9884" xr3:uid="{9DB1960F-6A2B-4D64-AF92-7D873BDF0306}" name="Column9881"/>
    <tableColumn id="9885" xr3:uid="{EF954553-32E6-4BC2-A0FF-8B2250F19B3E}" name="Column9882"/>
    <tableColumn id="9886" xr3:uid="{98F0E395-88B5-4979-A125-5A2D0E6BDBBB}" name="Column9883"/>
    <tableColumn id="9887" xr3:uid="{4799AA5B-5B8B-4855-83A0-64D646376BA7}" name="Column9884"/>
    <tableColumn id="9888" xr3:uid="{114B7F78-9932-4F16-809D-D6E7018D50BC}" name="Column9885"/>
    <tableColumn id="9889" xr3:uid="{719F8436-71ED-4941-93BF-67F51E11F90E}" name="Column9886"/>
    <tableColumn id="9890" xr3:uid="{0713D485-0EE9-4126-A392-E9FDD5FA210E}" name="Column9887"/>
    <tableColumn id="9891" xr3:uid="{E13D97B3-6646-4A70-A4FF-0A537F55F5A7}" name="Column9888"/>
    <tableColumn id="9892" xr3:uid="{F08B7950-03C9-480D-BEAE-9ECCE47F7B4F}" name="Column9889"/>
    <tableColumn id="9893" xr3:uid="{5CBE769D-DA3F-4B03-947D-F9EDA682AA01}" name="Column9890"/>
    <tableColumn id="9894" xr3:uid="{F453B21F-B4CE-4F55-B75C-09C9F541C3E2}" name="Column9891"/>
    <tableColumn id="9895" xr3:uid="{00AB0605-01A1-4908-B368-13BFEFBA2D7E}" name="Column9892"/>
    <tableColumn id="9896" xr3:uid="{DE9FFEC8-C79D-4F2D-9CAB-5DF535C0E28E}" name="Column9893"/>
    <tableColumn id="9897" xr3:uid="{49B225C9-56AA-4667-8964-D74F5F7BA1E8}" name="Column9894"/>
    <tableColumn id="9898" xr3:uid="{1C137F57-98ED-420A-B85B-31BF53E684A4}" name="Column9895"/>
    <tableColumn id="9899" xr3:uid="{BBA0C612-E1A3-4B27-A18B-EAB538C8CC48}" name="Column9896"/>
    <tableColumn id="9900" xr3:uid="{6DB4B552-8311-469E-B81C-394593BDB5DC}" name="Column9897"/>
    <tableColumn id="9901" xr3:uid="{6D6AFF18-84A1-4154-AF28-F78C575DF1E8}" name="Column9898"/>
    <tableColumn id="9902" xr3:uid="{A98A7398-85F4-49FD-A160-799EC26C0685}" name="Column9899"/>
    <tableColumn id="9903" xr3:uid="{4C91B714-6C0F-4A25-80C4-C746868A78C2}" name="Column9900"/>
    <tableColumn id="9904" xr3:uid="{8EA7D106-B469-4780-B7F5-8ED40A9E015B}" name="Column9901"/>
    <tableColumn id="9905" xr3:uid="{A9652074-AD7E-488F-8F0E-7C30B011580A}" name="Column9902"/>
    <tableColumn id="9906" xr3:uid="{2B972404-7B8F-4B11-BC2C-89183906ECF4}" name="Column9903"/>
    <tableColumn id="9907" xr3:uid="{19F4EA21-780B-43C4-A321-8FF268C4D1EF}" name="Column9904"/>
    <tableColumn id="9908" xr3:uid="{B1127F45-9EB1-4259-918C-D1478FB204F2}" name="Column9905"/>
    <tableColumn id="9909" xr3:uid="{1822EE88-9616-4A92-81C2-07519106CBB7}" name="Column9906"/>
    <tableColumn id="9910" xr3:uid="{1C196272-2088-4C52-A743-FDB038349E81}" name="Column9907"/>
    <tableColumn id="9911" xr3:uid="{CDF0115D-8C37-4652-99EA-425169D6E25A}" name="Column9908"/>
    <tableColumn id="9912" xr3:uid="{25A4FE64-A8FB-4528-B2EA-63693D264FBE}" name="Column9909"/>
    <tableColumn id="9913" xr3:uid="{B78FA817-D511-4214-A24D-12E51E8B9E77}" name="Column9910"/>
    <tableColumn id="9914" xr3:uid="{C8C8C7F6-565B-478C-B540-75C9FC019BC4}" name="Column9911"/>
    <tableColumn id="9915" xr3:uid="{F5895C8F-DC94-4C73-BAFB-202E743E9EB9}" name="Column9912"/>
    <tableColumn id="9916" xr3:uid="{5CA925D4-8D42-40A7-AFA2-6C2F0FFCE496}" name="Column9913"/>
    <tableColumn id="9917" xr3:uid="{96D0D1FD-8EFC-476E-90B7-25EC00995C75}" name="Column9914"/>
    <tableColumn id="9918" xr3:uid="{BB6A6C39-151A-446E-B46D-4258DEA969ED}" name="Column9915"/>
    <tableColumn id="9919" xr3:uid="{80C34F78-99A5-49C3-AC12-DB9D6CA7E316}" name="Column9916"/>
    <tableColumn id="9920" xr3:uid="{F4C1B180-77E4-4203-A3BA-A76B7A18E751}" name="Column9917"/>
    <tableColumn id="9921" xr3:uid="{2E0A71D0-54E7-4F3B-AD8A-7CA0FC5C494C}" name="Column9918"/>
    <tableColumn id="9922" xr3:uid="{1BE08FE6-DC0D-44C8-AAB0-C376520A2FFD}" name="Column9919"/>
    <tableColumn id="9923" xr3:uid="{28608C88-B5E4-49CA-B529-CB095225B2D2}" name="Column9920"/>
    <tableColumn id="9924" xr3:uid="{33E7E20E-8F1E-4097-A374-5EFD64420EDE}" name="Column9921"/>
    <tableColumn id="9925" xr3:uid="{BC960382-651B-4BB9-8E41-D54090A19382}" name="Column9922"/>
    <tableColumn id="9926" xr3:uid="{180769A2-0617-4C19-9DD7-E0947AE8CE7D}" name="Column9923"/>
    <tableColumn id="9927" xr3:uid="{FB049EA7-3978-4459-AFF1-CDEBE92E85B3}" name="Column9924"/>
    <tableColumn id="9928" xr3:uid="{16D0B322-B3BF-44CF-9335-F37DD9385957}" name="Column9925"/>
    <tableColumn id="9929" xr3:uid="{D1C22E4E-B045-441B-B93A-A637D68A772F}" name="Column9926"/>
    <tableColumn id="9930" xr3:uid="{D41EC4F2-74CB-46FD-A220-391A30893890}" name="Column9927"/>
    <tableColumn id="9931" xr3:uid="{4E888D73-F12F-492B-8060-DEE985D650A0}" name="Column9928"/>
    <tableColumn id="9932" xr3:uid="{02961A4A-467C-46C7-8722-2D4F5C1CB901}" name="Column9929"/>
    <tableColumn id="9933" xr3:uid="{CE952667-70A9-4613-A34A-3559FA8FFA8F}" name="Column9930"/>
    <tableColumn id="9934" xr3:uid="{C450A48F-1E0B-478F-9B57-CEACEADA186F}" name="Column9931"/>
    <tableColumn id="9935" xr3:uid="{1AD77CB2-B8C6-4938-8502-49091E491628}" name="Column9932"/>
    <tableColumn id="9936" xr3:uid="{DA3E7AA9-D7DC-4912-9C27-A12B229E144A}" name="Column9933"/>
    <tableColumn id="9937" xr3:uid="{2BC37F44-7EFE-440F-A7CE-FF45930E547F}" name="Column9934"/>
    <tableColumn id="9938" xr3:uid="{A9857881-4208-4397-8B86-6A4A9090F37D}" name="Column9935"/>
    <tableColumn id="9939" xr3:uid="{5A7DE46B-28DC-4642-9E02-30BD425F9027}" name="Column9936"/>
    <tableColumn id="9940" xr3:uid="{065F30FA-EC66-42DB-A017-D5F1281D278B}" name="Column9937"/>
    <tableColumn id="9941" xr3:uid="{FFFBAC84-F44C-43A6-83C1-D0522B25CACF}" name="Column9938"/>
    <tableColumn id="9942" xr3:uid="{CA6383E5-4F4C-44EF-B999-E7B8667E6B8E}" name="Column9939"/>
    <tableColumn id="9943" xr3:uid="{9867FCA8-F73A-41C8-A984-A90D5B7B95CC}" name="Column9940"/>
    <tableColumn id="9944" xr3:uid="{1DEEDC33-6DD8-4643-9389-595BCCC39ACC}" name="Column9941"/>
    <tableColumn id="9945" xr3:uid="{36C05C36-D151-4814-BCC3-0399B5C652DE}" name="Column9942"/>
    <tableColumn id="9946" xr3:uid="{4867139F-0305-4B35-B799-FE863C9AD386}" name="Column9943"/>
    <tableColumn id="9947" xr3:uid="{478970CB-382F-4578-A46C-751447D2E6B5}" name="Column9944"/>
    <tableColumn id="9948" xr3:uid="{B664419A-2600-446B-9549-3A6590DDEC22}" name="Column9945"/>
    <tableColumn id="9949" xr3:uid="{1F6304F4-EE27-4847-9757-F9ED8C6D4D0E}" name="Column9946"/>
    <tableColumn id="9950" xr3:uid="{34338546-2A06-48FE-9E8F-E2C207F4C79C}" name="Column9947"/>
    <tableColumn id="9951" xr3:uid="{F50D6290-DF1B-4AFE-B5AD-45BB70C4CADB}" name="Column9948"/>
    <tableColumn id="9952" xr3:uid="{AD36434B-80DE-4A08-9D00-65A4B4296051}" name="Column9949"/>
    <tableColumn id="9953" xr3:uid="{B3D21C4F-5285-4981-924D-9E22183D00BE}" name="Column9950"/>
    <tableColumn id="9954" xr3:uid="{099AE8F2-44D3-4C90-A797-CB372272A09D}" name="Column9951"/>
    <tableColumn id="9955" xr3:uid="{B2DC7107-F5E4-42D7-A7D5-64BB690CCD74}" name="Column9952"/>
    <tableColumn id="9956" xr3:uid="{E5186397-CD27-4D01-AE5F-8065467E8A96}" name="Column9953"/>
    <tableColumn id="9957" xr3:uid="{2342F1AD-E0D8-49EC-9FFF-5AD044F3A71C}" name="Column9954"/>
    <tableColumn id="9958" xr3:uid="{048FF735-A3D3-4F79-ACBC-38842AB5E44F}" name="Column9955"/>
    <tableColumn id="9959" xr3:uid="{DFCDC478-B51E-4B94-B8C6-C988C6A8F6C2}" name="Column9956"/>
    <tableColumn id="9960" xr3:uid="{B5EF10EF-6AA8-4B24-97A4-2167A914AD14}" name="Column9957"/>
    <tableColumn id="9961" xr3:uid="{97FD7D23-27F8-4CBD-85CB-E21443F6A639}" name="Column9958"/>
    <tableColumn id="9962" xr3:uid="{69E8AEF6-4F7B-41BE-8E3A-76244704916D}" name="Column9959"/>
    <tableColumn id="9963" xr3:uid="{47214819-AEA5-4E73-951F-EC6D9A54BFC3}" name="Column9960"/>
    <tableColumn id="9964" xr3:uid="{56E79534-0237-4F87-A690-773A9AF068A3}" name="Column9961"/>
    <tableColumn id="9965" xr3:uid="{4E75067A-218F-4D22-AC82-451F832C6E6E}" name="Column9962"/>
    <tableColumn id="9966" xr3:uid="{6A4E9889-2C3F-4CDC-B561-85AD43E2839F}" name="Column9963"/>
    <tableColumn id="9967" xr3:uid="{0379C2EC-72E3-4DFB-B1AB-FCB18355DD73}" name="Column9964"/>
    <tableColumn id="9968" xr3:uid="{800E9775-275E-4CFE-9F92-5E1044F3DF0A}" name="Column9965"/>
    <tableColumn id="9969" xr3:uid="{F44BC4EC-EBE5-4D9F-8552-2701B9BF113C}" name="Column9966"/>
    <tableColumn id="9970" xr3:uid="{15BADC7C-309E-496D-B49E-FDB710A4495D}" name="Column9967"/>
    <tableColumn id="9971" xr3:uid="{10031F0D-1078-415C-8A76-427DAD3ADD0F}" name="Column9968"/>
    <tableColumn id="9972" xr3:uid="{DD7129ED-C537-4E42-9494-14DB9B4BCE6F}" name="Column9969"/>
    <tableColumn id="9973" xr3:uid="{DDE84A1A-9D42-4999-A180-5E209D075D9A}" name="Column9970"/>
    <tableColumn id="9974" xr3:uid="{59F5967B-1AF1-462D-BE43-9D3C9CD7754F}" name="Column9971"/>
    <tableColumn id="9975" xr3:uid="{9B7AE327-1C82-4B3A-9E41-89317800A675}" name="Column9972"/>
    <tableColumn id="9976" xr3:uid="{7EC93784-CCC5-4FB5-849F-B5EC78B575FA}" name="Column9973"/>
    <tableColumn id="9977" xr3:uid="{B2557B5B-1C29-4470-B469-AC4FFCAC0CEC}" name="Column9974"/>
    <tableColumn id="9978" xr3:uid="{2EFEB1C8-135A-4915-AB11-AB16F00C85DD}" name="Column9975"/>
    <tableColumn id="9979" xr3:uid="{7A748D39-564A-445B-9BC5-2A18D90A9129}" name="Column9976"/>
    <tableColumn id="9980" xr3:uid="{FF91EA6F-61A3-4D87-AF83-BBD07B866525}" name="Column9977"/>
    <tableColumn id="9981" xr3:uid="{165935F0-7246-4C50-8738-93A542D5B64A}" name="Column9978"/>
    <tableColumn id="9982" xr3:uid="{89C43E14-8899-4B12-AF04-F719E98E5435}" name="Column9979"/>
    <tableColumn id="9983" xr3:uid="{D60E19B0-3717-4576-8D0D-B783449A2E29}" name="Column9980"/>
    <tableColumn id="9984" xr3:uid="{197239B6-2B40-4606-9CC3-520B8845C4C3}" name="Column9981"/>
    <tableColumn id="9985" xr3:uid="{D1860CD7-8A11-4BB7-8DAE-37F3BF19B2E8}" name="Column9982"/>
    <tableColumn id="9986" xr3:uid="{A135E762-3BFC-4114-A85C-635D8D2743AF}" name="Column9983"/>
    <tableColumn id="9987" xr3:uid="{90700641-6043-474E-89D6-9627DD8609C6}" name="Column9984"/>
    <tableColumn id="9988" xr3:uid="{029BA074-379B-4EC1-B3F6-914AB78A0C28}" name="Column9985"/>
    <tableColumn id="9989" xr3:uid="{CC2BF60C-007D-40FF-B4A9-8313E923F085}" name="Column9986"/>
    <tableColumn id="9990" xr3:uid="{31767C71-0C13-476D-83CA-A1179C54F26E}" name="Column9987"/>
    <tableColumn id="9991" xr3:uid="{0037A36B-1DFA-4488-A2F4-C8D783534841}" name="Column9988"/>
    <tableColumn id="9992" xr3:uid="{E0CEB0C2-4F86-40DA-AC73-727561BC11D3}" name="Column9989"/>
    <tableColumn id="9993" xr3:uid="{CA7F9DD8-A4BC-4D12-A1D3-D7A9B3A3E1D9}" name="Column9990"/>
    <tableColumn id="9994" xr3:uid="{05C6D1BC-8BBC-464A-97B7-4A1B98C7C90F}" name="Column9991"/>
    <tableColumn id="9995" xr3:uid="{8141FE5E-C8F7-485D-B164-FD5DA3D0F344}" name="Column9992"/>
    <tableColumn id="9996" xr3:uid="{1217E85F-EC15-4F64-8CFD-37B5753CFDC9}" name="Column9993"/>
    <tableColumn id="9997" xr3:uid="{1E7D4508-3C92-4F6F-BAED-F9836E019142}" name="Column9994"/>
    <tableColumn id="9998" xr3:uid="{CE77708A-1FB4-46F8-AA24-0715B48D47DF}" name="Column9995"/>
    <tableColumn id="9999" xr3:uid="{279E5061-C2C1-4A1F-88AB-20A31BDD820C}" name="Column9996"/>
    <tableColumn id="10000" xr3:uid="{CB30B994-13D2-4778-805D-BFEFC6927525}" name="Column9997"/>
    <tableColumn id="10001" xr3:uid="{78DAD86F-737B-4675-ACA1-8529E72B54B7}" name="Column9998"/>
    <tableColumn id="10002" xr3:uid="{1263D752-887E-4FCB-93F6-C798E9E59A15}" name="Column9999"/>
    <tableColumn id="10003" xr3:uid="{E54666D4-2A51-491C-9582-C904EDB95D3D}" name="Column10000"/>
    <tableColumn id="10004" xr3:uid="{14590FC8-4C61-4550-8022-B24C3F97F2B4}" name="Column10001"/>
    <tableColumn id="10005" xr3:uid="{462E60DF-02DD-4AA4-98B5-71CC9E55534B}" name="Column10002"/>
    <tableColumn id="10006" xr3:uid="{308FEDC5-4B12-4E2B-BF2C-203B66648ED5}" name="Column10003"/>
    <tableColumn id="10007" xr3:uid="{112C707C-8E1C-4B48-BEF0-399FE2618E28}" name="Column10004"/>
    <tableColumn id="10008" xr3:uid="{CE43E8AE-2473-4B49-B1D6-C39D4AA83D13}" name="Column10005"/>
    <tableColumn id="10009" xr3:uid="{9AE4F39A-0408-4CF5-A33B-8B0B2237208C}" name="Column10006"/>
    <tableColumn id="10010" xr3:uid="{F2792D4D-4A5E-4756-BEE5-9DE1D5918E9D}" name="Column10007"/>
    <tableColumn id="10011" xr3:uid="{70EC93D3-A9DE-4D1C-8906-F8BDCC19B1F6}" name="Column10008"/>
    <tableColumn id="10012" xr3:uid="{7AD7A141-1FF9-41AB-91C8-1142EBFF0C29}" name="Column10009"/>
    <tableColumn id="10013" xr3:uid="{0AFF40E1-85D1-42EF-BA98-931CE263E920}" name="Column10010"/>
    <tableColumn id="10014" xr3:uid="{B4E4BFEE-511D-4F71-9BDB-8AE6E8DEA5FD}" name="Column10011"/>
    <tableColumn id="10015" xr3:uid="{7D0FF9DF-CF03-4EA0-8C30-4700AB6E5AAE}" name="Column10012"/>
    <tableColumn id="10016" xr3:uid="{36D1E6C4-E8A6-4C7A-A23C-7959ED05C8DC}" name="Column10013"/>
    <tableColumn id="10017" xr3:uid="{49D37383-2D58-4114-9E19-BB1BD21E40AD}" name="Column10014"/>
    <tableColumn id="10018" xr3:uid="{C0183BA7-6D20-49F6-B737-75329A5E854D}" name="Column10015"/>
    <tableColumn id="10019" xr3:uid="{CDBA3A87-C641-4359-BC06-856F442CAE31}" name="Column10016"/>
    <tableColumn id="10020" xr3:uid="{D34F546A-C9F9-4132-A59F-065063BDFCFA}" name="Column10017"/>
    <tableColumn id="10021" xr3:uid="{E27FED8A-5DC8-404D-93B3-97FB2D4FE99E}" name="Column10018"/>
    <tableColumn id="10022" xr3:uid="{568FDEEC-6A1F-47F8-99F3-DAB2D0C7B058}" name="Column10019"/>
    <tableColumn id="10023" xr3:uid="{0AEFD9A7-2679-4CCC-B791-42D3F5972599}" name="Column10020"/>
    <tableColumn id="10024" xr3:uid="{2B7D3178-FA2F-4011-ADF7-93557A69E9FE}" name="Column10021"/>
    <tableColumn id="10025" xr3:uid="{F09862EE-BB7A-4616-8205-3A2501B15641}" name="Column10022"/>
    <tableColumn id="10026" xr3:uid="{E8C64C14-230C-4C5B-9AF1-BA5527731CFB}" name="Column10023"/>
    <tableColumn id="10027" xr3:uid="{0B089D8F-F4D8-4D7E-A000-EB7D3F575F91}" name="Column10024"/>
    <tableColumn id="10028" xr3:uid="{C52ADC57-E251-40E0-95AA-BFAA03C091DE}" name="Column10025"/>
    <tableColumn id="10029" xr3:uid="{EBF3E9E4-4FB4-4209-A1F4-41B5D95F4FF1}" name="Column10026"/>
    <tableColumn id="10030" xr3:uid="{BE01855D-30DB-4843-86A6-027E347AEC8D}" name="Column10027"/>
    <tableColumn id="10031" xr3:uid="{92D2AF20-7C4A-4175-8227-CB3B2BA79902}" name="Column10028"/>
    <tableColumn id="10032" xr3:uid="{60191411-48BA-48CE-9FED-290B8A34EBE8}" name="Column10029"/>
    <tableColumn id="10033" xr3:uid="{134C26EC-5696-48AF-9BDB-06CD10FE718E}" name="Column10030"/>
    <tableColumn id="10034" xr3:uid="{B7F51FBD-0AD6-4141-A23E-7C10F2CAC6ED}" name="Column10031"/>
    <tableColumn id="10035" xr3:uid="{D9D7A44B-4EDE-4AD1-A10A-01BBF02BA6F3}" name="Column10032"/>
    <tableColumn id="10036" xr3:uid="{098F3F65-759A-472B-9744-59F94FE23C1B}" name="Column10033"/>
    <tableColumn id="10037" xr3:uid="{0A0256EE-9D82-4E32-A595-5B1E44907C01}" name="Column10034"/>
    <tableColumn id="10038" xr3:uid="{C6117C20-C2FB-4042-A637-D766BA3ADFF9}" name="Column10035"/>
    <tableColumn id="10039" xr3:uid="{F9B33DA7-EE96-41FF-BE65-D30FB85DE77B}" name="Column10036"/>
    <tableColumn id="10040" xr3:uid="{EA568110-82C7-43F7-BD63-F3A50A2ED73D}" name="Column10037"/>
    <tableColumn id="10041" xr3:uid="{CD6DE6B0-5F00-42E6-BE68-ED2B35281492}" name="Column10038"/>
    <tableColumn id="10042" xr3:uid="{E7524A40-A0A8-4C45-A3EB-F564457D8F22}" name="Column10039"/>
    <tableColumn id="10043" xr3:uid="{BAA00BF9-7987-47BA-93D6-C7DDAF9D02A9}" name="Column10040"/>
    <tableColumn id="10044" xr3:uid="{F116D580-4D19-466B-B245-6680AC16784C}" name="Column10041"/>
    <tableColumn id="10045" xr3:uid="{11B12DD8-17C2-4787-ADA9-E4D2674E788B}" name="Column10042"/>
    <tableColumn id="10046" xr3:uid="{F0A66CCC-6CEF-43A6-8D65-DF0A888BD0D9}" name="Column10043"/>
    <tableColumn id="10047" xr3:uid="{54E8442E-1BAB-4C71-BFC3-8D11400472FB}" name="Column10044"/>
    <tableColumn id="10048" xr3:uid="{3DAB0161-E316-4A2C-A48E-5DB7F90EE09C}" name="Column10045"/>
    <tableColumn id="10049" xr3:uid="{0BCE6993-3F66-4E19-8E4C-D6748898BAD7}" name="Column10046"/>
    <tableColumn id="10050" xr3:uid="{C6A397D7-754E-4CD3-8C51-537709BBFE36}" name="Column10047"/>
    <tableColumn id="10051" xr3:uid="{59EEC74C-A06E-49A7-8F3A-4C2F9AAD9561}" name="Column10048"/>
    <tableColumn id="10052" xr3:uid="{35F7B118-447E-42B0-B4FC-E2A19DCC0BC1}" name="Column10049"/>
    <tableColumn id="10053" xr3:uid="{2B8A87C9-EAC2-4D1E-920F-87A1E7C4C433}" name="Column10050"/>
    <tableColumn id="10054" xr3:uid="{9FE8B7ED-210E-4409-AD6F-72CFCAE7EDE9}" name="Column10051"/>
    <tableColumn id="10055" xr3:uid="{5B474791-C0E1-4766-AF57-30949DC28AC7}" name="Column10052"/>
    <tableColumn id="10056" xr3:uid="{3B00DEEB-B295-40CE-9C74-5A4AD6573B9F}" name="Column10053"/>
    <tableColumn id="10057" xr3:uid="{9A168B36-ED08-43EE-828B-AC1CB83A5FE5}" name="Column10054"/>
    <tableColumn id="10058" xr3:uid="{024837AB-1E4D-4E3B-8621-0E3715A85085}" name="Column10055"/>
    <tableColumn id="10059" xr3:uid="{9856439A-572F-42F5-8EB5-2B0B20A5896D}" name="Column10056"/>
    <tableColumn id="10060" xr3:uid="{D5C6490B-A3B8-4171-8965-922E648DFA2D}" name="Column10057"/>
    <tableColumn id="10061" xr3:uid="{24FA2FB8-F639-4029-A315-10C5F7168C57}" name="Column10058"/>
    <tableColumn id="10062" xr3:uid="{571CE904-BF3C-4537-AC25-5C7A7DE87B03}" name="Column10059"/>
    <tableColumn id="10063" xr3:uid="{C14744FE-DB86-4D5C-ACF2-AE3FE87D884F}" name="Column10060"/>
    <tableColumn id="10064" xr3:uid="{CFAA2A5D-C048-4DCF-9E30-40AF528CC090}" name="Column10061"/>
    <tableColumn id="10065" xr3:uid="{4444AA84-FBE6-4EDE-BE43-8AD44BD48870}" name="Column10062"/>
    <tableColumn id="10066" xr3:uid="{5B6FC92F-D872-4D99-914E-74C4EBB9DF07}" name="Column10063"/>
    <tableColumn id="10067" xr3:uid="{0A837479-C4D4-4331-A69A-045181938FD2}" name="Column10064"/>
    <tableColumn id="10068" xr3:uid="{32ED5B5C-21E1-4CBD-9425-FFDE0B53ADB3}" name="Column10065"/>
    <tableColumn id="10069" xr3:uid="{3B2E795E-E311-4FDE-8C08-5BCA27CDCD47}" name="Column10066"/>
    <tableColumn id="10070" xr3:uid="{6AB6265E-DF4C-41E8-A75F-D1FE447ADCA7}" name="Column10067"/>
    <tableColumn id="10071" xr3:uid="{18E3C7B9-E9E9-4BF3-8B4B-F459AF9147F9}" name="Column10068"/>
    <tableColumn id="10072" xr3:uid="{5B910426-0BF6-4BAB-9153-994D30D4E774}" name="Column10069"/>
    <tableColumn id="10073" xr3:uid="{CFEB8A78-A762-4A71-B87E-FE811A17F86E}" name="Column10070"/>
    <tableColumn id="10074" xr3:uid="{C92CC4AA-3268-4876-AE23-42552762B9DA}" name="Column10071"/>
    <tableColumn id="10075" xr3:uid="{73C15C6B-2C4A-485F-A8C8-01658EF63CA9}" name="Column10072"/>
    <tableColumn id="10076" xr3:uid="{8471BE94-B6D9-4157-BB39-68B90A823B11}" name="Column10073"/>
    <tableColumn id="10077" xr3:uid="{EC69CB5A-5AF6-409B-A23E-65940FC74D52}" name="Column10074"/>
    <tableColumn id="10078" xr3:uid="{3F5BE383-704E-4568-8621-1F1680263D48}" name="Column10075"/>
    <tableColumn id="10079" xr3:uid="{EC6A2B33-D5DE-48B5-A96E-7BBD958D67CB}" name="Column10076"/>
    <tableColumn id="10080" xr3:uid="{C7DDC19B-66B6-402C-85E0-E4D66F21C10A}" name="Column10077"/>
    <tableColumn id="10081" xr3:uid="{FC66C73E-0113-4DD2-BBDC-D26E1EBE60CC}" name="Column10078"/>
    <tableColumn id="10082" xr3:uid="{DB86C106-4615-4983-9A3A-58AE61912989}" name="Column10079"/>
    <tableColumn id="10083" xr3:uid="{CC65D6DC-F3D8-4131-8A61-FA31558D76D3}" name="Column10080"/>
    <tableColumn id="10084" xr3:uid="{903A571F-7C76-4448-AE45-BF3A560DECB5}" name="Column10081"/>
    <tableColumn id="10085" xr3:uid="{51DC4337-202C-45D5-9FC8-07388F140F19}" name="Column10082"/>
    <tableColumn id="10086" xr3:uid="{25A5116C-B6D0-4B66-AE02-11367810438F}" name="Column10083"/>
    <tableColumn id="10087" xr3:uid="{1CEA336E-25E1-4E60-81DB-4150C6405C4B}" name="Column10084"/>
    <tableColumn id="10088" xr3:uid="{6A9D710E-4CD8-4B6A-BFDB-78853AF5BBE0}" name="Column10085"/>
    <tableColumn id="10089" xr3:uid="{AFFF6166-BD6F-488F-911A-C9B546E553C8}" name="Column10086"/>
    <tableColumn id="10090" xr3:uid="{1707C8B9-9783-4441-8740-A7537D107C0D}" name="Column10087"/>
    <tableColumn id="10091" xr3:uid="{BC28A8F4-5C58-48FB-A0C6-5D024AD5F44D}" name="Column10088"/>
    <tableColumn id="10092" xr3:uid="{A901BA3D-7ABB-4C61-B9A6-7EE8B811BBEA}" name="Column10089"/>
    <tableColumn id="10093" xr3:uid="{890F60C9-6589-48D6-800A-9284D2CD1DFA}" name="Column10090"/>
    <tableColumn id="10094" xr3:uid="{77E70ECD-2C19-4E5F-8048-AA0A028D74A3}" name="Column10091"/>
    <tableColumn id="10095" xr3:uid="{43308423-7360-4972-9BD7-30E0C5E33EC4}" name="Column10092"/>
    <tableColumn id="10096" xr3:uid="{A28B950E-2BF2-4FE6-B6C6-F24BE6E661CF}" name="Column10093"/>
    <tableColumn id="10097" xr3:uid="{337DE514-83ED-4A29-90F9-02527B5D22CC}" name="Column10094"/>
    <tableColumn id="10098" xr3:uid="{2B33B281-8E0E-48BA-BB5D-28A12F95C0E7}" name="Column10095"/>
    <tableColumn id="10099" xr3:uid="{B0A8FA1B-68ED-45E4-942C-436D217973E9}" name="Column10096"/>
    <tableColumn id="10100" xr3:uid="{612E1AE0-D9AC-4475-808A-79074A216033}" name="Column10097"/>
    <tableColumn id="10101" xr3:uid="{CEF39B43-4388-408A-8AF5-A3028543EAC1}" name="Column10098"/>
    <tableColumn id="10102" xr3:uid="{185DDEAF-9FEF-43D8-A88F-647CCF6FB1CB}" name="Column10099"/>
    <tableColumn id="10103" xr3:uid="{B87D1DBD-42AC-485A-A51A-CB0F0EC157BE}" name="Column10100"/>
    <tableColumn id="10104" xr3:uid="{C9A848BB-102F-46B1-810F-29313B8466A5}" name="Column10101"/>
    <tableColumn id="10105" xr3:uid="{5A53A1DA-5AFD-417F-973C-7FE48C0BBF99}" name="Column10102"/>
    <tableColumn id="10106" xr3:uid="{0862F240-CE9F-4905-8631-1AB043500B98}" name="Column10103"/>
    <tableColumn id="10107" xr3:uid="{2C027F34-8F94-43B3-A2C4-4C0ECB8D60B2}" name="Column10104"/>
    <tableColumn id="10108" xr3:uid="{4715BCE5-6F48-423E-99A6-B3EB98A5EE84}" name="Column10105"/>
    <tableColumn id="10109" xr3:uid="{66AC2D9A-0726-4628-9AA3-EC779E5D0E13}" name="Column10106"/>
    <tableColumn id="10110" xr3:uid="{10920D25-6C47-41A2-9BD3-B71790A4FAFD}" name="Column10107"/>
    <tableColumn id="10111" xr3:uid="{827CE992-31E0-4400-AAD5-C8E4C220EFC1}" name="Column10108"/>
    <tableColumn id="10112" xr3:uid="{E47303EE-0782-4C3F-9BD7-C0B30ACBCB02}" name="Column10109"/>
    <tableColumn id="10113" xr3:uid="{4BC63831-1F3A-4402-A465-A45DFDB0D567}" name="Column10110"/>
    <tableColumn id="10114" xr3:uid="{AFDD9F58-583E-4A21-8977-D8506CCEC546}" name="Column10111"/>
    <tableColumn id="10115" xr3:uid="{1ADEE13D-48C0-44E1-AFAA-5E4ECBEAD56A}" name="Column10112"/>
    <tableColumn id="10116" xr3:uid="{4987C952-F5F6-4565-8E14-3005E0D33B56}" name="Column10113"/>
    <tableColumn id="10117" xr3:uid="{0777BFA3-566C-4DB4-A207-990E724FB208}" name="Column10114"/>
    <tableColumn id="10118" xr3:uid="{7ACF8EA9-248D-49F0-B852-E3FD3B8D2196}" name="Column10115"/>
    <tableColumn id="10119" xr3:uid="{C5586539-5F84-4E1C-BC4F-FF6D4C66131C}" name="Column10116"/>
    <tableColumn id="10120" xr3:uid="{E0B34E25-11F8-4CAA-8103-AD944FAE71EF}" name="Column10117"/>
    <tableColumn id="10121" xr3:uid="{C2F0064C-455D-40D1-A61E-611962E32011}" name="Column10118"/>
    <tableColumn id="10122" xr3:uid="{E29BFD8F-CAD0-44FC-83F6-F71DC50B8DB5}" name="Column10119"/>
    <tableColumn id="10123" xr3:uid="{12497372-8B0A-4181-9FAF-39756303CB05}" name="Column10120"/>
    <tableColumn id="10124" xr3:uid="{8EDFE7A0-C9BC-45CD-A195-90BD4961E25E}" name="Column10121"/>
    <tableColumn id="10125" xr3:uid="{C44E7D79-9770-4F9B-92DB-4F38DE244789}" name="Column10122"/>
    <tableColumn id="10126" xr3:uid="{9E80E7F8-3559-4701-B7C8-23C357FC549E}" name="Column10123"/>
    <tableColumn id="10127" xr3:uid="{2FB1107A-EC6E-4FDE-9CF6-34E73F6433E6}" name="Column10124"/>
    <tableColumn id="10128" xr3:uid="{FC85ADB9-6B6F-4B5F-8505-8528A6B5D605}" name="Column10125"/>
    <tableColumn id="10129" xr3:uid="{B66AC589-070D-4D01-8D79-DB9DF01C083D}" name="Column10126"/>
    <tableColumn id="10130" xr3:uid="{B3F8CEFB-1A93-4A46-AA1D-BF656C098362}" name="Column10127"/>
    <tableColumn id="10131" xr3:uid="{429E4B1F-42D2-4794-A222-DA25FAD2439F}" name="Column10128"/>
    <tableColumn id="10132" xr3:uid="{7A82201B-E512-4EF6-8645-D5589828C08B}" name="Column10129"/>
    <tableColumn id="10133" xr3:uid="{1645800C-80D2-4A4F-925C-B9E8A59DE44D}" name="Column10130"/>
    <tableColumn id="10134" xr3:uid="{B65E668D-4679-4766-BC44-72577F530D49}" name="Column10131"/>
    <tableColumn id="10135" xr3:uid="{EFC8F54F-AA91-40A1-9334-BB4A78E807BA}" name="Column10132"/>
    <tableColumn id="10136" xr3:uid="{219B383C-51F3-4681-B11A-40DE7863C9D6}" name="Column10133"/>
    <tableColumn id="10137" xr3:uid="{DC4FBBB7-5825-45D4-90C9-CAC13896EEE1}" name="Column10134"/>
    <tableColumn id="10138" xr3:uid="{9DAEC77D-076C-4C5A-98A1-A7E83574DB23}" name="Column10135"/>
    <tableColumn id="10139" xr3:uid="{2E73C99D-B141-43BE-9AB1-69D24B7118ED}" name="Column10136"/>
    <tableColumn id="10140" xr3:uid="{175D91B5-EEDB-404E-ACE4-8152FD24F7C2}" name="Column10137"/>
    <tableColumn id="10141" xr3:uid="{5A0683E8-25F7-4FB1-9EA5-3949077B42D5}" name="Column10138"/>
    <tableColumn id="10142" xr3:uid="{7B5F7609-40F8-4BB1-BB61-4409DD43696C}" name="Column10139"/>
    <tableColumn id="10143" xr3:uid="{14FBA301-055E-414C-A9E2-1659281AE8FF}" name="Column10140"/>
    <tableColumn id="10144" xr3:uid="{5C9F77CE-AEB5-4E33-B433-4233033F8D24}" name="Column10141"/>
    <tableColumn id="10145" xr3:uid="{FF02639C-4BFB-4434-8F49-578E203B1B6E}" name="Column10142"/>
    <tableColumn id="10146" xr3:uid="{A510D665-50AD-49C2-8A20-A4A8C370BB90}" name="Column10143"/>
    <tableColumn id="10147" xr3:uid="{38C02676-130B-47EC-BAA3-48B1D26A8021}" name="Column10144"/>
    <tableColumn id="10148" xr3:uid="{90225EA6-501C-4091-9B9F-7D6994963D25}" name="Column10145"/>
    <tableColumn id="10149" xr3:uid="{624C1CD9-6828-465A-B4AE-052DB95E4824}" name="Column10146"/>
    <tableColumn id="10150" xr3:uid="{97F6C5A6-9BB9-43FA-BB48-BA4D9A001A2B}" name="Column10147"/>
    <tableColumn id="10151" xr3:uid="{C2566235-140E-4DFB-842F-9057945768F8}" name="Column10148"/>
    <tableColumn id="10152" xr3:uid="{A61D4063-3BA2-4A0B-9A8D-2C9E76A9FE4C}" name="Column10149"/>
    <tableColumn id="10153" xr3:uid="{70BD7220-24AF-47CB-92A7-367D7DD62FC2}" name="Column10150"/>
    <tableColumn id="10154" xr3:uid="{26D79417-5DE9-48B3-B5DE-AEFEC33B07ED}" name="Column10151"/>
    <tableColumn id="10155" xr3:uid="{84DECB9E-17FD-4227-9532-FCCC7F74B4FD}" name="Column10152"/>
    <tableColumn id="10156" xr3:uid="{60B6C1A4-91C9-4F2E-AE51-EBDBBA223A79}" name="Column10153"/>
    <tableColumn id="10157" xr3:uid="{EC00B826-C905-47EB-8772-AE137374ECA6}" name="Column10154"/>
    <tableColumn id="10158" xr3:uid="{5ABA42D8-6FDC-4582-A78C-1698CB0BAE19}" name="Column10155"/>
    <tableColumn id="10159" xr3:uid="{34BEA24E-6FB7-484F-892B-09BAEEFB80EA}" name="Column10156"/>
    <tableColumn id="10160" xr3:uid="{EBF629BD-9200-46A5-BB80-59B6D903CB58}" name="Column10157"/>
    <tableColumn id="10161" xr3:uid="{651402D4-B66D-41AD-8D94-609981160EDA}" name="Column10158"/>
    <tableColumn id="10162" xr3:uid="{364F534D-E2EF-4F74-A647-78A93C1CE83B}" name="Column10159"/>
    <tableColumn id="10163" xr3:uid="{2B1F9958-58AA-4A33-9AE5-5E49804315C0}" name="Column10160"/>
    <tableColumn id="10164" xr3:uid="{AAD686B2-7A3F-4E84-ABA1-40BB7CB4672E}" name="Column10161"/>
    <tableColumn id="10165" xr3:uid="{892B2028-0A42-4EC2-A9FC-C0FFE6301520}" name="Column10162"/>
    <tableColumn id="10166" xr3:uid="{CB76695A-B54C-4BA6-A0EF-782859D3BE47}" name="Column10163"/>
    <tableColumn id="10167" xr3:uid="{B617CB4D-C2A6-4FF3-A082-295070B7D457}" name="Column10164"/>
    <tableColumn id="10168" xr3:uid="{F354D742-50FB-44FC-A65D-5B2511E24778}" name="Column10165"/>
    <tableColumn id="10169" xr3:uid="{E6251775-A90E-4165-B50F-322901009F9F}" name="Column10166"/>
    <tableColumn id="10170" xr3:uid="{39A635C6-D25B-488F-A651-F47621253ADD}" name="Column10167"/>
    <tableColumn id="10171" xr3:uid="{925E8578-E94D-43B9-90D2-4A3B055362BB}" name="Column10168"/>
    <tableColumn id="10172" xr3:uid="{68465A56-F2F5-4EF9-A75E-F4E65A13A872}" name="Column10169"/>
    <tableColumn id="10173" xr3:uid="{512D0C41-1F93-4B45-9BA1-C0C921D9497C}" name="Column10170"/>
    <tableColumn id="10174" xr3:uid="{178196FC-EC4A-4406-BAEC-AB88DD90F338}" name="Column10171"/>
    <tableColumn id="10175" xr3:uid="{D80688BE-748C-4FE1-B05B-45F1C3B6ABDC}" name="Column10172"/>
    <tableColumn id="10176" xr3:uid="{0CB22898-2509-4341-ADCF-F8F081B5452E}" name="Column10173"/>
    <tableColumn id="10177" xr3:uid="{E4792E63-C40A-414C-B272-A82847A67C80}" name="Column10174"/>
    <tableColumn id="10178" xr3:uid="{09F5D033-C7BC-4A05-83DD-6549ADC61CDD}" name="Column10175"/>
    <tableColumn id="10179" xr3:uid="{665A369F-55D8-47BB-9501-BF629B4E5543}" name="Column10176"/>
    <tableColumn id="10180" xr3:uid="{BE069E7D-D652-44B9-A4E0-0355D7AC0154}" name="Column10177"/>
    <tableColumn id="10181" xr3:uid="{17F492F1-27F2-4103-AE62-23402BF7326C}" name="Column10178"/>
    <tableColumn id="10182" xr3:uid="{2C1F74B0-012F-4D2C-AA52-5908279C8D73}" name="Column10179"/>
    <tableColumn id="10183" xr3:uid="{64012CD3-57E0-479E-96FB-2CFE5EC10C94}" name="Column10180"/>
    <tableColumn id="10184" xr3:uid="{356B2B3E-88C7-4E9B-9FC5-9359B530EDDE}" name="Column10181"/>
    <tableColumn id="10185" xr3:uid="{3ED96FB3-FEE1-48AD-9F33-7D67048BA25C}" name="Column10182"/>
    <tableColumn id="10186" xr3:uid="{7836E998-32BA-4C7E-A59F-7A7DCE76A957}" name="Column10183"/>
    <tableColumn id="10187" xr3:uid="{0DC79CDD-A1AA-47F9-8002-219657F7F436}" name="Column10184"/>
    <tableColumn id="10188" xr3:uid="{68051DE0-5002-42BA-ABE2-8DD4AD4CADB3}" name="Column10185"/>
    <tableColumn id="10189" xr3:uid="{61D0C973-4051-4DBF-B20A-638F292266E3}" name="Column10186"/>
    <tableColumn id="10190" xr3:uid="{85E572FD-4862-4A76-A149-849A1F1850CC}" name="Column10187"/>
    <tableColumn id="10191" xr3:uid="{62B1C424-05AE-46DC-9433-E2987FD0DB68}" name="Column10188"/>
    <tableColumn id="10192" xr3:uid="{9ABCB2A2-4E00-4B99-BBF1-D930D0FA83F1}" name="Column10189"/>
    <tableColumn id="10193" xr3:uid="{C4F5EAF9-AA49-43A1-A029-A7CB39BF2721}" name="Column10190"/>
    <tableColumn id="10194" xr3:uid="{D0B5C635-D987-4233-B5F3-DAF904ABAAA1}" name="Column10191"/>
    <tableColumn id="10195" xr3:uid="{25A4BFC4-5BB7-4F37-8306-802F30117892}" name="Column10192"/>
    <tableColumn id="10196" xr3:uid="{2A7EFFC2-33A8-455C-81CF-0E5015101272}" name="Column10193"/>
    <tableColumn id="10197" xr3:uid="{1C298782-6316-4745-B8EE-38476731071C}" name="Column10194"/>
    <tableColumn id="10198" xr3:uid="{558BF5D7-83CA-4DF6-B418-22C1D3E8D9F6}" name="Column10195"/>
    <tableColumn id="10199" xr3:uid="{66207031-DCBC-42AF-B051-20B8696F6FBE}" name="Column10196"/>
    <tableColumn id="10200" xr3:uid="{D5D3817B-B678-40A2-ADD5-A1FBBC4975E8}" name="Column10197"/>
    <tableColumn id="10201" xr3:uid="{11B98BCE-DCA6-4E1A-BF5D-020DBE163AD4}" name="Column10198"/>
    <tableColumn id="10202" xr3:uid="{E925DC90-ACF6-4A3E-883F-6121E04A0DED}" name="Column10199"/>
    <tableColumn id="10203" xr3:uid="{46E5DF03-B979-4240-91B1-0203ABCD3952}" name="Column10200"/>
    <tableColumn id="10204" xr3:uid="{5571AEA4-DCA9-4709-8EEF-A3A14388FA80}" name="Column10201"/>
    <tableColumn id="10205" xr3:uid="{07C571E0-9429-44A3-AED6-DDCE16E95BA3}" name="Column10202"/>
    <tableColumn id="10206" xr3:uid="{E030B946-255F-48F9-ABF4-C6EA73A1833C}" name="Column10203"/>
    <tableColumn id="10207" xr3:uid="{FFA2666E-D594-4CF6-95A6-D260951F19C9}" name="Column10204"/>
    <tableColumn id="10208" xr3:uid="{DC7BB67C-FC67-4714-88F1-5E6ACC07D2FC}" name="Column10205"/>
    <tableColumn id="10209" xr3:uid="{DB0B77ED-5D78-4E8D-ADCF-237D46272DC8}" name="Column10206"/>
    <tableColumn id="10210" xr3:uid="{FE98ADB0-DCDE-48EC-B795-7952518CFA66}" name="Column10207"/>
    <tableColumn id="10211" xr3:uid="{97E18D56-0D5D-4019-9D13-A54DED5D49CE}" name="Column10208"/>
    <tableColumn id="10212" xr3:uid="{0764A19C-B996-41D1-A9F8-47C516E367D5}" name="Column10209"/>
    <tableColumn id="10213" xr3:uid="{06D4C944-79FB-48C3-9A41-7A6E84743463}" name="Column10210"/>
    <tableColumn id="10214" xr3:uid="{CB1533F3-DD4C-438C-B5B4-EAA9B64FC273}" name="Column10211"/>
    <tableColumn id="10215" xr3:uid="{B2925328-9509-4E9C-9225-C46A42D042E3}" name="Column10212"/>
    <tableColumn id="10216" xr3:uid="{C5F314C8-E8EF-48E3-8B52-76DC94D970C6}" name="Column10213"/>
    <tableColumn id="10217" xr3:uid="{A3362342-8548-4753-B221-4ECB996112BE}" name="Column10214"/>
    <tableColumn id="10218" xr3:uid="{FC37A17A-A2F6-4227-A2DB-3A830F250C1D}" name="Column10215"/>
    <tableColumn id="10219" xr3:uid="{2F71A2AB-5D08-4FFE-9050-AA4A5D939372}" name="Column10216"/>
    <tableColumn id="10220" xr3:uid="{17C4952D-8524-46D8-9BB8-73BE9D1D1318}" name="Column10217"/>
    <tableColumn id="10221" xr3:uid="{29F87F51-7BC2-40F7-A70F-642D9D1BEAA2}" name="Column10218"/>
    <tableColumn id="10222" xr3:uid="{56B823AF-AA01-4E84-AB63-B5204A2D3E88}" name="Column10219"/>
    <tableColumn id="10223" xr3:uid="{B0164886-67BD-4DD4-8292-1D79A9A8579C}" name="Column10220"/>
    <tableColumn id="10224" xr3:uid="{757430DA-291D-454B-AB18-EACBD793E77E}" name="Column10221"/>
    <tableColumn id="10225" xr3:uid="{7FB77AC1-1C9F-4758-88CF-2C73542927F8}" name="Column10222"/>
    <tableColumn id="10226" xr3:uid="{AD00B822-90DC-4A98-81F0-72953D70E3EC}" name="Column10223"/>
    <tableColumn id="10227" xr3:uid="{DF7D900D-3431-484F-979E-9ABD2F55CFCB}" name="Column10224"/>
    <tableColumn id="10228" xr3:uid="{12FE0186-B529-437E-A00D-0504AF182662}" name="Column10225"/>
    <tableColumn id="10229" xr3:uid="{6A7B6524-AE50-4E40-B619-3D38B6C2B1C7}" name="Column10226"/>
    <tableColumn id="10230" xr3:uid="{4655D5D3-929E-4C47-AF9A-9CA2226E3B79}" name="Column10227"/>
    <tableColumn id="10231" xr3:uid="{573B898D-18DA-4C90-975C-6D47A4192B96}" name="Column10228"/>
    <tableColumn id="10232" xr3:uid="{8BFFFCD7-DC37-4F9D-82FF-BC082C61F9E5}" name="Column10229"/>
    <tableColumn id="10233" xr3:uid="{AC6530F5-5119-40E6-BB0F-3B05FD32D69C}" name="Column10230"/>
    <tableColumn id="10234" xr3:uid="{C735CB54-29E4-4B4B-8A25-58FACDDFF82B}" name="Column10231"/>
    <tableColumn id="10235" xr3:uid="{DBE0F913-5871-443C-9A8A-F241F5F29610}" name="Column10232"/>
    <tableColumn id="10236" xr3:uid="{CC5861A8-F083-4B4E-A659-4DC20733BE9F}" name="Column10233"/>
    <tableColumn id="10237" xr3:uid="{6C43A215-575B-41DF-A700-51D6358D0506}" name="Column10234"/>
    <tableColumn id="10238" xr3:uid="{267E9EBE-C106-404D-A79F-D96AFC7A6D35}" name="Column10235"/>
    <tableColumn id="10239" xr3:uid="{723D657A-4C55-4098-9261-8150213F8E6C}" name="Column10236"/>
    <tableColumn id="10240" xr3:uid="{98298CE9-A448-4E30-BC51-07DA528E2F8F}" name="Column10237"/>
    <tableColumn id="10241" xr3:uid="{FB5693E3-DAEB-483E-943B-A681176F5DBC}" name="Column10238"/>
    <tableColumn id="10242" xr3:uid="{35921935-C2C8-4550-BF23-9C765B076AD3}" name="Column10239"/>
    <tableColumn id="10243" xr3:uid="{B1036B86-4EEB-4265-96DD-8977953B85DB}" name="Column10240"/>
    <tableColumn id="10244" xr3:uid="{83EF5E94-D913-4416-8C5F-2D41F8DF56F2}" name="Column10241"/>
    <tableColumn id="10245" xr3:uid="{4BF552DB-FEEF-4F3F-851D-342337291D63}" name="Column10242"/>
    <tableColumn id="10246" xr3:uid="{D0A5320F-C888-47A5-9F84-122C0E12DF68}" name="Column10243"/>
    <tableColumn id="10247" xr3:uid="{50262C9E-BB69-400D-AC82-56EDADF19AFD}" name="Column10244"/>
    <tableColumn id="10248" xr3:uid="{1A52F558-0F49-45EB-9F3E-B6BD7C6C9272}" name="Column10245"/>
    <tableColumn id="10249" xr3:uid="{8854C075-C6C9-4C5C-B6EF-C63C43C6AE41}" name="Column10246"/>
    <tableColumn id="10250" xr3:uid="{44D611EC-DB84-4E61-BAAA-E624A394FDBF}" name="Column10247"/>
    <tableColumn id="10251" xr3:uid="{3DE637E2-1B3B-4B36-AA46-774E9D99AE5C}" name="Column10248"/>
    <tableColumn id="10252" xr3:uid="{E15CF860-BABF-4D36-9D60-7E51F9C8F865}" name="Column10249"/>
    <tableColumn id="10253" xr3:uid="{AD24AC62-FFED-4B6D-94CF-865AC2A53E09}" name="Column10250"/>
    <tableColumn id="10254" xr3:uid="{BA23BDA9-F239-4E58-92D0-31615F157FD2}" name="Column10251"/>
    <tableColumn id="10255" xr3:uid="{D256C4E9-8768-4436-B09D-EBE9E0245EF0}" name="Column10252"/>
    <tableColumn id="10256" xr3:uid="{770A7296-6EE8-4103-94A2-85776EF171ED}" name="Column10253"/>
    <tableColumn id="10257" xr3:uid="{AF8824CD-6A30-4773-AD97-0CA4C9B04357}" name="Column10254"/>
    <tableColumn id="10258" xr3:uid="{C6319DB7-45CE-4E42-AE7C-2E36DA37EAB7}" name="Column10255"/>
    <tableColumn id="10259" xr3:uid="{B8169E2F-F134-45EF-96C8-8521BA36AE51}" name="Column10256"/>
    <tableColumn id="10260" xr3:uid="{31BBD873-BC86-418D-B708-E18BEBAB3487}" name="Column10257"/>
    <tableColumn id="10261" xr3:uid="{0C2A847E-A569-4072-B8CE-14D00B79DDFB}" name="Column10258"/>
    <tableColumn id="10262" xr3:uid="{3FB031FB-AFE6-49DB-8E15-CA963B667BCE}" name="Column10259"/>
    <tableColumn id="10263" xr3:uid="{63C250DD-9432-455D-B506-63CE9F09DD01}" name="Column10260"/>
    <tableColumn id="10264" xr3:uid="{DD275010-7DB4-480B-958B-BEEC36A5344A}" name="Column10261"/>
    <tableColumn id="10265" xr3:uid="{211724EF-60F6-4B18-8C62-9B2A5FF8F45E}" name="Column10262"/>
    <tableColumn id="10266" xr3:uid="{10C0830F-3BDE-4BD2-9C89-6156042878EA}" name="Column10263"/>
    <tableColumn id="10267" xr3:uid="{425BA0B6-0E34-4D1A-B293-F064CC2F5188}" name="Column10264"/>
    <tableColumn id="10268" xr3:uid="{203717E4-BA40-4CFD-9845-D93E18B4F8E4}" name="Column10265"/>
    <tableColumn id="10269" xr3:uid="{1CA3666D-359A-41BB-B1E6-D1E71C8B96C6}" name="Column10266"/>
    <tableColumn id="10270" xr3:uid="{1969EC21-F835-42DA-AEC7-CB0088A229FA}" name="Column10267"/>
    <tableColumn id="10271" xr3:uid="{28B9DF1A-8F9B-4B14-A2CA-E8C830FB81A7}" name="Column10268"/>
    <tableColumn id="10272" xr3:uid="{21F5A3C3-6D79-41A6-A1F6-AA505B012029}" name="Column10269"/>
    <tableColumn id="10273" xr3:uid="{D64B447F-1EF7-4D73-8E78-F7387D85A17D}" name="Column10270"/>
    <tableColumn id="10274" xr3:uid="{D59DCC70-5792-42A8-91E2-1DB636D8ABDA}" name="Column10271"/>
    <tableColumn id="10275" xr3:uid="{39112AD7-8C9A-4AF3-9028-4182E322259C}" name="Column10272"/>
    <tableColumn id="10276" xr3:uid="{CBFDF5B9-78D1-4EF3-AE8E-C8AB4B14AE32}" name="Column10273"/>
    <tableColumn id="10277" xr3:uid="{A89BEA3A-C08A-44C3-A835-21098062BB74}" name="Column10274"/>
    <tableColumn id="10278" xr3:uid="{B4CDA37B-DECC-49B8-9D14-820C34959F0C}" name="Column10275"/>
    <tableColumn id="10279" xr3:uid="{E1A6564F-2926-4FFB-9D0B-90B352C22AB3}" name="Column10276"/>
    <tableColumn id="10280" xr3:uid="{CE9A2FCA-1B7B-48FF-8F95-A7B6F0931E05}" name="Column10277"/>
    <tableColumn id="10281" xr3:uid="{2128FE0D-EA83-4B68-8B6B-0B054346D7EF}" name="Column10278"/>
    <tableColumn id="10282" xr3:uid="{330A0A2F-9A3F-41F5-B55D-6EB0F5BE207B}" name="Column10279"/>
    <tableColumn id="10283" xr3:uid="{3354AC39-6DA6-47D1-B418-EEF53533DBA8}" name="Column10280"/>
    <tableColumn id="10284" xr3:uid="{745E8CC6-D279-40DF-9419-5D567B53BE7D}" name="Column10281"/>
    <tableColumn id="10285" xr3:uid="{18176BAB-F3FE-46E3-8C83-C481CF32F6BF}" name="Column10282"/>
    <tableColumn id="10286" xr3:uid="{0DB95C03-F019-4B46-90C7-71A46DBA4D0B}" name="Column10283"/>
    <tableColumn id="10287" xr3:uid="{9F209345-9F1C-470C-AE6F-CD3BE715282E}" name="Column10284"/>
    <tableColumn id="10288" xr3:uid="{F979E48C-00E9-4FB8-82DA-72C82F3EE30E}" name="Column10285"/>
    <tableColumn id="10289" xr3:uid="{7C5AAC67-E720-49C3-9793-FD14D00D4A01}" name="Column10286"/>
    <tableColumn id="10290" xr3:uid="{27059313-FFAA-4EA2-965F-674ABD4243B5}" name="Column10287"/>
    <tableColumn id="10291" xr3:uid="{1DEF9B38-9F7C-4070-AD9F-52EDBDF9D155}" name="Column10288"/>
    <tableColumn id="10292" xr3:uid="{A2E3228A-A67C-443B-BFC6-593079AC132A}" name="Column10289"/>
    <tableColumn id="10293" xr3:uid="{8476D384-B38D-41EE-97DC-333EE2AB6539}" name="Column10290"/>
    <tableColumn id="10294" xr3:uid="{920D2DD3-A098-4E35-B060-9BAFFDADE578}" name="Column10291"/>
    <tableColumn id="10295" xr3:uid="{C50617BA-A4C1-4A2D-9E79-C8DDC6D030A7}" name="Column10292"/>
    <tableColumn id="10296" xr3:uid="{C8C85FB7-BC9F-474F-94BF-CE18E1386847}" name="Column10293"/>
    <tableColumn id="10297" xr3:uid="{057D8E7E-2998-4E61-8951-91FB1DB41ECD}" name="Column10294"/>
    <tableColumn id="10298" xr3:uid="{428F894C-17B6-4C85-8680-6C9D0056B20B}" name="Column10295"/>
    <tableColumn id="10299" xr3:uid="{06DD4487-A52D-4DF4-B066-9E1E8468E37C}" name="Column10296"/>
    <tableColumn id="10300" xr3:uid="{C5C20C9D-BCB3-449E-823A-76E54D92DDB0}" name="Column10297"/>
    <tableColumn id="10301" xr3:uid="{82B5C6FE-D30D-410A-8682-DA7216572A48}" name="Column10298"/>
    <tableColumn id="10302" xr3:uid="{05C24130-866C-4DBA-84EC-B14F3EA3BCEC}" name="Column10299"/>
    <tableColumn id="10303" xr3:uid="{D1677A7F-13D6-4BD0-8E1F-679C2AF18461}" name="Column10300"/>
    <tableColumn id="10304" xr3:uid="{3EC2F2A7-CC8D-479C-BDAF-A5EFB52907FA}" name="Column10301"/>
    <tableColumn id="10305" xr3:uid="{A28C2532-69F6-4305-B45E-81BA2630831C}" name="Column10302"/>
    <tableColumn id="10306" xr3:uid="{9BE5BD76-46B1-4F31-ABE4-2A5E55AEF492}" name="Column10303"/>
    <tableColumn id="10307" xr3:uid="{75C9B2BD-1F83-4D45-B1C4-5FFED928167E}" name="Column10304"/>
    <tableColumn id="10308" xr3:uid="{00A50201-2059-434A-871D-C4C52C31A407}" name="Column10305"/>
    <tableColumn id="10309" xr3:uid="{EAAECA0E-AED9-47C2-9712-495A7EA4B7DD}" name="Column10306"/>
    <tableColumn id="10310" xr3:uid="{FA7DA7CD-866B-4407-8C90-76122BE3ADB0}" name="Column10307"/>
    <tableColumn id="10311" xr3:uid="{39A7B0C3-C634-41F8-A778-0A756A657F3C}" name="Column10308"/>
    <tableColumn id="10312" xr3:uid="{2A2E6B78-A1BB-40A0-A66B-BDE1159DCC63}" name="Column10309"/>
    <tableColumn id="10313" xr3:uid="{16421A98-FB5E-4988-B41D-F92DFB2EB1F2}" name="Column10310"/>
    <tableColumn id="10314" xr3:uid="{724F35CD-3D06-4561-9FDE-86C5AA97AAA7}" name="Column10311"/>
    <tableColumn id="10315" xr3:uid="{919CF1C7-E7D3-4847-98B7-3A737AE073B5}" name="Column10312"/>
    <tableColumn id="10316" xr3:uid="{21F65717-21D4-480C-89AE-5AECCDF768BE}" name="Column10313"/>
    <tableColumn id="10317" xr3:uid="{16A17346-FFAC-4566-B6AD-52EA9DA7C6D7}" name="Column10314"/>
    <tableColumn id="10318" xr3:uid="{5564D8A2-C7DA-4F34-B292-8420C5799CD5}" name="Column10315"/>
    <tableColumn id="10319" xr3:uid="{2CF1B6E6-F9E3-465F-ABD0-A800921C17D8}" name="Column10316"/>
    <tableColumn id="10320" xr3:uid="{60090D89-D421-42B7-9121-47D074190BD8}" name="Column10317"/>
    <tableColumn id="10321" xr3:uid="{7C07687C-6107-4F50-ABE8-E34DFC98A6D7}" name="Column10318"/>
    <tableColumn id="10322" xr3:uid="{CDFDFAE9-6EEB-45FF-BDC7-206B60E7EEAB}" name="Column10319"/>
    <tableColumn id="10323" xr3:uid="{777CF24F-E387-4C8C-931B-43E90D531EEF}" name="Column10320"/>
    <tableColumn id="10324" xr3:uid="{32DB7763-5690-46EE-8BF4-53078B5DE71A}" name="Column10321"/>
    <tableColumn id="10325" xr3:uid="{3C555E32-CD3F-403B-B4AE-AA7CDC000ECF}" name="Column10322"/>
    <tableColumn id="10326" xr3:uid="{8EDE2CD8-0A47-4388-8B50-CAF39DC4BC4F}" name="Column10323"/>
    <tableColumn id="10327" xr3:uid="{54755831-35B6-4E24-8BB6-2348CEBC3197}" name="Column10324"/>
    <tableColumn id="10328" xr3:uid="{A26F92D6-8A60-47C0-B973-469BD0336EFB}" name="Column10325"/>
    <tableColumn id="10329" xr3:uid="{BEECA1BF-DB5C-4743-A204-3DED0120FC1E}" name="Column10326"/>
    <tableColumn id="10330" xr3:uid="{557795CD-2237-43DE-8DA4-9FC230586FE7}" name="Column10327"/>
    <tableColumn id="10331" xr3:uid="{32A0D129-88F4-4F60-ABCE-6DF92E2E7E91}" name="Column10328"/>
    <tableColumn id="10332" xr3:uid="{737DA2B4-40E6-4228-84F9-DC4AC3A58DEC}" name="Column10329"/>
    <tableColumn id="10333" xr3:uid="{F2BDC987-D5DD-4A01-9173-038FF5942D45}" name="Column10330"/>
    <tableColumn id="10334" xr3:uid="{EC84D420-0779-4E8B-93BB-9EB1B823F1E8}" name="Column10331"/>
    <tableColumn id="10335" xr3:uid="{36B94173-86F5-4083-8124-76CE1CA0069B}" name="Column10332"/>
    <tableColumn id="10336" xr3:uid="{7790777A-0B93-4441-A09F-9D1EE550BBA4}" name="Column10333"/>
    <tableColumn id="10337" xr3:uid="{8FC46F62-416E-4F09-B05C-8CDD46C07307}" name="Column10334"/>
    <tableColumn id="10338" xr3:uid="{4DC2DF34-5E46-4ABE-9ED0-7ABF0D1F28DD}" name="Column10335"/>
    <tableColumn id="10339" xr3:uid="{374DF9E4-92C2-4F21-9975-05BADDE7DECD}" name="Column10336"/>
    <tableColumn id="10340" xr3:uid="{F87527BB-DF3A-4AA4-A6B7-15FFD35E32F4}" name="Column10337"/>
    <tableColumn id="10341" xr3:uid="{7F3E2E43-AB5E-493E-8F1A-7E7A9A4EC848}" name="Column10338"/>
    <tableColumn id="10342" xr3:uid="{29BFC495-2F42-4ADD-BB4B-F2F4116118A5}" name="Column10339"/>
    <tableColumn id="10343" xr3:uid="{A4422C28-109E-4DD3-96BC-B6C777C4DD47}" name="Column10340"/>
    <tableColumn id="10344" xr3:uid="{1E4195F6-80AA-4FAE-A331-5BCFD236AC63}" name="Column10341"/>
    <tableColumn id="10345" xr3:uid="{E2D844B0-0C4C-4524-8D2D-3FD77C281AF3}" name="Column10342"/>
    <tableColumn id="10346" xr3:uid="{CD32918F-E8E4-4A17-AAB6-0A0C0CFA5A23}" name="Column10343"/>
    <tableColumn id="10347" xr3:uid="{3D052434-BC9A-48E2-82FD-ACA21A13BB48}" name="Column10344"/>
    <tableColumn id="10348" xr3:uid="{5F8EFF96-023E-4C6D-8F82-CD4843810676}" name="Column10345"/>
    <tableColumn id="10349" xr3:uid="{1C06EB0D-BD34-4966-8F56-5161B0E2ED5E}" name="Column10346"/>
    <tableColumn id="10350" xr3:uid="{7838E0CC-2348-474A-963A-23035BC685CA}" name="Column10347"/>
    <tableColumn id="10351" xr3:uid="{2276C9D9-5CF4-4191-855F-9F3EFD99C54B}" name="Column10348"/>
    <tableColumn id="10352" xr3:uid="{0382FB06-A49A-4AC9-A1B3-37CAE761C7CB}" name="Column10349"/>
    <tableColumn id="10353" xr3:uid="{64EFBA64-B3FD-4922-B3BC-383201DFD5AB}" name="Column10350"/>
    <tableColumn id="10354" xr3:uid="{921C2583-1867-4068-9D78-0ACEAD2CA8DF}" name="Column10351"/>
    <tableColumn id="10355" xr3:uid="{E7F6A63E-78CB-43C4-81AE-B49F60014FB9}" name="Column10352"/>
    <tableColumn id="10356" xr3:uid="{26D3B2B8-639A-4542-B72C-7F0C7A6D09FE}" name="Column10353"/>
    <tableColumn id="10357" xr3:uid="{7C884EA7-F0C8-4D18-BED7-B51C4F929E97}" name="Column10354"/>
    <tableColumn id="10358" xr3:uid="{51765D00-E745-4140-B0F4-EEAEEA6242EE}" name="Column10355"/>
    <tableColumn id="10359" xr3:uid="{F52EEA0C-D1A3-406E-ACEC-2ABD618C5136}" name="Column10356"/>
    <tableColumn id="10360" xr3:uid="{A7131BCB-4CE0-4E50-839D-CE67698FEAFF}" name="Column10357"/>
    <tableColumn id="10361" xr3:uid="{BD856842-38E8-4853-921D-89B89D5A5345}" name="Column10358"/>
    <tableColumn id="10362" xr3:uid="{D0C4F870-0AB3-42A4-9905-3FB49917DE30}" name="Column10359"/>
    <tableColumn id="10363" xr3:uid="{FBC9C57F-1BC2-4B5B-9426-9E92F563522D}" name="Column10360"/>
    <tableColumn id="10364" xr3:uid="{529F0370-702A-4B87-80D2-6224F0B8C042}" name="Column10361"/>
    <tableColumn id="10365" xr3:uid="{1B46AF5F-CBB7-47E7-93F9-9D7FD455B221}" name="Column10362"/>
    <tableColumn id="10366" xr3:uid="{A16E91CE-60A1-4DE0-9A51-29F36ABBEDB5}" name="Column10363"/>
    <tableColumn id="10367" xr3:uid="{F9ED9B3C-4939-44B5-B7D6-CF66138C3EA9}" name="Column10364"/>
    <tableColumn id="10368" xr3:uid="{FDAA1C2B-8E89-4A56-A7B4-8653FA419898}" name="Column10365"/>
    <tableColumn id="10369" xr3:uid="{5B105C63-64E9-46C6-B95D-2307B13F2ABC}" name="Column10366"/>
    <tableColumn id="10370" xr3:uid="{F5A1C3C1-79DE-4FB0-A892-7D6DA76FB6A7}" name="Column10367"/>
    <tableColumn id="10371" xr3:uid="{154FE432-9794-4A1E-A4E9-FF234775145B}" name="Column10368"/>
    <tableColumn id="10372" xr3:uid="{F1A7353F-42E7-4E56-99B9-0CF0936297D7}" name="Column10369"/>
    <tableColumn id="10373" xr3:uid="{DE3958F9-0D11-4412-9ED5-E51E06A33BCD}" name="Column10370"/>
    <tableColumn id="10374" xr3:uid="{4BD83C05-A846-44BE-8BC2-75D487ECA5F2}" name="Column10371"/>
    <tableColumn id="10375" xr3:uid="{15D1E5B7-045B-4976-896E-2E159128850B}" name="Column10372"/>
    <tableColumn id="10376" xr3:uid="{79B6C1DF-F097-45E7-94CD-6F78FCF12A37}" name="Column10373"/>
    <tableColumn id="10377" xr3:uid="{29C2B1A6-6B7D-4BFE-A063-57B8401E5EAE}" name="Column10374"/>
    <tableColumn id="10378" xr3:uid="{77AB9368-2F33-49B0-8E74-68D63BB544E9}" name="Column10375"/>
    <tableColumn id="10379" xr3:uid="{443829BF-B7F8-4B7C-ADCF-BBE39A3ED32D}" name="Column10376"/>
    <tableColumn id="10380" xr3:uid="{C91150AD-EB4D-4C6A-B2EC-B7F50D748573}" name="Column10377"/>
    <tableColumn id="10381" xr3:uid="{DC497490-7B04-4563-9214-B4ED94A73835}" name="Column10378"/>
    <tableColumn id="10382" xr3:uid="{9546880C-2E3E-4190-BD36-D17E73341578}" name="Column10379"/>
    <tableColumn id="10383" xr3:uid="{45E95CA6-B7FD-4A60-A581-F404A02BFDE9}" name="Column10380"/>
    <tableColumn id="10384" xr3:uid="{52440971-A0DC-4DD9-8760-E751EBDB0821}" name="Column10381"/>
    <tableColumn id="10385" xr3:uid="{79F026A0-CAF9-4C8D-8481-BEA2B974B2BB}" name="Column10382"/>
    <tableColumn id="10386" xr3:uid="{24058F58-0D8D-47A9-905C-C63BBD10EC8B}" name="Column10383"/>
    <tableColumn id="10387" xr3:uid="{9ED474B7-4982-4743-A88C-F86F9DB257A7}" name="Column10384"/>
    <tableColumn id="10388" xr3:uid="{81F40BCF-BFE8-4266-8041-B524E1183E31}" name="Column10385"/>
    <tableColumn id="10389" xr3:uid="{C43C71AF-F344-43A4-941E-35A17D8B1B1A}" name="Column10386"/>
    <tableColumn id="10390" xr3:uid="{92C88FBA-A545-4ABC-BE83-13B070DBB9A6}" name="Column10387"/>
    <tableColumn id="10391" xr3:uid="{4B188290-6192-4D53-8953-9074BE833221}" name="Column10388"/>
    <tableColumn id="10392" xr3:uid="{94B86EE0-E78E-4E7F-A738-0B3F42E5EA7A}" name="Column10389"/>
    <tableColumn id="10393" xr3:uid="{67C9CC8E-13D1-4FD8-BCFC-415379F1791F}" name="Column10390"/>
    <tableColumn id="10394" xr3:uid="{904939C4-454D-4DD4-9E54-EF8ADEFB3226}" name="Column10391"/>
    <tableColumn id="10395" xr3:uid="{752F8492-6E95-4F10-A60C-FF50CE9EDF35}" name="Column10392"/>
    <tableColumn id="10396" xr3:uid="{14437174-7680-48F0-AD2C-8ACB972BE2E9}" name="Column10393"/>
    <tableColumn id="10397" xr3:uid="{44ABC067-574D-4CB9-9CE6-2114ACEB8132}" name="Column10394"/>
    <tableColumn id="10398" xr3:uid="{FA9F9CE9-D6E0-46C7-8593-6F9DE6140AC0}" name="Column10395"/>
    <tableColumn id="10399" xr3:uid="{03763F0F-D2CF-4ACB-98C6-B7A476926522}" name="Column10396"/>
    <tableColumn id="10400" xr3:uid="{1F05576B-89CB-4208-AA4E-47D16303CB05}" name="Column10397"/>
    <tableColumn id="10401" xr3:uid="{59E44137-7ABD-422D-9823-02D237E5B278}" name="Column10398"/>
    <tableColumn id="10402" xr3:uid="{E6F3B162-F18D-46D4-B7D7-689F71EC30F8}" name="Column10399"/>
    <tableColumn id="10403" xr3:uid="{FC15E465-A59D-409E-BFF1-E1E51743215C}" name="Column10400"/>
    <tableColumn id="10404" xr3:uid="{2C4AD648-AFFD-4C4F-81B2-B4F94E91CBF6}" name="Column10401"/>
    <tableColumn id="10405" xr3:uid="{872503C2-DFA1-439C-B33A-99A29C587CD1}" name="Column10402"/>
    <tableColumn id="10406" xr3:uid="{1C98D4C6-5FDE-4D57-B702-88A13B6B43D6}" name="Column10403"/>
    <tableColumn id="10407" xr3:uid="{FECB45F0-026A-4619-B3A2-4FD2C27788B2}" name="Column10404"/>
    <tableColumn id="10408" xr3:uid="{24F90A0E-3745-4346-87CF-0B3D29FBCE9B}" name="Column10405"/>
    <tableColumn id="10409" xr3:uid="{3A1DBF03-0E53-4724-9D9D-179EE298D833}" name="Column10406"/>
    <tableColumn id="10410" xr3:uid="{B656EE72-BCAA-4A84-88B6-EC63A3B146FC}" name="Column10407"/>
    <tableColumn id="10411" xr3:uid="{3E157D65-94CF-46C9-A908-808FB24950A3}" name="Column10408"/>
    <tableColumn id="10412" xr3:uid="{3F508B62-D6D1-4C87-B967-66B5EFAB97D4}" name="Column10409"/>
    <tableColumn id="10413" xr3:uid="{27DFF570-B7BD-43AF-B721-9B7EE9468C18}" name="Column10410"/>
    <tableColumn id="10414" xr3:uid="{9F933DBB-ACF2-4A6A-97BC-01567F6C6C61}" name="Column10411"/>
    <tableColumn id="10415" xr3:uid="{E2E03910-D5A7-4D6B-BBC6-4B5886835667}" name="Column10412"/>
    <tableColumn id="10416" xr3:uid="{EAA015AC-0C64-40A2-93B4-27A1C2B03472}" name="Column10413"/>
    <tableColumn id="10417" xr3:uid="{F1A16D43-667F-42C7-B6A0-05DB441E9825}" name="Column10414"/>
    <tableColumn id="10418" xr3:uid="{F1B7E4AF-82F8-4DCF-94A0-E48302B3723A}" name="Column10415"/>
    <tableColumn id="10419" xr3:uid="{2E35CB0D-1454-4621-ADD5-76FB2F42669A}" name="Column10416"/>
    <tableColumn id="10420" xr3:uid="{B2572549-0CE3-4BA4-BBB7-03F0D422F318}" name="Column10417"/>
    <tableColumn id="10421" xr3:uid="{79187B6F-ACB6-41B1-8AF7-20239DD6F822}" name="Column10418"/>
    <tableColumn id="10422" xr3:uid="{65413C10-CE65-4F4C-9F90-CC7382514B92}" name="Column10419"/>
    <tableColumn id="10423" xr3:uid="{40E52BD0-796C-48E8-A27A-9A2165397523}" name="Column10420"/>
    <tableColumn id="10424" xr3:uid="{6B49DFCC-56D3-4EF8-8C7C-0636C103F2D2}" name="Column10421"/>
    <tableColumn id="10425" xr3:uid="{6E99C660-3C3A-4B16-939B-2316DAFE943C}" name="Column10422"/>
    <tableColumn id="10426" xr3:uid="{E9243A90-6B5A-4E96-AD10-66402A80CABD}" name="Column10423"/>
    <tableColumn id="10427" xr3:uid="{101D6C38-2EDF-4C48-9514-1FDD02466302}" name="Column10424"/>
    <tableColumn id="10428" xr3:uid="{D5BE27B1-D9A5-448C-9708-02B1C5F5391E}" name="Column10425"/>
    <tableColumn id="10429" xr3:uid="{FA63B767-C803-424C-9384-DE79D9F1043B}" name="Column10426"/>
    <tableColumn id="10430" xr3:uid="{58903A7B-7730-4592-81D8-7A83918CA90A}" name="Column10427"/>
    <tableColumn id="10431" xr3:uid="{B0631285-9327-4256-A739-57C21AF0AE2A}" name="Column10428"/>
    <tableColumn id="10432" xr3:uid="{08CC9FAE-AB56-4686-90D4-49863D292B07}" name="Column10429"/>
    <tableColumn id="10433" xr3:uid="{E916B88A-0169-4771-98D9-AEC07B400824}" name="Column10430"/>
    <tableColumn id="10434" xr3:uid="{E3DACEB6-8981-40A5-BDBF-70306C1A2804}" name="Column10431"/>
    <tableColumn id="10435" xr3:uid="{61933F17-079E-4915-89CD-ABC30494F6FB}" name="Column10432"/>
    <tableColumn id="10436" xr3:uid="{416C91CF-F774-48D0-A452-0EDB6D3112F7}" name="Column10433"/>
    <tableColumn id="10437" xr3:uid="{ADCFB74D-BB55-4946-871A-A5DAAD2DE1BD}" name="Column10434"/>
    <tableColumn id="10438" xr3:uid="{61A31223-DABA-4C79-9A33-9D704C7B31F3}" name="Column10435"/>
    <tableColumn id="10439" xr3:uid="{9FAAEAD4-7E30-4ED8-947E-BDB7F5788605}" name="Column10436"/>
    <tableColumn id="10440" xr3:uid="{CBB9000D-74D5-42EF-8AEA-A7074249C3F1}" name="Column10437"/>
    <tableColumn id="10441" xr3:uid="{D5CB7045-EAF9-4BB0-BB46-1B65C38332FA}" name="Column10438"/>
    <tableColumn id="10442" xr3:uid="{1EFA34C6-D7CA-4DC2-84BC-1506320B5CE2}" name="Column10439"/>
    <tableColumn id="10443" xr3:uid="{D48691F5-F0B1-4296-BA8E-E61FC4150634}" name="Column10440"/>
    <tableColumn id="10444" xr3:uid="{15D3A0DA-63F4-4987-812F-5AD331A4ADE2}" name="Column10441"/>
    <tableColumn id="10445" xr3:uid="{299852AB-7991-4545-9E2D-9F0824214B0A}" name="Column10442"/>
    <tableColumn id="10446" xr3:uid="{02431DE7-645B-4AF6-8A3D-1A2E56AE961D}" name="Column10443"/>
    <tableColumn id="10447" xr3:uid="{75093BD3-D910-4A8D-AF6A-10A95DB0A1B4}" name="Column10444"/>
    <tableColumn id="10448" xr3:uid="{32A265AD-6DCA-4B1F-9D00-B1D8627E561C}" name="Column10445"/>
    <tableColumn id="10449" xr3:uid="{C5652B14-31B4-42FE-AB0C-12844D654067}" name="Column10446"/>
    <tableColumn id="10450" xr3:uid="{CDD49073-35DE-4986-B7BD-4FC5E5B8137A}" name="Column10447"/>
    <tableColumn id="10451" xr3:uid="{237A71F5-3A1F-4115-B521-23E2E4282FC0}" name="Column10448"/>
    <tableColumn id="10452" xr3:uid="{B43EDBD7-66A6-4BA8-A9BA-2A0CCAF7DC82}" name="Column10449"/>
    <tableColumn id="10453" xr3:uid="{82A6D7DB-158A-493A-B0A8-39F86E913126}" name="Column10450"/>
    <tableColumn id="10454" xr3:uid="{F4877E6C-A938-458E-BCDB-9E5976A000D5}" name="Column10451"/>
    <tableColumn id="10455" xr3:uid="{548E57D8-8C6F-4FA2-9794-83303893122E}" name="Column10452"/>
    <tableColumn id="10456" xr3:uid="{69E80103-7963-46DA-8273-A81533A06E02}" name="Column10453"/>
    <tableColumn id="10457" xr3:uid="{75B43D71-31B1-4B6F-8A65-A36DA2F62A19}" name="Column10454"/>
    <tableColumn id="10458" xr3:uid="{461FBECC-4706-415C-8AC5-17C72ED5EC34}" name="Column10455"/>
    <tableColumn id="10459" xr3:uid="{E83F85B0-22D0-47A8-9619-6BB7DAA3D204}" name="Column10456"/>
    <tableColumn id="10460" xr3:uid="{C3B41CCE-2091-417D-9F79-A643E32A4DE9}" name="Column10457"/>
    <tableColumn id="10461" xr3:uid="{641EE7AE-3077-4E0B-AF98-642CB08DB299}" name="Column10458"/>
    <tableColumn id="10462" xr3:uid="{7C785C44-9739-44E9-BB4C-59184D4C23A5}" name="Column10459"/>
    <tableColumn id="10463" xr3:uid="{A667743E-BF4C-4161-9D67-89D6D48F5262}" name="Column10460"/>
    <tableColumn id="10464" xr3:uid="{071FDFBB-0EE4-4C88-9C48-346CB9971722}" name="Column10461"/>
    <tableColumn id="10465" xr3:uid="{F6BD7B10-A7EC-401E-89F6-7E708816D142}" name="Column10462"/>
    <tableColumn id="10466" xr3:uid="{C98D4E8A-383A-4314-81EF-AA92BFA072B4}" name="Column10463"/>
    <tableColumn id="10467" xr3:uid="{46DABBB8-3959-4AF6-8C80-34AEF62D0ADE}" name="Column10464"/>
    <tableColumn id="10468" xr3:uid="{2782D130-1355-4F6C-8C31-2875B2C670BA}" name="Column10465"/>
    <tableColumn id="10469" xr3:uid="{F29A691E-99C1-4FC4-BA11-5FC734721100}" name="Column10466"/>
    <tableColumn id="10470" xr3:uid="{89E45CA4-894B-4A18-BD2A-DBE082047D3E}" name="Column10467"/>
    <tableColumn id="10471" xr3:uid="{E6B308BB-F718-4EA4-B641-32A852969BEB}" name="Column10468"/>
    <tableColumn id="10472" xr3:uid="{B4D13E09-1DF2-47F6-AB10-894191BFCC6A}" name="Column10469"/>
    <tableColumn id="10473" xr3:uid="{7EA616F9-918F-4BD5-872B-02B6FECEB41A}" name="Column10470"/>
    <tableColumn id="10474" xr3:uid="{D182B5DF-CDC8-4001-9B23-FF9FBF8A779C}" name="Column10471"/>
    <tableColumn id="10475" xr3:uid="{959560D8-1F11-42A4-AE79-22487B9D5EB5}" name="Column10472"/>
    <tableColumn id="10476" xr3:uid="{3D200901-1F9A-4853-8433-E7E9936A1014}" name="Column10473"/>
    <tableColumn id="10477" xr3:uid="{CC66C008-E31B-45D1-8B7E-ABEFC196B9AB}" name="Column10474"/>
    <tableColumn id="10478" xr3:uid="{2B0F7AD2-95B4-4FE4-B271-477B95F2A4D1}" name="Column10475"/>
    <tableColumn id="10479" xr3:uid="{51CA2E17-E56C-49D9-A85A-20DEC532C419}" name="Column10476"/>
    <tableColumn id="10480" xr3:uid="{DCBEB563-9917-4799-9BE8-35CAC90504E9}" name="Column10477"/>
    <tableColumn id="10481" xr3:uid="{C0E4E0F0-1877-4EF9-A796-428826DEC656}" name="Column10478"/>
    <tableColumn id="10482" xr3:uid="{86024DC2-5829-4434-99A2-7641BDBAE45A}" name="Column10479"/>
    <tableColumn id="10483" xr3:uid="{C9181D2F-3C73-4863-A4BB-D5265176EB91}" name="Column10480"/>
    <tableColumn id="10484" xr3:uid="{FA9D1967-0C48-4E1F-96EA-080F5B34DCD1}" name="Column10481"/>
    <tableColumn id="10485" xr3:uid="{56517F35-EDE1-4430-BAE6-6733EF364B50}" name="Column10482"/>
    <tableColumn id="10486" xr3:uid="{63749B21-EE22-423B-ABCA-7187489B0091}" name="Column10483"/>
    <tableColumn id="10487" xr3:uid="{3E6F688A-C16B-4234-9EE0-7BA9C17FE93C}" name="Column10484"/>
    <tableColumn id="10488" xr3:uid="{86CDA93B-034E-4299-9074-59D71F02B7C5}" name="Column10485"/>
    <tableColumn id="10489" xr3:uid="{DA79580E-0720-47FF-A23C-53A5A8AC923C}" name="Column10486"/>
    <tableColumn id="10490" xr3:uid="{D9652EC4-FF98-451C-9F6A-0555C5D39056}" name="Column10487"/>
    <tableColumn id="10491" xr3:uid="{E1EF87C9-AFD5-41CA-8BA4-18346D54ACE9}" name="Column10488"/>
    <tableColumn id="10492" xr3:uid="{987C9187-63C7-4688-AF3E-C4F7B72DA7A6}" name="Column10489"/>
    <tableColumn id="10493" xr3:uid="{D9894787-EF99-453E-9431-42DE4A4CFDFD}" name="Column10490"/>
    <tableColumn id="10494" xr3:uid="{E0362B4F-6EB5-4961-827E-FCBC5A7ED568}" name="Column10491"/>
    <tableColumn id="10495" xr3:uid="{FFEA663B-69B8-4A84-A358-4DEBA7F9830A}" name="Column10492"/>
    <tableColumn id="10496" xr3:uid="{7296CDD2-356C-4932-A9C9-471CD40C671F}" name="Column10493"/>
    <tableColumn id="10497" xr3:uid="{EFB2584E-6450-4C1E-9BD5-ED6E36D05736}" name="Column10494"/>
    <tableColumn id="10498" xr3:uid="{9A3E4882-0A21-4170-A578-43B8C9FE28BC}" name="Column10495"/>
    <tableColumn id="10499" xr3:uid="{2CB72BD0-1C7F-4571-A85B-8C5B6A925952}" name="Column10496"/>
    <tableColumn id="10500" xr3:uid="{91E4DFBC-1909-4CA9-95C8-6F835D2FC58C}" name="Column10497"/>
    <tableColumn id="10501" xr3:uid="{5B969FA9-4058-4DF4-A2F5-CE0AEBC03E96}" name="Column10498"/>
    <tableColumn id="10502" xr3:uid="{CA66E655-A8C6-4941-AC82-93E7E21C1BDB}" name="Column10499"/>
    <tableColumn id="10503" xr3:uid="{2EC01F74-CAD4-400F-9938-DB2AB8DDB673}" name="Column10500"/>
    <tableColumn id="10504" xr3:uid="{0F9E068A-2F3E-4C2D-B461-C20ED8566AA9}" name="Column10501"/>
    <tableColumn id="10505" xr3:uid="{4C9E42A4-74D8-4AB0-AAD4-A1F3357F6933}" name="Column10502"/>
    <tableColumn id="10506" xr3:uid="{79DA58C9-5394-4E13-9A91-4DFA33C2BB2A}" name="Column10503"/>
    <tableColumn id="10507" xr3:uid="{4FF1B75A-B3E2-4F5C-B56B-3A212347F3D7}" name="Column10504"/>
    <tableColumn id="10508" xr3:uid="{A1EF3047-F6EA-473D-B737-D25500E56888}" name="Column10505"/>
    <tableColumn id="10509" xr3:uid="{A3B8D21E-0A8A-4EC7-BBFC-DB8869E2874E}" name="Column10506"/>
    <tableColumn id="10510" xr3:uid="{5BEAEFEE-9B47-4650-8783-5661AB4A3CBD}" name="Column10507"/>
    <tableColumn id="10511" xr3:uid="{BE7612C4-54A1-4724-A3A3-AFCD4981DE0A}" name="Column10508"/>
    <tableColumn id="10512" xr3:uid="{98A7366D-257A-4002-906F-8405D21DB264}" name="Column10509"/>
    <tableColumn id="10513" xr3:uid="{BFDC72B6-6273-4C60-B93B-6CFBE4651A24}" name="Column10510"/>
    <tableColumn id="10514" xr3:uid="{7011A1FA-6B8C-4650-96A1-EC59597A9ABF}" name="Column10511"/>
    <tableColumn id="10515" xr3:uid="{AF164537-BCD5-470D-BA1D-3BF067244986}" name="Column10512"/>
    <tableColumn id="10516" xr3:uid="{6F572865-B318-4F57-9741-E996EB1D5701}" name="Column10513"/>
    <tableColumn id="10517" xr3:uid="{1D63BE8F-AAFC-4840-B50D-05F56BF02A5D}" name="Column10514"/>
    <tableColumn id="10518" xr3:uid="{F08A8861-8B5D-4C7F-B853-B74B1D549049}" name="Column10515"/>
    <tableColumn id="10519" xr3:uid="{C70B8E87-8916-447A-8AF1-61AFC2F821DC}" name="Column10516"/>
    <tableColumn id="10520" xr3:uid="{D0E259F3-8C77-4106-800D-EA3AB3988C2A}" name="Column10517"/>
    <tableColumn id="10521" xr3:uid="{67C68E61-8824-471F-874C-16BA31EC76B3}" name="Column10518"/>
    <tableColumn id="10522" xr3:uid="{1972F0B5-920B-4121-9DC3-CE36318A8756}" name="Column10519"/>
    <tableColumn id="10523" xr3:uid="{AB4A166E-13F5-4F3A-8671-1E2CEF330A51}" name="Column10520"/>
    <tableColumn id="10524" xr3:uid="{BDA51E81-8A79-4CAD-BC54-10F31F48E462}" name="Column10521"/>
    <tableColumn id="10525" xr3:uid="{A2037675-2660-451C-8C1C-7B4219CB971B}" name="Column10522"/>
    <tableColumn id="10526" xr3:uid="{5BD1F790-7351-4EB8-978F-855ECB7B01E5}" name="Column10523"/>
    <tableColumn id="10527" xr3:uid="{73DD012B-BF9A-43CC-BC06-A66788B9A23F}" name="Column10524"/>
    <tableColumn id="10528" xr3:uid="{F7AA3D44-1BED-4146-995D-67FEEA306EFE}" name="Column10525"/>
    <tableColumn id="10529" xr3:uid="{AD39EB35-55EC-4649-A2ED-B3156BAAA23A}" name="Column10526"/>
    <tableColumn id="10530" xr3:uid="{55E1E2CB-10B8-4665-ACDC-CDC134A89512}" name="Column10527"/>
    <tableColumn id="10531" xr3:uid="{A1D61241-0984-4CFC-B032-7909D4A5967D}" name="Column10528"/>
    <tableColumn id="10532" xr3:uid="{8F49424A-6806-456E-A952-9E447C2BC0B1}" name="Column10529"/>
    <tableColumn id="10533" xr3:uid="{641531C4-A4CE-4773-9255-551372E77D66}" name="Column10530"/>
    <tableColumn id="10534" xr3:uid="{90B5E86F-8663-4479-9C9E-EE4D71CC3F99}" name="Column10531"/>
    <tableColumn id="10535" xr3:uid="{CC6A3D2D-EC3E-4DEB-8010-EAB2FC25B949}" name="Column10532"/>
    <tableColumn id="10536" xr3:uid="{A0B1AB14-E71B-42A0-8125-9F71C88E783B}" name="Column10533"/>
    <tableColumn id="10537" xr3:uid="{C826C910-BA76-43C4-A7B8-BB239301B0E4}" name="Column10534"/>
    <tableColumn id="10538" xr3:uid="{A62C7D38-E6C6-4298-8E90-397C88CEA2EA}" name="Column10535"/>
    <tableColumn id="10539" xr3:uid="{CA1CF6CA-DF03-4D11-934C-C91ADA879642}" name="Column10536"/>
    <tableColumn id="10540" xr3:uid="{FFA1D9BB-DE30-4EF1-8BD7-3AAFCE84CFE9}" name="Column10537"/>
    <tableColumn id="10541" xr3:uid="{BE96C77A-BD40-4A8A-8FFB-CFAFC4C662F5}" name="Column10538"/>
    <tableColumn id="10542" xr3:uid="{843CEA80-8185-444C-AEE2-CE3CF9FED2E4}" name="Column10539"/>
    <tableColumn id="10543" xr3:uid="{D78FE8FF-C570-46C3-91B2-7ADB833D3BAF}" name="Column10540"/>
    <tableColumn id="10544" xr3:uid="{91C1BB80-5C94-42A1-8D83-453AF7A34734}" name="Column10541"/>
    <tableColumn id="10545" xr3:uid="{3D8702A6-FADF-42D0-B32E-ACB3DD236FC8}" name="Column10542"/>
    <tableColumn id="10546" xr3:uid="{AD1E032D-AF12-4694-91C9-D15510A5542C}" name="Column10543"/>
    <tableColumn id="10547" xr3:uid="{559F6ECA-B4EE-4C52-AD93-5030CFDE39E9}" name="Column10544"/>
    <tableColumn id="10548" xr3:uid="{455BF74C-895E-4AC6-B98E-878D79DED423}" name="Column10545"/>
    <tableColumn id="10549" xr3:uid="{DA5F53A8-8DD6-4385-B197-0364334079CA}" name="Column10546"/>
    <tableColumn id="10550" xr3:uid="{D3CF2CD1-47DC-4461-AB2A-0F21CDDEBFE1}" name="Column10547"/>
    <tableColumn id="10551" xr3:uid="{B21D7AA2-870F-440C-8DDB-270B11EF5DA2}" name="Column10548"/>
    <tableColumn id="10552" xr3:uid="{2D7F0001-71E2-4C14-969D-15132FF7C59A}" name="Column10549"/>
    <tableColumn id="10553" xr3:uid="{54A86388-E277-4127-A191-8D1329CAEEA1}" name="Column10550"/>
    <tableColumn id="10554" xr3:uid="{DCC67D1A-A223-444B-B422-155FFE6B8F5A}" name="Column10551"/>
    <tableColumn id="10555" xr3:uid="{7B289792-BA5A-4B7B-ABBC-46D790F79008}" name="Column10552"/>
    <tableColumn id="10556" xr3:uid="{B2AC8C5F-115A-487B-991A-6E4B71C8F6E7}" name="Column10553"/>
    <tableColumn id="10557" xr3:uid="{95AB3F45-44EC-42D6-8823-E73E7572F197}" name="Column10554"/>
    <tableColumn id="10558" xr3:uid="{728907C2-2246-401A-ACEB-21B25E4E4261}" name="Column10555"/>
    <tableColumn id="10559" xr3:uid="{12643536-BE9F-4D37-A581-CC518B5ED4BB}" name="Column10556"/>
    <tableColumn id="10560" xr3:uid="{D0B22471-52D3-4577-9D16-1FF811C45FA8}" name="Column10557"/>
    <tableColumn id="10561" xr3:uid="{A4BA000A-4A30-4D24-8FBE-0A97DDD3479C}" name="Column10558"/>
    <tableColumn id="10562" xr3:uid="{EB65E587-752D-4C8C-A85F-63229DAE039D}" name="Column10559"/>
    <tableColumn id="10563" xr3:uid="{026C81D0-09D4-4FDE-A6D3-DA16F71B082D}" name="Column10560"/>
    <tableColumn id="10564" xr3:uid="{17D4FF00-D68C-4B32-9D91-2587FC5B1E69}" name="Column10561"/>
    <tableColumn id="10565" xr3:uid="{E4B3C7F7-C231-4E66-8B97-26688CA78509}" name="Column10562"/>
    <tableColumn id="10566" xr3:uid="{98A3DDAB-F66E-4FE1-ACA5-7485B5B6BE13}" name="Column10563"/>
    <tableColumn id="10567" xr3:uid="{4ECAFE2E-6272-4CA0-BA18-137A674D7960}" name="Column10564"/>
    <tableColumn id="10568" xr3:uid="{99BBE9FA-BC36-4432-8D48-4F2E5FFA42FC}" name="Column10565"/>
    <tableColumn id="10569" xr3:uid="{B614EEE2-DAE3-4B14-88DB-95DB64ACC14C}" name="Column10566"/>
    <tableColumn id="10570" xr3:uid="{E9E938A4-A7FA-47D2-A4AC-03CEFDB88109}" name="Column10567"/>
    <tableColumn id="10571" xr3:uid="{2C408031-8E3B-4AFB-8F6F-46BC53322B5B}" name="Column10568"/>
    <tableColumn id="10572" xr3:uid="{2EE62E9F-1691-44CF-8A71-3C4FC18AA2CA}" name="Column10569"/>
    <tableColumn id="10573" xr3:uid="{F711AEEB-C922-4829-B98A-C8B11027C830}" name="Column10570"/>
    <tableColumn id="10574" xr3:uid="{7B5D41BC-C2DD-4DDA-8677-6B32E060EE31}" name="Column10571"/>
    <tableColumn id="10575" xr3:uid="{B1666DEB-CEF7-42D7-AB37-99FD1FC66AC0}" name="Column10572"/>
    <tableColumn id="10576" xr3:uid="{92A78115-6A46-4FD4-9050-A89A0C2F0DD9}" name="Column10573"/>
    <tableColumn id="10577" xr3:uid="{090B1EC6-3182-4C0F-A57F-D6450B50FFAA}" name="Column10574"/>
    <tableColumn id="10578" xr3:uid="{E2EB58AA-E9E1-42CA-902B-CB40B73DFAD1}" name="Column10575"/>
    <tableColumn id="10579" xr3:uid="{E48957DA-E839-409D-B7E6-9FF998437ED4}" name="Column10576"/>
    <tableColumn id="10580" xr3:uid="{EA4835C9-1609-454C-88FA-498E875BCBAD}" name="Column10577"/>
    <tableColumn id="10581" xr3:uid="{851F87FA-FC01-43E7-ACB2-7B88629660BF}" name="Column10578"/>
    <tableColumn id="10582" xr3:uid="{45D3A38A-DD65-48A2-8E71-A8160BA87F40}" name="Column10579"/>
    <tableColumn id="10583" xr3:uid="{F962C0CC-D300-47E9-B582-24EAA126A5A5}" name="Column10580"/>
    <tableColumn id="10584" xr3:uid="{8F3D6370-8BE7-42B6-A542-330256EB3394}" name="Column10581"/>
    <tableColumn id="10585" xr3:uid="{3BC2F1B5-11AC-4D50-AD30-F1D6273B779D}" name="Column10582"/>
    <tableColumn id="10586" xr3:uid="{FAB0481C-3D24-4040-B184-3F7512247CA6}" name="Column10583"/>
    <tableColumn id="10587" xr3:uid="{F15FE227-DB3D-4375-985B-14FEB5A3E7C1}" name="Column10584"/>
    <tableColumn id="10588" xr3:uid="{841B6715-940A-46DE-B1D3-97A18AEB101D}" name="Column10585"/>
    <tableColumn id="10589" xr3:uid="{4067D026-331A-4441-B418-1B4964299B8F}" name="Column10586"/>
    <tableColumn id="10590" xr3:uid="{EA543C54-FBF2-4B74-9C02-98FD4A01C8B6}" name="Column10587"/>
    <tableColumn id="10591" xr3:uid="{6E367E33-DABD-411A-9F4F-2E99718997F8}" name="Column10588"/>
    <tableColumn id="10592" xr3:uid="{93261ACD-D7DD-4E74-BE89-FD0B2254D53D}" name="Column10589"/>
    <tableColumn id="10593" xr3:uid="{5FA689E5-3228-4458-ABFE-FA6011C40234}" name="Column10590"/>
    <tableColumn id="10594" xr3:uid="{34AFDB68-0645-4D63-AA7B-D5FD5A94F67A}" name="Column10591"/>
    <tableColumn id="10595" xr3:uid="{D7D49995-3CC2-4DFD-9546-F0BA2B443E98}" name="Column10592"/>
    <tableColumn id="10596" xr3:uid="{9A8ADC8D-545C-4AD9-8EF8-35E680A7C6ED}" name="Column10593"/>
    <tableColumn id="10597" xr3:uid="{2B762D65-0191-4D37-A3BC-AD356E6FF088}" name="Column10594"/>
    <tableColumn id="10598" xr3:uid="{BF30C684-36CF-477F-95B6-EBEBBE7FC928}" name="Column10595"/>
    <tableColumn id="10599" xr3:uid="{492B0004-8B7E-4D97-9004-E76E6BF2EFAF}" name="Column10596"/>
    <tableColumn id="10600" xr3:uid="{1CE24602-384A-4774-A74F-E72DC8D8D996}" name="Column10597"/>
    <tableColumn id="10601" xr3:uid="{91F06D3F-782E-4127-9BD1-6ACC4E5F4504}" name="Column10598"/>
    <tableColumn id="10602" xr3:uid="{B74CE59C-3DD3-4E6F-8FA7-A74C078476D5}" name="Column10599"/>
    <tableColumn id="10603" xr3:uid="{C301FB9C-8740-4DA8-9FA5-7A2A75A9A82A}" name="Column10600"/>
    <tableColumn id="10604" xr3:uid="{2E92AC31-5A73-4428-81DA-32452131F5DF}" name="Column10601"/>
    <tableColumn id="10605" xr3:uid="{5373B12E-343B-4704-BD24-BB9970C99618}" name="Column10602"/>
    <tableColumn id="10606" xr3:uid="{FD1AF9DF-691C-4B48-893C-0089D2F2C629}" name="Column10603"/>
    <tableColumn id="10607" xr3:uid="{9DE500CF-C174-43DF-915F-6EA07E5A513F}" name="Column10604"/>
    <tableColumn id="10608" xr3:uid="{BB7880C7-275D-4505-A1DA-A6CC2824A9D1}" name="Column10605"/>
    <tableColumn id="10609" xr3:uid="{A2890B0B-4FF0-487D-A774-66C3B7BEF155}" name="Column10606"/>
    <tableColumn id="10610" xr3:uid="{0E64186C-BF29-4D96-BA2A-7930CA40D9AB}" name="Column10607"/>
    <tableColumn id="10611" xr3:uid="{0817E75B-D6F2-4D6E-88C1-F2FD3451AEF8}" name="Column10608"/>
    <tableColumn id="10612" xr3:uid="{79C5DBAF-F9EC-411F-BB62-B493BEDF1C36}" name="Column10609"/>
    <tableColumn id="10613" xr3:uid="{A2CE5B9D-9FEC-4983-BB94-2162CE8B5E34}" name="Column10610"/>
    <tableColumn id="10614" xr3:uid="{858ACEB4-F372-4408-B876-86C8F0C16999}" name="Column10611"/>
    <tableColumn id="10615" xr3:uid="{342474F1-D99C-41BF-857E-60DE75D98EB5}" name="Column10612"/>
    <tableColumn id="10616" xr3:uid="{2EED8B36-03A1-4343-84FF-9409D25B3DF1}" name="Column10613"/>
    <tableColumn id="10617" xr3:uid="{A22CA814-7941-48E5-B97D-EC04FF60F177}" name="Column10614"/>
    <tableColumn id="10618" xr3:uid="{C4C4A6FB-EE27-4922-8F1D-14C1815CC5BC}" name="Column10615"/>
    <tableColumn id="10619" xr3:uid="{A8F05FF2-CCF8-439E-A936-BB6A3E537BF4}" name="Column10616"/>
    <tableColumn id="10620" xr3:uid="{46CBB385-1DDC-48A0-8F24-B489872A386D}" name="Column10617"/>
    <tableColumn id="10621" xr3:uid="{B026C747-35C0-4143-9F57-A4B396BBEF16}" name="Column10618"/>
    <tableColumn id="10622" xr3:uid="{EA7C1E9E-1BA9-4556-B14B-3C68FBD4F500}" name="Column10619"/>
    <tableColumn id="10623" xr3:uid="{48072CBC-D98C-4D9E-877C-FD31BE084D58}" name="Column10620"/>
    <tableColumn id="10624" xr3:uid="{B2424B7C-2E4C-4CF1-A407-B56E999BC4C0}" name="Column10621"/>
    <tableColumn id="10625" xr3:uid="{9072A16D-6D5A-42C4-A9E6-D63E0CDE0512}" name="Column10622"/>
    <tableColumn id="10626" xr3:uid="{982DEF0D-A572-4E9B-955F-D439CD42479E}" name="Column10623"/>
    <tableColumn id="10627" xr3:uid="{C46CE3F4-FEAF-4E14-8A91-16AA7FA8BC06}" name="Column10624"/>
    <tableColumn id="10628" xr3:uid="{9D29AA38-9C3F-421F-A843-37C9E5494076}" name="Column10625"/>
    <tableColumn id="10629" xr3:uid="{59B70CD2-2D1B-4FC0-8D6D-8E0741BCACF4}" name="Column10626"/>
    <tableColumn id="10630" xr3:uid="{7F54301F-030D-4DBD-B637-A8E255F9E9B9}" name="Column10627"/>
    <tableColumn id="10631" xr3:uid="{01EF54EF-9118-49DF-B38A-2D4797B90F0B}" name="Column10628"/>
    <tableColumn id="10632" xr3:uid="{535832D0-A8E2-4135-AA02-5BBE292BEE04}" name="Column10629"/>
    <tableColumn id="10633" xr3:uid="{5BECD01E-34A6-4DF9-AD85-12474BE4B449}" name="Column10630"/>
    <tableColumn id="10634" xr3:uid="{DBDEE8A3-CD17-4A71-8BF0-FC91A5A9F53B}" name="Column10631"/>
    <tableColumn id="10635" xr3:uid="{A198E421-8550-4EA5-8D0E-6ABB3ADD0D99}" name="Column10632"/>
    <tableColumn id="10636" xr3:uid="{468FA08D-A2F3-4E66-912A-9E75AB3CBA8E}" name="Column10633"/>
    <tableColumn id="10637" xr3:uid="{33C9EC1A-F670-477C-A81D-32293EC077B2}" name="Column10634"/>
    <tableColumn id="10638" xr3:uid="{97644DB6-E943-4889-9CAF-BB5CD1E77D7E}" name="Column10635"/>
    <tableColumn id="10639" xr3:uid="{828FB4DF-F62F-466B-8A7C-0A1B5F8C174F}" name="Column10636"/>
    <tableColumn id="10640" xr3:uid="{C0F067FC-FDB7-412D-870F-4C8F0D8B5806}" name="Column10637"/>
    <tableColumn id="10641" xr3:uid="{2D591617-FA58-41C2-9C75-8C93B6E9F113}" name="Column10638"/>
    <tableColumn id="10642" xr3:uid="{38892DA8-57D7-4B59-BDDD-C7E851869B48}" name="Column10639"/>
    <tableColumn id="10643" xr3:uid="{10FBC24F-BE5A-4201-8C11-0100E9227BBD}" name="Column10640"/>
    <tableColumn id="10644" xr3:uid="{DE11A44C-4870-4774-8768-362BA506370B}" name="Column10641"/>
    <tableColumn id="10645" xr3:uid="{EA9D2768-E088-4FF2-B15A-236C636C0581}" name="Column10642"/>
    <tableColumn id="10646" xr3:uid="{9DDCA66F-8BC6-47E6-B0AC-A403F9C12874}" name="Column10643"/>
    <tableColumn id="10647" xr3:uid="{0BE5D3E4-942D-48F9-871B-F9D995AEAA16}" name="Column10644"/>
    <tableColumn id="10648" xr3:uid="{8686A072-A63B-45EC-9CA7-DEC918A77FD8}" name="Column10645"/>
    <tableColumn id="10649" xr3:uid="{152CFEAB-5885-4C8A-81D7-FB93FC252D2A}" name="Column10646"/>
    <tableColumn id="10650" xr3:uid="{93FF623A-927A-44E5-907B-3908C4728F19}" name="Column10647"/>
    <tableColumn id="10651" xr3:uid="{C0CEDA5D-CD26-4769-B3A4-3A38F46B7EBE}" name="Column10648"/>
    <tableColumn id="10652" xr3:uid="{EB8A81DB-3A1E-4CBD-928E-762FEF248344}" name="Column10649"/>
    <tableColumn id="10653" xr3:uid="{BF617C2D-729D-45A2-9D51-7D5DF42DFED8}" name="Column10650"/>
    <tableColumn id="10654" xr3:uid="{DB684BAE-4D8C-4593-85E8-7D6AD51DEF54}" name="Column10651"/>
    <tableColumn id="10655" xr3:uid="{B2D2761F-13FA-4E25-8EBD-1137E9761606}" name="Column10652"/>
    <tableColumn id="10656" xr3:uid="{EAB8260F-501A-4D93-917F-CE0F2681F223}" name="Column10653"/>
    <tableColumn id="10657" xr3:uid="{73180181-0A3D-4A06-AEBA-075AF15444C4}" name="Column10654"/>
    <tableColumn id="10658" xr3:uid="{E70E3710-CB79-4844-B34D-E516D1DB291D}" name="Column10655"/>
    <tableColumn id="10659" xr3:uid="{F1D5951E-C26C-4E03-818E-50B20FB3F9B0}" name="Column10656"/>
    <tableColumn id="10660" xr3:uid="{8FC3F4B6-8348-47A6-9CD1-D2F9C81DCD13}" name="Column10657"/>
    <tableColumn id="10661" xr3:uid="{0606EEB6-69CA-4373-A6E5-0EC112CAD01A}" name="Column10658"/>
    <tableColumn id="10662" xr3:uid="{74560698-9128-41A2-9F41-31CE72C561A0}" name="Column10659"/>
    <tableColumn id="10663" xr3:uid="{74BA2721-00B4-4CCD-A230-8158AFEB7391}" name="Column10660"/>
    <tableColumn id="10664" xr3:uid="{97604A9A-3EB8-4271-A360-AA9922C395CB}" name="Column10661"/>
    <tableColumn id="10665" xr3:uid="{9913794A-F867-4C11-9C31-2FB9BE14EE73}" name="Column10662"/>
    <tableColumn id="10666" xr3:uid="{0628FCD6-6DBD-4783-B21B-22CF14DA2D3C}" name="Column10663"/>
    <tableColumn id="10667" xr3:uid="{69FB3A95-1B80-45D8-B138-978AD40EDCF4}" name="Column10664"/>
    <tableColumn id="10668" xr3:uid="{C0012CC7-BE20-4487-9043-9E8E33455029}" name="Column10665"/>
    <tableColumn id="10669" xr3:uid="{D47B6031-8357-4DAF-875B-F8639C8DB031}" name="Column10666"/>
    <tableColumn id="10670" xr3:uid="{133369D8-DA1D-4262-A868-4A24556D8F3E}" name="Column10667"/>
    <tableColumn id="10671" xr3:uid="{E0E67DCF-4629-48B3-9A8E-4232AADE0FE9}" name="Column10668"/>
    <tableColumn id="10672" xr3:uid="{0B21E800-F078-403C-B8C9-757440AFA505}" name="Column10669"/>
    <tableColumn id="10673" xr3:uid="{6D6F338B-9552-4643-9137-86986CFE5E03}" name="Column10670"/>
    <tableColumn id="10674" xr3:uid="{683783D5-7B9D-4F96-99E4-7494A9A7BF6B}" name="Column10671"/>
    <tableColumn id="10675" xr3:uid="{A4EE960B-E9EE-48B2-A8E9-42BA72E85E92}" name="Column10672"/>
    <tableColumn id="10676" xr3:uid="{1C64B8E3-9184-4828-A316-04BBB4BF94AF}" name="Column10673"/>
    <tableColumn id="10677" xr3:uid="{4CB55FC7-DBB4-4EA1-A3CB-99214FB0D058}" name="Column10674"/>
    <tableColumn id="10678" xr3:uid="{795AFAD7-15CF-4562-908F-55DDBC099325}" name="Column10675"/>
    <tableColumn id="10679" xr3:uid="{44D37828-356F-49BF-B014-4A0D0BD48209}" name="Column10676"/>
    <tableColumn id="10680" xr3:uid="{3CBE88C0-7DF5-473C-8D9E-8ECEF54A7325}" name="Column10677"/>
    <tableColumn id="10681" xr3:uid="{3674852C-6E9B-427D-B693-3DB98B7BAD1B}" name="Column10678"/>
    <tableColumn id="10682" xr3:uid="{E03D8E57-8BFE-4E93-8B32-34B68166850B}" name="Column10679"/>
    <tableColumn id="10683" xr3:uid="{FB9FECB2-771C-4E9A-9B7C-0F99367AF9F6}" name="Column10680"/>
    <tableColumn id="10684" xr3:uid="{DC40EA6C-D8BF-4FCC-846A-F525873A49D2}" name="Column10681"/>
    <tableColumn id="10685" xr3:uid="{E4C4A7CB-E3AB-4568-B989-34BD0332F0AE}" name="Column10682"/>
    <tableColumn id="10686" xr3:uid="{DCBEFA38-8946-4B8F-908B-510B92E75C5E}" name="Column10683"/>
    <tableColumn id="10687" xr3:uid="{B7BC0FF3-6038-4FBC-BC1E-E5697BDA9CB2}" name="Column10684"/>
    <tableColumn id="10688" xr3:uid="{51DF9865-7B45-48BE-A387-DF6FA4F3E894}" name="Column10685"/>
    <tableColumn id="10689" xr3:uid="{15ACE798-C5D4-43D3-85C9-62FD08D50DB6}" name="Column10686"/>
    <tableColumn id="10690" xr3:uid="{0E0FF08B-3CAC-42FE-B57C-E4A7A8796117}" name="Column10687"/>
    <tableColumn id="10691" xr3:uid="{5D88399D-343B-4383-8373-AC94D63028BC}" name="Column10688"/>
    <tableColumn id="10692" xr3:uid="{B4A66621-7148-4A88-8ECF-FB7C9F0508AD}" name="Column10689"/>
    <tableColumn id="10693" xr3:uid="{4FA59B5D-E3ED-48DF-8818-E80A884313FF}" name="Column10690"/>
    <tableColumn id="10694" xr3:uid="{4877D02C-D8EC-47DC-8150-24D190209246}" name="Column10691"/>
    <tableColumn id="10695" xr3:uid="{6BC2EB40-5148-428E-87FF-5471D9BCCBD9}" name="Column10692"/>
    <tableColumn id="10696" xr3:uid="{35C2A419-E29B-4485-A127-D99FEDF2DBBC}" name="Column10693"/>
    <tableColumn id="10697" xr3:uid="{2874D5CB-B565-4840-90AD-F30564579CA8}" name="Column10694"/>
    <tableColumn id="10698" xr3:uid="{4ABF3DD7-92B4-4AF2-A93A-E86606BE3B89}" name="Column10695"/>
    <tableColumn id="10699" xr3:uid="{0D181D93-6B08-406B-A4AA-A12A9F98DBE6}" name="Column10696"/>
    <tableColumn id="10700" xr3:uid="{5A79C3DD-A2B9-48CA-9A96-508B0D2F6AFA}" name="Column10697"/>
    <tableColumn id="10701" xr3:uid="{4D645022-1CCE-43F3-8FE6-A8B2D6123222}" name="Column10698"/>
    <tableColumn id="10702" xr3:uid="{EE664BA2-6D5C-4BAF-8AE7-225C8F970428}" name="Column10699"/>
    <tableColumn id="10703" xr3:uid="{68A86AC8-8470-4280-826E-CA8618BD6E71}" name="Column10700"/>
    <tableColumn id="10704" xr3:uid="{79BD9F3D-9A35-4B9F-A922-975D6BF43941}" name="Column10701"/>
    <tableColumn id="10705" xr3:uid="{FE81D2F7-AEE3-4B75-90FB-F3EF70838E5D}" name="Column10702"/>
    <tableColumn id="10706" xr3:uid="{0E053909-49A1-4B69-8DE2-0186B9457E3F}" name="Column10703"/>
    <tableColumn id="10707" xr3:uid="{E325F137-65EC-413F-B909-664134CF8DBE}" name="Column10704"/>
    <tableColumn id="10708" xr3:uid="{2D3328CE-2525-402E-B134-F8920B91D807}" name="Column10705"/>
    <tableColumn id="10709" xr3:uid="{5E5B1E60-B0AB-49BA-AC2A-8D849BE11226}" name="Column10706"/>
    <tableColumn id="10710" xr3:uid="{4EEE5903-A8A3-43E3-9421-0F06CAD9164D}" name="Column10707"/>
    <tableColumn id="10711" xr3:uid="{61A4984A-9A3D-4348-83CE-68AF6248784C}" name="Column10708"/>
    <tableColumn id="10712" xr3:uid="{488D285E-DEA5-4C75-8597-56387BD8181A}" name="Column10709"/>
    <tableColumn id="10713" xr3:uid="{C70795CC-3AE7-475B-889D-6DDAE0A1A337}" name="Column10710"/>
    <tableColumn id="10714" xr3:uid="{184E5058-B538-43CC-80B1-B0E3AF4B974E}" name="Column10711"/>
    <tableColumn id="10715" xr3:uid="{D2DB0AC3-2691-4619-9377-E798B9D13796}" name="Column10712"/>
    <tableColumn id="10716" xr3:uid="{9E966901-8888-49D4-80E4-57841768D317}" name="Column10713"/>
    <tableColumn id="10717" xr3:uid="{2CE60198-757D-4227-9040-997F65CAC2BA}" name="Column10714"/>
    <tableColumn id="10718" xr3:uid="{92917C38-C601-4717-BCEF-7092AE5420DC}" name="Column10715"/>
    <tableColumn id="10719" xr3:uid="{1C85A4D6-CC5B-40E4-BC36-02473BF8F8E1}" name="Column10716"/>
    <tableColumn id="10720" xr3:uid="{3081732C-BA08-4AE0-B38F-26FFC778DB8E}" name="Column10717"/>
    <tableColumn id="10721" xr3:uid="{EBF8D1E3-0FBD-490D-BCCF-664141C6D282}" name="Column10718"/>
    <tableColumn id="10722" xr3:uid="{5C61BE92-86B6-423F-8223-6C022502D453}" name="Column10719"/>
    <tableColumn id="10723" xr3:uid="{7B3E7FE9-B8B2-45AD-8B6D-54E13B52D9A1}" name="Column10720"/>
    <tableColumn id="10724" xr3:uid="{E0653905-43FF-48B4-9A1C-8E1369E4B9BC}" name="Column10721"/>
    <tableColumn id="10725" xr3:uid="{FF20CF51-2938-415F-B69F-FFFBC6A72AE5}" name="Column10722"/>
    <tableColumn id="10726" xr3:uid="{88097240-E47D-4268-92BA-B7EBF1602ADD}" name="Column10723"/>
    <tableColumn id="10727" xr3:uid="{A6AC8276-948C-498F-A1A6-49063B33F79D}" name="Column10724"/>
    <tableColumn id="10728" xr3:uid="{04695695-1E03-47D3-92F2-07473AA8A220}" name="Column10725"/>
    <tableColumn id="10729" xr3:uid="{03D264C0-AA4B-44E3-81E7-51A3CA257895}" name="Column10726"/>
    <tableColumn id="10730" xr3:uid="{D78F3A39-E629-42C0-81BD-994412F98B04}" name="Column10727"/>
    <tableColumn id="10731" xr3:uid="{B35C5671-F8FC-49B9-9518-E12EC7081528}" name="Column10728"/>
    <tableColumn id="10732" xr3:uid="{E59C297E-32FD-4BBB-93C7-177E27ED9F41}" name="Column10729"/>
    <tableColumn id="10733" xr3:uid="{AC9B4EBF-B509-4248-B3A0-2C24A3EA8B97}" name="Column10730"/>
    <tableColumn id="10734" xr3:uid="{F648F312-4242-4958-9AF7-94C3DAEC6C27}" name="Column10731"/>
    <tableColumn id="10735" xr3:uid="{B5E09811-02B4-441A-8A2F-292070B4D538}" name="Column10732"/>
    <tableColumn id="10736" xr3:uid="{8D607B9F-D425-4B67-8CE9-47ECD12984D8}" name="Column10733"/>
    <tableColumn id="10737" xr3:uid="{EB1504E5-4E56-4804-8114-4430C7DF0EB8}" name="Column10734"/>
    <tableColumn id="10738" xr3:uid="{2A3FAEF5-9A8A-4B4A-AD9A-1516F6825041}" name="Column10735"/>
    <tableColumn id="10739" xr3:uid="{07920971-B358-48B1-9320-867559B69015}" name="Column10736"/>
    <tableColumn id="10740" xr3:uid="{B008C7D4-2447-4E16-BE3A-E3A576E4DAF9}" name="Column10737"/>
    <tableColumn id="10741" xr3:uid="{23C85601-4DA5-408B-AA24-9F972DFC9C4A}" name="Column10738"/>
    <tableColumn id="10742" xr3:uid="{7D961DC9-7811-4DB6-AADE-8B3D936A706E}" name="Column10739"/>
    <tableColumn id="10743" xr3:uid="{47283BFF-FB60-48E9-9076-DCBF56D4E0F6}" name="Column10740"/>
    <tableColumn id="10744" xr3:uid="{4444F2F6-5B7E-46F2-9B45-EB4BA318F15F}" name="Column10741"/>
    <tableColumn id="10745" xr3:uid="{0034C153-91B0-4D12-9EB5-36265D09B60F}" name="Column10742"/>
    <tableColumn id="10746" xr3:uid="{690E42AF-9126-44B2-8A3A-EBE399BE5392}" name="Column10743"/>
    <tableColumn id="10747" xr3:uid="{142E7CF1-8C50-41E3-B73E-0B3B4BDD147A}" name="Column10744"/>
    <tableColumn id="10748" xr3:uid="{C641B93C-D450-46DB-8F19-43B639CB51AB}" name="Column10745"/>
    <tableColumn id="10749" xr3:uid="{239DCD88-D167-44A4-9767-2C538F4F36BA}" name="Column10746"/>
    <tableColumn id="10750" xr3:uid="{83021F89-A59B-4B31-991B-CCA179DE7B72}" name="Column10747"/>
    <tableColumn id="10751" xr3:uid="{D0F95B6E-9776-4E44-9DBB-AF849CDF0988}" name="Column10748"/>
    <tableColumn id="10752" xr3:uid="{BAC3DA4F-F0CB-41D1-ACFA-000079B466FE}" name="Column10749"/>
    <tableColumn id="10753" xr3:uid="{055068B7-17D1-4187-AFEB-498C9027D337}" name="Column10750"/>
    <tableColumn id="10754" xr3:uid="{FF0491F2-F70E-43A6-9E81-B7ECB6AE14A2}" name="Column10751"/>
    <tableColumn id="10755" xr3:uid="{E6D96D05-BFD6-4B48-9468-FC22DDFCBB0E}" name="Column10752"/>
    <tableColumn id="10756" xr3:uid="{2BD53348-CE55-4FC5-BDD2-24EA44162A99}" name="Column10753"/>
    <tableColumn id="10757" xr3:uid="{D0AD634B-2DE8-467C-9E19-8629018A0B6A}" name="Column10754"/>
    <tableColumn id="10758" xr3:uid="{4CF02FC2-2329-410D-97F6-DA7DDC6CB575}" name="Column10755"/>
    <tableColumn id="10759" xr3:uid="{4F52C78A-9148-49CC-B18D-35D466C7A9A3}" name="Column10756"/>
    <tableColumn id="10760" xr3:uid="{AF6192CE-FCDC-4600-9A4F-6497B4A3EDEF}" name="Column10757"/>
    <tableColumn id="10761" xr3:uid="{9C1FF798-04EE-4936-8D8F-A545527F2600}" name="Column10758"/>
    <tableColumn id="10762" xr3:uid="{37AC05B9-69D6-4670-89D7-456E20739027}" name="Column10759"/>
    <tableColumn id="10763" xr3:uid="{7C978381-C4D0-4053-B125-554F56C293F1}" name="Column10760"/>
    <tableColumn id="10764" xr3:uid="{72892C08-0BEB-4F58-A39D-F5E56F59F293}" name="Column10761"/>
    <tableColumn id="10765" xr3:uid="{C2555AF7-4254-42AE-A81D-F03BF061BBC9}" name="Column10762"/>
    <tableColumn id="10766" xr3:uid="{429F7EAC-FBE1-40CA-8635-A2AFB0C86C00}" name="Column10763"/>
    <tableColumn id="10767" xr3:uid="{E730DA67-065D-44D0-BB5A-34188D34C973}" name="Column10764"/>
    <tableColumn id="10768" xr3:uid="{0F40C702-486C-40FD-AB74-2AFA3AD5EC8E}" name="Column10765"/>
    <tableColumn id="10769" xr3:uid="{D62F9A68-CDDB-44A9-8DD4-5B88313BC3EC}" name="Column10766"/>
    <tableColumn id="10770" xr3:uid="{E232B767-AC8C-48EC-B48A-91DE6003E1FE}" name="Column10767"/>
    <tableColumn id="10771" xr3:uid="{D4762B50-3810-4268-AFC1-C04E4B896A1C}" name="Column10768"/>
    <tableColumn id="10772" xr3:uid="{39E0C37E-1510-4563-8978-3E3EE55F2A96}" name="Column10769"/>
    <tableColumn id="10773" xr3:uid="{E91274BA-616A-423B-8899-50E1302F9BE4}" name="Column10770"/>
    <tableColumn id="10774" xr3:uid="{C22A1234-2B8D-4C10-AAAD-AB39A52ED859}" name="Column10771"/>
    <tableColumn id="10775" xr3:uid="{9524812B-F7FA-48FB-9A41-DF6BB85513C4}" name="Column10772"/>
    <tableColumn id="10776" xr3:uid="{031EABA6-A75B-4339-8455-D5D90A8A443C}" name="Column10773"/>
    <tableColumn id="10777" xr3:uid="{1DB128D5-41FA-483D-B9B8-807D945EFC61}" name="Column10774"/>
    <tableColumn id="10778" xr3:uid="{8C095B66-3DD2-4765-AAC2-C8D39D7141EF}" name="Column10775"/>
    <tableColumn id="10779" xr3:uid="{1B340292-B0CC-4943-BB3F-6ED17ED124AC}" name="Column10776"/>
    <tableColumn id="10780" xr3:uid="{547AB1F0-3364-4294-9BB3-5A66A8350007}" name="Column10777"/>
    <tableColumn id="10781" xr3:uid="{FE863CCB-9D80-4E08-A84F-9CA09CF1F176}" name="Column10778"/>
    <tableColumn id="10782" xr3:uid="{BB53A3C1-4560-4A27-8B18-17298213F940}" name="Column10779"/>
    <tableColumn id="10783" xr3:uid="{6B0AA709-0A86-4E61-99A0-3D251A2FA8DA}" name="Column10780"/>
    <tableColumn id="10784" xr3:uid="{DB97D294-A19B-4533-97F5-FF45452B6807}" name="Column10781"/>
    <tableColumn id="10785" xr3:uid="{E4FC94A9-C7F1-4513-B996-1D2326126B1F}" name="Column10782"/>
    <tableColumn id="10786" xr3:uid="{AEAFCCB6-DDA3-4CD6-B47C-4174DC5538A8}" name="Column10783"/>
    <tableColumn id="10787" xr3:uid="{4F1DF105-F68B-4E3B-B609-776E702628A3}" name="Column10784"/>
    <tableColumn id="10788" xr3:uid="{3E1537CE-1499-4C9A-87AD-BC8B5E018C30}" name="Column10785"/>
    <tableColumn id="10789" xr3:uid="{1A8EAE00-7246-42B4-B47C-3A1B2665EB37}" name="Column10786"/>
    <tableColumn id="10790" xr3:uid="{6BA430D7-16DD-4888-988E-3EA9A6156A34}" name="Column10787"/>
    <tableColumn id="10791" xr3:uid="{C0BF2ED7-EFCF-440E-94E4-B60A6E5F50FD}" name="Column10788"/>
    <tableColumn id="10792" xr3:uid="{FB27DD95-1782-47BB-8BFF-2ED68C25D7C8}" name="Column10789"/>
    <tableColumn id="10793" xr3:uid="{C5983C08-622C-4AC0-8D6F-72901E952F4B}" name="Column10790"/>
    <tableColumn id="10794" xr3:uid="{48778C5D-4BA6-43CC-AACE-F3AF232319CA}" name="Column10791"/>
    <tableColumn id="10795" xr3:uid="{F52BDD31-500D-4FAE-9DFC-DED6796E639E}" name="Column10792"/>
    <tableColumn id="10796" xr3:uid="{DC7FDD8C-0E0E-413E-B336-5686F8CF58FD}" name="Column10793"/>
    <tableColumn id="10797" xr3:uid="{EC765D05-CA94-4E67-A6A3-9541A7A578CE}" name="Column10794"/>
    <tableColumn id="10798" xr3:uid="{191A3119-4552-4854-9F3B-99D65DA8A582}" name="Column10795"/>
    <tableColumn id="10799" xr3:uid="{8C7D0061-8CF3-4511-987D-5B298F7DA178}" name="Column10796"/>
    <tableColumn id="10800" xr3:uid="{B813AA96-9905-4580-AFBB-35D8320F7781}" name="Column10797"/>
    <tableColumn id="10801" xr3:uid="{0E8D09EB-767D-467C-AA92-1209DCFFDAC5}" name="Column10798"/>
    <tableColumn id="10802" xr3:uid="{05D4172E-AAA3-42A6-BD69-4B2CEB180638}" name="Column10799"/>
    <tableColumn id="10803" xr3:uid="{120C67D5-3A68-4F1A-B6DD-2D02C6394D38}" name="Column10800"/>
    <tableColumn id="10804" xr3:uid="{DB115E3C-ACA7-47D2-A9B9-ADAB7C0F8549}" name="Column10801"/>
    <tableColumn id="10805" xr3:uid="{3DFA3571-5676-49B5-B167-D5F822E10B83}" name="Column10802"/>
    <tableColumn id="10806" xr3:uid="{4AA8E124-9C88-4245-B837-BB3C25B351A1}" name="Column10803"/>
    <tableColumn id="10807" xr3:uid="{49A79E2B-94FC-49E6-9254-17CD4DF650C9}" name="Column10804"/>
    <tableColumn id="10808" xr3:uid="{123BE412-DA6C-4D90-A483-DCBB5B20A1FD}" name="Column10805"/>
    <tableColumn id="10809" xr3:uid="{4A484297-6FF6-461E-9018-1814898F8235}" name="Column10806"/>
    <tableColumn id="10810" xr3:uid="{CC276730-FA57-4949-BA89-8B821A8F7C0D}" name="Column10807"/>
    <tableColumn id="10811" xr3:uid="{FCEC3253-B8A1-422D-B54D-2FB18A493F71}" name="Column10808"/>
    <tableColumn id="10812" xr3:uid="{6723879F-801E-47B2-9374-1AB0E543AD98}" name="Column10809"/>
    <tableColumn id="10813" xr3:uid="{8077B7FC-3ED8-46FE-BAD3-1C602910141D}" name="Column10810"/>
    <tableColumn id="10814" xr3:uid="{ED35A383-44EF-465A-9FBE-87C0932E7C0E}" name="Column10811"/>
    <tableColumn id="10815" xr3:uid="{73F97A46-CECE-4F97-A8CE-E8AEC205E205}" name="Column10812"/>
    <tableColumn id="10816" xr3:uid="{54143C4B-75F9-48B6-A6C8-DD7B32454F92}" name="Column10813"/>
    <tableColumn id="10817" xr3:uid="{DD0E496A-DE47-4719-A814-5B9454280D47}" name="Column10814"/>
    <tableColumn id="10818" xr3:uid="{B279F91E-6432-41CC-9771-88630E3EE553}" name="Column10815"/>
    <tableColumn id="10819" xr3:uid="{FD345D2A-2542-467B-B1ED-985EACB81EE9}" name="Column10816"/>
    <tableColumn id="10820" xr3:uid="{7751A23B-BFEA-4EE2-9BF2-30489B366B49}" name="Column10817"/>
    <tableColumn id="10821" xr3:uid="{0933494C-1332-4ED3-BB2B-2BD0972CF4BA}" name="Column10818"/>
    <tableColumn id="10822" xr3:uid="{BCADF9E1-6557-4F71-95E8-2EB21B257A00}" name="Column10819"/>
    <tableColumn id="10823" xr3:uid="{04CE2C35-AAAD-432F-8B1E-194C6445B262}" name="Column10820"/>
    <tableColumn id="10824" xr3:uid="{E14F5F0A-0BE7-49A0-9ABF-B32F32D9E276}" name="Column10821"/>
    <tableColumn id="10825" xr3:uid="{173DE2E2-79A9-4C6C-9CEF-E1F73587FCB2}" name="Column10822"/>
    <tableColumn id="10826" xr3:uid="{866944A2-7F64-4986-936B-9FCBBF83BA0F}" name="Column10823"/>
    <tableColumn id="10827" xr3:uid="{DA7201F9-67FC-4AAE-8CB4-5F205E3E40C9}" name="Column10824"/>
    <tableColumn id="10828" xr3:uid="{70673DDD-6BFF-42F2-805D-69121BEF99CD}" name="Column10825"/>
    <tableColumn id="10829" xr3:uid="{B55910BE-3121-4920-B01C-BC98302443C8}" name="Column10826"/>
    <tableColumn id="10830" xr3:uid="{914E1B9B-082C-4C76-BBBF-2928DD2E53B6}" name="Column10827"/>
    <tableColumn id="10831" xr3:uid="{5A1C0B3D-FFAE-409D-8D59-081C2A078D2D}" name="Column10828"/>
    <tableColumn id="10832" xr3:uid="{124C49F0-AAB9-473B-B921-9941CAF7A698}" name="Column10829"/>
    <tableColumn id="10833" xr3:uid="{52057ED2-789A-4E35-B54E-AC6BD36C5A49}" name="Column10830"/>
    <tableColumn id="10834" xr3:uid="{A1AFD75B-C153-4E49-9F21-66EA70F70BFE}" name="Column10831"/>
    <tableColumn id="10835" xr3:uid="{434631F1-AF75-4CB2-B1BA-F6A66799609B}" name="Column10832"/>
    <tableColumn id="10836" xr3:uid="{385F622C-41C2-404A-AAEA-F4967D3F21BE}" name="Column10833"/>
    <tableColumn id="10837" xr3:uid="{AF6C8EC4-675A-4AAC-87E2-D28CD742321B}" name="Column10834"/>
    <tableColumn id="10838" xr3:uid="{ACC999E8-D685-4EFC-9451-998B7C7B550D}" name="Column10835"/>
    <tableColumn id="10839" xr3:uid="{482E6DF6-F2B3-42C2-A503-E7F0EB45707A}" name="Column10836"/>
    <tableColumn id="10840" xr3:uid="{78D38112-635D-4E7B-B7A8-790011EDA8BA}" name="Column10837"/>
    <tableColumn id="10841" xr3:uid="{93512282-FD41-4331-BB28-74BC6359B3BE}" name="Column10838"/>
    <tableColumn id="10842" xr3:uid="{3229537A-E704-4D4A-AE8F-85D750764565}" name="Column10839"/>
    <tableColumn id="10843" xr3:uid="{4116A3F6-5EF9-44FD-8992-D93DAF209CE0}" name="Column10840"/>
    <tableColumn id="10844" xr3:uid="{B357EACA-DD59-44A5-A4DF-AF5274E2B1A0}" name="Column10841"/>
    <tableColumn id="10845" xr3:uid="{8FE0811A-091B-4C89-8266-74B3EFC629C9}" name="Column10842"/>
    <tableColumn id="10846" xr3:uid="{7466D11A-CD6B-4339-88CA-C81FEDDE800B}" name="Column10843"/>
    <tableColumn id="10847" xr3:uid="{B01D59C3-5C38-4BDC-BBDB-FF6F7A24DE80}" name="Column10844"/>
    <tableColumn id="10848" xr3:uid="{0A7906B7-4EF2-443C-8D81-628E3C1FCF14}" name="Column10845"/>
    <tableColumn id="10849" xr3:uid="{A1CDA0AE-1974-4F8B-8C7E-07F6F3188CC3}" name="Column10846"/>
    <tableColumn id="10850" xr3:uid="{40F95081-914F-4DE2-A080-381905233FFE}" name="Column10847"/>
    <tableColumn id="10851" xr3:uid="{15850E57-AE87-449D-8BCD-2CD817B7831D}" name="Column10848"/>
    <tableColumn id="10852" xr3:uid="{2D384031-08E7-41D8-825A-2EFB037D7F1E}" name="Column10849"/>
    <tableColumn id="10853" xr3:uid="{7EAA6521-FE45-4A6A-8746-36D0DA398D3F}" name="Column10850"/>
    <tableColumn id="10854" xr3:uid="{B41DD275-DA5E-4DB9-9C51-C05A74C9E803}" name="Column10851"/>
    <tableColumn id="10855" xr3:uid="{35E76130-8EE7-4D3C-B91E-BC1C5A12B8A9}" name="Column10852"/>
    <tableColumn id="10856" xr3:uid="{137F5CF4-1052-4155-B799-81B1E2A8AF3D}" name="Column10853"/>
    <tableColumn id="10857" xr3:uid="{A6FE6E32-985B-48EB-A091-0395B45A13D9}" name="Column10854"/>
    <tableColumn id="10858" xr3:uid="{E4752565-2F75-4767-BA37-062F760FFB50}" name="Column10855"/>
    <tableColumn id="10859" xr3:uid="{00C9CAD9-708D-49ED-AADE-3A3B40335C8D}" name="Column10856"/>
    <tableColumn id="10860" xr3:uid="{26829922-B986-4529-B923-DBE1EF8FA91B}" name="Column10857"/>
    <tableColumn id="10861" xr3:uid="{87AE481B-AF9B-44C0-A073-11EC5219E004}" name="Column10858"/>
    <tableColumn id="10862" xr3:uid="{96204B06-3C5D-4149-B78A-1646A65DA245}" name="Column10859"/>
    <tableColumn id="10863" xr3:uid="{DEC2986E-3F64-46AA-A98B-CAA157544015}" name="Column10860"/>
    <tableColumn id="10864" xr3:uid="{7FBC03F8-034D-49B6-B14D-98BE8098D95C}" name="Column10861"/>
    <tableColumn id="10865" xr3:uid="{0126216F-A7CE-4311-9662-EA9449050452}" name="Column10862"/>
    <tableColumn id="10866" xr3:uid="{E2542A8E-3601-4F2A-80A3-738E3404E11A}" name="Column10863"/>
    <tableColumn id="10867" xr3:uid="{746D0202-7E68-4A25-96B8-818DA74D7B9C}" name="Column10864"/>
    <tableColumn id="10868" xr3:uid="{71DC5A6B-2915-4327-95A0-0D693160DE87}" name="Column10865"/>
    <tableColumn id="10869" xr3:uid="{86FE1C53-29B7-4F6B-8887-6C88FCEDEF89}" name="Column10866"/>
    <tableColumn id="10870" xr3:uid="{A5BC6638-7A80-4081-BE4A-A2035645C590}" name="Column10867"/>
    <tableColumn id="10871" xr3:uid="{C84472DB-ECB4-4C70-8F1A-B84485F1F94B}" name="Column10868"/>
    <tableColumn id="10872" xr3:uid="{B1310B85-22A5-4D5D-9F6C-1424A6D13635}" name="Column10869"/>
    <tableColumn id="10873" xr3:uid="{DF7ECDFB-E02C-4DEC-B714-185340774C62}" name="Column10870"/>
    <tableColumn id="10874" xr3:uid="{76D0D9B2-56C3-4927-8DFF-C78D567CBF74}" name="Column10871"/>
    <tableColumn id="10875" xr3:uid="{0319AF3F-9395-42C8-AE31-8DCB3444A424}" name="Column10872"/>
    <tableColumn id="10876" xr3:uid="{0F475229-ED20-4FCB-8B4D-404D039832A8}" name="Column10873"/>
    <tableColumn id="10877" xr3:uid="{50EF078E-6C15-497F-8B3A-81BD4711D635}" name="Column10874"/>
    <tableColumn id="10878" xr3:uid="{66E31569-0FC8-4DA6-81AE-CA421D36D80E}" name="Column10875"/>
    <tableColumn id="10879" xr3:uid="{58C069E4-5FEB-4EEB-AC6C-34F655802F6C}" name="Column10876"/>
    <tableColumn id="10880" xr3:uid="{3C9B450A-4DD4-4D5E-9EC5-E78AEE00492E}" name="Column10877"/>
    <tableColumn id="10881" xr3:uid="{DF7AAAC2-BF6D-4B39-988E-7A9C64CE75EA}" name="Column10878"/>
    <tableColumn id="10882" xr3:uid="{517E5918-6DEB-436F-925C-6F94AAC781DE}" name="Column10879"/>
    <tableColumn id="10883" xr3:uid="{FDF1A484-F180-467A-B846-7B0AAB73E0B8}" name="Column10880"/>
    <tableColumn id="10884" xr3:uid="{EC29EFDE-DA16-4F95-B5F0-33C5B06555EC}" name="Column10881"/>
    <tableColumn id="10885" xr3:uid="{4C3289AC-5658-4A5D-8C9B-34F3AAD1853D}" name="Column10882"/>
    <tableColumn id="10886" xr3:uid="{400CFB3A-42FD-4F26-B62A-40928CCFAE7B}" name="Column10883"/>
    <tableColumn id="10887" xr3:uid="{3F1EF6D0-84D6-45AD-850B-531EF948A3F0}" name="Column10884"/>
    <tableColumn id="10888" xr3:uid="{2E174177-E1EA-481D-A3E4-5AEF9689C509}" name="Column10885"/>
    <tableColumn id="10889" xr3:uid="{DA7D3194-0447-4CB0-B40F-112EF850A643}" name="Column10886"/>
    <tableColumn id="10890" xr3:uid="{17345530-211E-42E5-9BE5-3FA1E0EF8032}" name="Column10887"/>
    <tableColumn id="10891" xr3:uid="{7C78FDE4-916C-4CB1-9862-447570F4454D}" name="Column10888"/>
    <tableColumn id="10892" xr3:uid="{4C3ADAA6-283B-4A3F-94C5-701D870E3797}" name="Column10889"/>
    <tableColumn id="10893" xr3:uid="{862854A2-032B-4BAF-91C9-9AE9ED08D559}" name="Column10890"/>
    <tableColumn id="10894" xr3:uid="{3C141544-F101-4B26-82FE-A4C192239A86}" name="Column10891"/>
    <tableColumn id="10895" xr3:uid="{690BF75A-3918-4DE0-A5F3-B32C5BC49547}" name="Column10892"/>
    <tableColumn id="10896" xr3:uid="{EEDA0007-82F4-408C-9582-C74BDE8FF517}" name="Column10893"/>
    <tableColumn id="10897" xr3:uid="{AA67F294-6905-4F10-9FBE-6AAEA86AE565}" name="Column10894"/>
    <tableColumn id="10898" xr3:uid="{66071D97-9959-49DE-BF26-572A3233C3C6}" name="Column10895"/>
    <tableColumn id="10899" xr3:uid="{AE4AE03E-C917-4263-9335-85DF92BCFE94}" name="Column10896"/>
    <tableColumn id="10900" xr3:uid="{1529932A-4C0F-44FB-9E0C-DBE09142F866}" name="Column10897"/>
    <tableColumn id="10901" xr3:uid="{44099EC3-C991-493F-B9EB-A2EFC949D27B}" name="Column10898"/>
    <tableColumn id="10902" xr3:uid="{B08B0180-E349-4C6C-9391-2867B74CD4D5}" name="Column10899"/>
    <tableColumn id="10903" xr3:uid="{7CCFC0AE-F809-440C-9F6F-D0D2296FA027}" name="Column10900"/>
    <tableColumn id="10904" xr3:uid="{CFCDF5F4-B085-431E-A16F-4F07AA6D6A4E}" name="Column10901"/>
    <tableColumn id="10905" xr3:uid="{9BB15495-8CF4-4832-8FD3-704E77BFA624}" name="Column10902"/>
    <tableColumn id="10906" xr3:uid="{8C2512A0-E3D1-4C95-8D63-912B08D0C75D}" name="Column10903"/>
    <tableColumn id="10907" xr3:uid="{2E2BD16D-AB18-4668-A861-37F9916F921B}" name="Column10904"/>
    <tableColumn id="10908" xr3:uid="{2B4B66F8-1DEB-4FF5-9D2D-C7C8FEBAB4F2}" name="Column10905"/>
    <tableColumn id="10909" xr3:uid="{A2373906-2772-40D6-980E-0D8DD6403751}" name="Column10906"/>
    <tableColumn id="10910" xr3:uid="{9B971317-2E22-446D-AD03-06F4B07CFA0B}" name="Column10907"/>
    <tableColumn id="10911" xr3:uid="{F527F070-E8C0-41F1-A6B7-ABFA4566136F}" name="Column10908"/>
    <tableColumn id="10912" xr3:uid="{B95DF1DD-14A3-41AF-A76B-1FBBE9E68E32}" name="Column10909"/>
    <tableColumn id="10913" xr3:uid="{A3FD6C26-E30E-4F2C-824D-D2DC6C1A4A09}" name="Column10910"/>
    <tableColumn id="10914" xr3:uid="{F7043BEF-96D8-4DD8-BC47-C1FA5763B4AD}" name="Column10911"/>
    <tableColumn id="10915" xr3:uid="{3C3D8A44-7831-463E-9D8E-92A827CC7ABB}" name="Column10912"/>
    <tableColumn id="10916" xr3:uid="{6994A227-ABA6-4238-87AE-F30E6D83DB8E}" name="Column10913"/>
    <tableColumn id="10917" xr3:uid="{5F69B99C-4C72-430C-83AD-16748DE4F044}" name="Column10914"/>
    <tableColumn id="10918" xr3:uid="{CCEB376E-B0F1-42B9-A313-FAD161803364}" name="Column10915"/>
    <tableColumn id="10919" xr3:uid="{82957D9E-337D-4856-A2DE-3ABDD3A6AE3E}" name="Column10916"/>
    <tableColumn id="10920" xr3:uid="{31E51999-A3CD-471C-B1FC-C09EFDE7644D}" name="Column10917"/>
    <tableColumn id="10921" xr3:uid="{9F5FC77A-2249-479D-AE4E-99484F73BD02}" name="Column10918"/>
    <tableColumn id="10922" xr3:uid="{0FB12932-C3F1-4DAA-9340-75079E513555}" name="Column10919"/>
    <tableColumn id="10923" xr3:uid="{FA57A83B-1C4A-487A-B9F2-2E992ECE992D}" name="Column10920"/>
    <tableColumn id="10924" xr3:uid="{A7486F58-FCA3-45D3-BDED-FCAD7757C05B}" name="Column10921"/>
    <tableColumn id="10925" xr3:uid="{F3658873-D8BF-4E31-BF35-BA68F997F8EF}" name="Column10922"/>
    <tableColumn id="10926" xr3:uid="{A8C8D733-ECEE-4645-8EDF-CD41876A17DC}" name="Column10923"/>
    <tableColumn id="10927" xr3:uid="{4075F484-B014-45D5-8D90-B10C0FC48FC5}" name="Column10924"/>
    <tableColumn id="10928" xr3:uid="{4E865706-304D-4B1A-8C32-35609F3684C1}" name="Column10925"/>
    <tableColumn id="10929" xr3:uid="{EC5CAFA4-9920-4851-9CE1-2FEF31163980}" name="Column10926"/>
    <tableColumn id="10930" xr3:uid="{70AC5537-BA8D-4750-A591-10B1991279FB}" name="Column10927"/>
    <tableColumn id="10931" xr3:uid="{66C67B59-363A-4462-9615-EBC7206DE966}" name="Column10928"/>
    <tableColumn id="10932" xr3:uid="{D90BF993-B4C9-4988-AFBA-86FCFA682C78}" name="Column10929"/>
    <tableColumn id="10933" xr3:uid="{44618DB9-A1B4-41F3-A36F-CC4F1A8A708A}" name="Column10930"/>
    <tableColumn id="10934" xr3:uid="{3FADD5B4-7003-4BDF-9411-ED340F98B6E8}" name="Column10931"/>
    <tableColumn id="10935" xr3:uid="{C1CFDAFE-43B0-437E-85DC-C470235446D7}" name="Column10932"/>
    <tableColumn id="10936" xr3:uid="{23F1DCD1-423B-4BD7-A6AA-EC2EAD933F78}" name="Column10933"/>
    <tableColumn id="10937" xr3:uid="{BD683FE4-E1C8-47E0-9FEA-9511D75DEF89}" name="Column10934"/>
    <tableColumn id="10938" xr3:uid="{6474269D-1B4A-4970-B3DD-74A8D374C6F9}" name="Column10935"/>
    <tableColumn id="10939" xr3:uid="{6EC69DBE-9C4B-4ABF-B226-5A623D6392C7}" name="Column10936"/>
    <tableColumn id="10940" xr3:uid="{95C8DBFA-5960-4E4E-A1A9-840DEE3322D9}" name="Column10937"/>
    <tableColumn id="10941" xr3:uid="{82C3E437-83DD-4B41-AEDE-6F0F41371463}" name="Column10938"/>
    <tableColumn id="10942" xr3:uid="{CFB7F689-4D57-4F0F-8582-600282B77AA2}" name="Column10939"/>
    <tableColumn id="10943" xr3:uid="{36E999B7-2B0D-4A3A-AE70-D88826197A80}" name="Column10940"/>
    <tableColumn id="10944" xr3:uid="{350AEE9F-8170-472E-AF34-C7ECA717524F}" name="Column10941"/>
    <tableColumn id="10945" xr3:uid="{65E4027C-B5A5-4C21-982D-3F32083DAB7D}" name="Column10942"/>
    <tableColumn id="10946" xr3:uid="{DCBD8A2C-18CE-4DFE-AFB8-57BF9CDC0971}" name="Column10943"/>
    <tableColumn id="10947" xr3:uid="{C201D08E-49CB-4D1D-B73A-6A9814CC687C}" name="Column10944"/>
    <tableColumn id="10948" xr3:uid="{2E220366-FDD7-44FA-AB60-A8D850993D03}" name="Column10945"/>
    <tableColumn id="10949" xr3:uid="{7AC608AA-1299-4449-8D23-0ADE7600926B}" name="Column10946"/>
    <tableColumn id="10950" xr3:uid="{7CAE1C48-2C91-4656-8938-D78FFA6CB165}" name="Column10947"/>
    <tableColumn id="10951" xr3:uid="{B0CA82F4-63CD-4D71-9EE5-37D93B8DEB70}" name="Column10948"/>
    <tableColumn id="10952" xr3:uid="{33C3B1C4-72ED-430A-BF45-2B45868FBC4E}" name="Column10949"/>
    <tableColumn id="10953" xr3:uid="{AB4E76C4-3B91-4E3C-8646-DDB9389E9B7A}" name="Column10950"/>
    <tableColumn id="10954" xr3:uid="{8DF81DC7-0A92-4154-A85A-6CD15F48EC81}" name="Column10951"/>
    <tableColumn id="10955" xr3:uid="{EC7E7012-ACA5-4CB8-8FF0-CFE3509351EB}" name="Column10952"/>
    <tableColumn id="10956" xr3:uid="{D7888D30-3DD6-43E5-8729-41FD33E7AD7D}" name="Column10953"/>
    <tableColumn id="10957" xr3:uid="{DD7B311B-5367-4EBE-BE3C-76E76BB0984E}" name="Column10954"/>
    <tableColumn id="10958" xr3:uid="{C18F5409-3ECB-4C3A-A08F-C5AE54466FA5}" name="Column10955"/>
    <tableColumn id="10959" xr3:uid="{23E674A2-CDE2-4D9F-BF44-A85E83AA4534}" name="Column10956"/>
    <tableColumn id="10960" xr3:uid="{21685AC1-A597-41CD-906D-BDA7907F3FD4}" name="Column10957"/>
    <tableColumn id="10961" xr3:uid="{A1026855-1054-489B-B20E-9AA0B767B533}" name="Column10958"/>
    <tableColumn id="10962" xr3:uid="{706285CC-EE02-4310-AE30-CD6ED805B03A}" name="Column10959"/>
    <tableColumn id="10963" xr3:uid="{6B9830F7-5C13-45BA-8F0E-D0AB0B14E357}" name="Column10960"/>
    <tableColumn id="10964" xr3:uid="{8BBA5825-48C5-4B77-A127-C320165BB8FB}" name="Column10961"/>
    <tableColumn id="10965" xr3:uid="{D2A731A2-2D16-4F63-ABA4-28F68480CB0C}" name="Column10962"/>
    <tableColumn id="10966" xr3:uid="{FDF2A44C-ACE0-46B1-A2F8-DB2AD0EDF588}" name="Column10963"/>
    <tableColumn id="10967" xr3:uid="{C278A4C6-920F-4E30-AEFE-A813F52C0A1E}" name="Column10964"/>
    <tableColumn id="10968" xr3:uid="{C881801C-9B83-494A-B010-24F6207E882F}" name="Column10965"/>
    <tableColumn id="10969" xr3:uid="{3B07605B-2D7E-4FF9-8DD7-13CE6AE6A8AC}" name="Column10966"/>
    <tableColumn id="10970" xr3:uid="{4B26C15F-3BC4-47F7-87A3-237874C931B6}" name="Column10967"/>
    <tableColumn id="10971" xr3:uid="{9AF98350-C79A-4CF3-81EE-F3732552AB1D}" name="Column10968"/>
    <tableColumn id="10972" xr3:uid="{8734828D-CC70-4574-9B53-407C074F6FB8}" name="Column10969"/>
    <tableColumn id="10973" xr3:uid="{6402E0C7-D886-4AEC-BB57-79C8FC9E4FFC}" name="Column10970"/>
    <tableColumn id="10974" xr3:uid="{CC3EE42D-4E12-49E4-9711-39C2BFFCEF91}" name="Column10971"/>
    <tableColumn id="10975" xr3:uid="{D8C75424-99B4-46F7-84C8-F6F322E86CE8}" name="Column10972"/>
    <tableColumn id="10976" xr3:uid="{25E21826-C182-4F4D-A6A2-B40AAF25B07B}" name="Column10973"/>
    <tableColumn id="10977" xr3:uid="{06A717CD-54C5-47EC-950E-3B6345A09BC7}" name="Column10974"/>
    <tableColumn id="10978" xr3:uid="{8E8B6F13-6B36-4FCA-999A-5A49854D920A}" name="Column10975"/>
    <tableColumn id="10979" xr3:uid="{A6BBE362-6DFE-456E-A1F3-75911B35C674}" name="Column10976"/>
    <tableColumn id="10980" xr3:uid="{2EF48E67-FFE1-4036-8268-82A336EB9FFB}" name="Column10977"/>
    <tableColumn id="10981" xr3:uid="{3DC4F599-796E-4EF3-AB34-D3C5F976BA99}" name="Column10978"/>
    <tableColumn id="10982" xr3:uid="{08B28E83-F262-4E5B-87A7-9BB2AEDF3038}" name="Column10979"/>
    <tableColumn id="10983" xr3:uid="{5E4F6904-D078-4D9D-867A-819FAB514BAF}" name="Column10980"/>
    <tableColumn id="10984" xr3:uid="{58B43880-9768-4113-8062-78CF10D7C9CB}" name="Column10981"/>
    <tableColumn id="10985" xr3:uid="{0F252B4C-5CA9-4113-8865-C759C1B059D7}" name="Column10982"/>
    <tableColumn id="10986" xr3:uid="{7473F761-53D4-4DA8-8EB4-CBA3F2C386A5}" name="Column10983"/>
    <tableColumn id="10987" xr3:uid="{0D0A18B3-BDD7-4413-A3F8-CBC20968856C}" name="Column10984"/>
    <tableColumn id="10988" xr3:uid="{F15727A5-F82C-4BEB-8B59-4991FE2FB299}" name="Column10985"/>
    <tableColumn id="10989" xr3:uid="{66911761-81B0-409C-A808-01633C0DDDFE}" name="Column10986"/>
    <tableColumn id="10990" xr3:uid="{D9209E00-06E1-40A1-BFBE-5C652259E8C1}" name="Column10987"/>
    <tableColumn id="10991" xr3:uid="{1C0E4F0D-4B59-4B4D-A5A8-5AE4E72CDCDD}" name="Column10988"/>
    <tableColumn id="10992" xr3:uid="{B15219B2-C545-487D-94E5-8B786092764E}" name="Column10989"/>
    <tableColumn id="10993" xr3:uid="{9FB3EC09-3754-4D20-B485-4804D5459E2C}" name="Column10990"/>
    <tableColumn id="10994" xr3:uid="{31D1C8C4-F011-42BD-8E1F-F9A1487962C7}" name="Column10991"/>
    <tableColumn id="10995" xr3:uid="{6529CA87-E61F-4A25-8013-D74D1D07FDC7}" name="Column10992"/>
    <tableColumn id="10996" xr3:uid="{054ECBCE-188A-454E-9DB8-BB87DE117FC6}" name="Column10993"/>
    <tableColumn id="10997" xr3:uid="{D500B900-A040-401D-9998-437F86BF6C23}" name="Column10994"/>
    <tableColumn id="10998" xr3:uid="{808A384E-B90C-49D7-80A1-2046EEBA97CD}" name="Column10995"/>
    <tableColumn id="10999" xr3:uid="{9E1E4050-8E76-4F46-83D1-69733F52B14A}" name="Column10996"/>
    <tableColumn id="11000" xr3:uid="{526633F0-C29C-4097-AB7D-D9FB2ADF8A77}" name="Column10997"/>
    <tableColumn id="11001" xr3:uid="{4CF46F40-EAB5-467A-ADA8-EC917C8898CA}" name="Column10998"/>
    <tableColumn id="11002" xr3:uid="{2EE6AC82-3108-4E60-966E-3F3166EBD309}" name="Column10999"/>
    <tableColumn id="11003" xr3:uid="{BCF52CFC-963C-4CDC-BDF6-1D3C2B5E65D0}" name="Column11000"/>
    <tableColumn id="11004" xr3:uid="{3D722CBB-ABC9-4117-AB02-DB2272E57A26}" name="Column11001"/>
    <tableColumn id="11005" xr3:uid="{E3E60C76-9F0E-4350-8AB3-15B94ADD9373}" name="Column11002"/>
    <tableColumn id="11006" xr3:uid="{5F0E456B-5D33-43E5-9B54-B348ED578EBF}" name="Column11003"/>
    <tableColumn id="11007" xr3:uid="{B0C574F9-CFC3-47A8-BE22-062B820D2BA3}" name="Column11004"/>
    <tableColumn id="11008" xr3:uid="{AAE830F9-A16B-40F6-BCD4-0CCBC58D68FE}" name="Column11005"/>
    <tableColumn id="11009" xr3:uid="{39D4E6E8-4EC8-46FF-963B-B5548C2B7BC6}" name="Column11006"/>
    <tableColumn id="11010" xr3:uid="{7386A590-47E4-4125-AD12-C5B8C3FE1D85}" name="Column11007"/>
    <tableColumn id="11011" xr3:uid="{1EBB7A15-A6E9-460A-9704-FC4D88C4950D}" name="Column11008"/>
    <tableColumn id="11012" xr3:uid="{F935C49F-2B70-481C-9045-08EBC8B9E072}" name="Column11009"/>
    <tableColumn id="11013" xr3:uid="{CB2241F6-5D72-4DEA-A8D9-8CC0373E1D95}" name="Column11010"/>
    <tableColumn id="11014" xr3:uid="{019666E5-5BE7-4043-B55E-798D20D1D7D9}" name="Column11011"/>
    <tableColumn id="11015" xr3:uid="{001449B6-CCBE-4CB0-A322-8FB63F0D8CCC}" name="Column11012"/>
    <tableColumn id="11016" xr3:uid="{46131890-6BFE-4FBB-908F-B88DD1CBA48D}" name="Column11013"/>
    <tableColumn id="11017" xr3:uid="{3A87C0CA-D282-4804-AA2A-4F782E4F9BCF}" name="Column11014"/>
    <tableColumn id="11018" xr3:uid="{375AD637-2F49-42A3-BBA7-F6681C4F6295}" name="Column11015"/>
    <tableColumn id="11019" xr3:uid="{A4751C68-CF23-4FFA-A1D4-E1E825EB0D99}" name="Column11016"/>
    <tableColumn id="11020" xr3:uid="{86C2B8BF-45EE-448A-8EC2-CACBD18494FB}" name="Column11017"/>
    <tableColumn id="11021" xr3:uid="{7CABDE80-C815-4086-A6F8-C03D0BFD494E}" name="Column11018"/>
    <tableColumn id="11022" xr3:uid="{97C6B8C7-79E7-4346-A30F-C7E363F9FEF5}" name="Column11019"/>
    <tableColumn id="11023" xr3:uid="{6C4F3000-82B8-4814-AFC3-805E0FD26990}" name="Column11020"/>
    <tableColumn id="11024" xr3:uid="{4D507BA7-77F7-4C0F-B2D0-BE27CF61AACF}" name="Column11021"/>
    <tableColumn id="11025" xr3:uid="{E678AFE6-0E96-4BD9-B914-E955810A7CE0}" name="Column11022"/>
    <tableColumn id="11026" xr3:uid="{E54118E8-BC26-421F-8D96-0B9969E03F03}" name="Column11023"/>
    <tableColumn id="11027" xr3:uid="{F54C930E-9150-4410-B728-35A0D5E97A49}" name="Column11024"/>
    <tableColumn id="11028" xr3:uid="{9B9EB5BA-14B8-4665-9DA8-66E4BC100B5E}" name="Column11025"/>
    <tableColumn id="11029" xr3:uid="{77500F38-9BC5-4BA3-8535-B832A89A87B5}" name="Column11026"/>
    <tableColumn id="11030" xr3:uid="{544A0876-C7BD-4627-B9FF-D9B947B91CF5}" name="Column11027"/>
    <tableColumn id="11031" xr3:uid="{725EE5AA-1308-4DAC-8C60-A07927E95C87}" name="Column11028"/>
    <tableColumn id="11032" xr3:uid="{E83D2844-ED2E-4E0C-9A12-ABABCA92558A}" name="Column11029"/>
    <tableColumn id="11033" xr3:uid="{7C8A59BA-0B5F-402A-BB98-6364BE7AA612}" name="Column11030"/>
    <tableColumn id="11034" xr3:uid="{D3D63F02-5785-4436-8121-31B99A53B85F}" name="Column11031"/>
    <tableColumn id="11035" xr3:uid="{0C884D0C-C310-421F-A4E3-764E8AB912F7}" name="Column11032"/>
    <tableColumn id="11036" xr3:uid="{DC8DAD21-2376-47AA-A2BD-D5FD537FC216}" name="Column11033"/>
    <tableColumn id="11037" xr3:uid="{DB522319-E43F-4C09-B571-BC2C97C57876}" name="Column11034"/>
    <tableColumn id="11038" xr3:uid="{EE2DD813-CAB9-4299-A6E5-2F94FE34B659}" name="Column11035"/>
    <tableColumn id="11039" xr3:uid="{81D28768-0E69-4334-A153-A91F28BFFF40}" name="Column11036"/>
    <tableColumn id="11040" xr3:uid="{E4844C8A-5A5A-44FD-A066-46F733BEFA4D}" name="Column11037"/>
    <tableColumn id="11041" xr3:uid="{7798690B-B75E-47C0-8533-8E4BE94E92DD}" name="Column11038"/>
    <tableColumn id="11042" xr3:uid="{E4FC32EA-A393-4852-A3F1-63A6667ADE5C}" name="Column11039"/>
    <tableColumn id="11043" xr3:uid="{85AB391A-111E-461F-B1AA-528CD0862625}" name="Column11040"/>
    <tableColumn id="11044" xr3:uid="{8A3A4F54-45C1-4F5C-92AD-FC4BDDF5190D}" name="Column11041"/>
    <tableColumn id="11045" xr3:uid="{A57FF48F-D52C-426B-8874-599E63EDD101}" name="Column11042"/>
    <tableColumn id="11046" xr3:uid="{20CB884B-05B3-4070-A260-D453EFDE5812}" name="Column11043"/>
    <tableColumn id="11047" xr3:uid="{EF490B2A-9637-43EA-961D-09E400DFFC48}" name="Column11044"/>
    <tableColumn id="11048" xr3:uid="{707FB47C-2277-4B94-8729-463F27F95E2F}" name="Column11045"/>
    <tableColumn id="11049" xr3:uid="{B2627ED3-7725-45EB-B5FF-4233874D4EF5}" name="Column11046"/>
    <tableColumn id="11050" xr3:uid="{3A10CA4E-FC0A-446F-9E9F-F5B532533973}" name="Column11047"/>
    <tableColumn id="11051" xr3:uid="{47603E62-4E8C-4E49-8D21-24E395E5F162}" name="Column11048"/>
    <tableColumn id="11052" xr3:uid="{6722A46D-A58C-4DB6-BC7B-C2FE8B1985BF}" name="Column11049"/>
    <tableColumn id="11053" xr3:uid="{F4CAD56A-7127-4DDA-AABA-6BF1EB0577E2}" name="Column11050"/>
    <tableColumn id="11054" xr3:uid="{31FEA528-1469-4EB4-A18C-4A06027398D4}" name="Column11051"/>
    <tableColumn id="11055" xr3:uid="{64010D0D-7FC7-4F9B-B580-892427949497}" name="Column11052"/>
    <tableColumn id="11056" xr3:uid="{992FD84E-709E-414C-ACBC-FBC55A1E913B}" name="Column11053"/>
    <tableColumn id="11057" xr3:uid="{9CF21571-9261-4E6B-8D60-6376147DC6D9}" name="Column11054"/>
    <tableColumn id="11058" xr3:uid="{FE632FB2-EF7E-4DFE-ACB3-DD5AA1C49B78}" name="Column11055"/>
    <tableColumn id="11059" xr3:uid="{87011ED7-CAC6-4D74-95C3-E40BC02DBF22}" name="Column11056"/>
    <tableColumn id="11060" xr3:uid="{0077B586-0815-4B43-BF11-8507D3AAA2CD}" name="Column11057"/>
    <tableColumn id="11061" xr3:uid="{23E295E2-DF4F-4BBA-80D0-DA2463693D8D}" name="Column11058"/>
    <tableColumn id="11062" xr3:uid="{7BB6789D-9054-4DC3-9357-DA22A3DB5D75}" name="Column11059"/>
    <tableColumn id="11063" xr3:uid="{7E3713E8-D98D-430D-90FE-8191883AC10E}" name="Column11060"/>
    <tableColumn id="11064" xr3:uid="{421D12C8-CF4F-4EE7-9EC2-CF3AC6B68454}" name="Column11061"/>
    <tableColumn id="11065" xr3:uid="{6E011099-4AF5-4C25-AE13-49E43E0B225B}" name="Column11062"/>
    <tableColumn id="11066" xr3:uid="{AC7A7638-BBFC-4145-8900-C8A2AD336082}" name="Column11063"/>
    <tableColumn id="11067" xr3:uid="{EB1DC477-1C53-4987-9834-94A3B3B7B449}" name="Column11064"/>
    <tableColumn id="11068" xr3:uid="{F3FCCAFC-CAC8-400B-BAD6-388285D37C8F}" name="Column11065"/>
    <tableColumn id="11069" xr3:uid="{5ED4FAD9-FF90-4E33-B585-B8E760EBDB1A}" name="Column11066"/>
    <tableColumn id="11070" xr3:uid="{543E3B3A-C8D8-427D-B42A-0E95A7BE8C8A}" name="Column11067"/>
    <tableColumn id="11071" xr3:uid="{556E46AF-B42C-4857-A005-D24FEDBB687A}" name="Column11068"/>
    <tableColumn id="11072" xr3:uid="{B70FBEB5-52D9-429D-9F55-BB39CD9C9B34}" name="Column11069"/>
    <tableColumn id="11073" xr3:uid="{7FE3E34D-117D-4C9D-A04F-0D54DBC15089}" name="Column11070"/>
    <tableColumn id="11074" xr3:uid="{E8110A4D-0AD9-4F44-97C3-84234BFECAF1}" name="Column11071"/>
    <tableColumn id="11075" xr3:uid="{B21C7099-923A-4969-952A-7BFC5FEB1017}" name="Column11072"/>
    <tableColumn id="11076" xr3:uid="{95C70507-379A-44A7-A06E-F3082C2CF54F}" name="Column11073"/>
    <tableColumn id="11077" xr3:uid="{431EA6CD-CE7C-4E0A-B8B4-DB62B5A70DAA}" name="Column11074"/>
    <tableColumn id="11078" xr3:uid="{E265691F-B335-49E4-92AB-4E2410D700AD}" name="Column11075"/>
    <tableColumn id="11079" xr3:uid="{9266794C-3477-4507-AD16-A7262F39C1BD}" name="Column11076"/>
    <tableColumn id="11080" xr3:uid="{04EDFF6F-E04D-4329-B0B8-82EEC4447AF4}" name="Column11077"/>
    <tableColumn id="11081" xr3:uid="{996A3D2D-96CB-472B-98B1-F73DD2FD71EE}" name="Column11078"/>
    <tableColumn id="11082" xr3:uid="{C2DEC1B7-66C1-4B97-A9A6-E95FC7E5A6AB}" name="Column11079"/>
    <tableColumn id="11083" xr3:uid="{22D3E1CA-3DD0-4F5F-A014-F6C870903C79}" name="Column11080"/>
    <tableColumn id="11084" xr3:uid="{74EA10E2-2161-4A91-B60A-25FA8F4D850E}" name="Column11081"/>
    <tableColumn id="11085" xr3:uid="{71777F2E-8D95-4196-86C7-119158684156}" name="Column11082"/>
    <tableColumn id="11086" xr3:uid="{6A75A68B-5BBA-4A20-BDDB-5B08B74C1AD6}" name="Column11083"/>
    <tableColumn id="11087" xr3:uid="{EE617AA1-BDD4-4DC7-B285-6994B3D43B03}" name="Column11084"/>
    <tableColumn id="11088" xr3:uid="{50A8D680-A908-4B54-B650-B33F3CFDFDA2}" name="Column11085"/>
    <tableColumn id="11089" xr3:uid="{D941CE7E-94F1-4412-9A9A-D07ACCAC17B3}" name="Column11086"/>
    <tableColumn id="11090" xr3:uid="{7C09DE94-C576-4CFE-88FB-4AC5767D2F14}" name="Column11087"/>
    <tableColumn id="11091" xr3:uid="{8259C335-BEDC-452F-9771-EE4D861E6A78}" name="Column11088"/>
    <tableColumn id="11092" xr3:uid="{84E6E894-4633-4B41-A8DC-42524DD32726}" name="Column11089"/>
    <tableColumn id="11093" xr3:uid="{FFFB80B3-5578-4CB9-812B-82E881B99610}" name="Column11090"/>
    <tableColumn id="11094" xr3:uid="{CF56FF96-B85A-4F5E-9863-7592C8C4810B}" name="Column11091"/>
    <tableColumn id="11095" xr3:uid="{8D550E52-20E6-4D93-A002-33BAD5082109}" name="Column11092"/>
    <tableColumn id="11096" xr3:uid="{B15038D8-99E2-451D-9B70-C793482548D7}" name="Column11093"/>
    <tableColumn id="11097" xr3:uid="{9EBA4D86-0860-4245-97D6-65B9260C57EA}" name="Column11094"/>
    <tableColumn id="11098" xr3:uid="{90485225-285C-4DAE-84E3-1C9F5D4D4392}" name="Column11095"/>
    <tableColumn id="11099" xr3:uid="{989A16F0-CBD2-4AE5-B362-A4CEE1ACB2D3}" name="Column11096"/>
    <tableColumn id="11100" xr3:uid="{27CADDC0-FDC4-4A5E-8FB5-2FE3A431DEAC}" name="Column11097"/>
    <tableColumn id="11101" xr3:uid="{26FBC1AF-65C8-42A1-AB06-0247291CB646}" name="Column11098"/>
    <tableColumn id="11102" xr3:uid="{7F3BBC2E-2158-414E-B60B-79FB985B348D}" name="Column11099"/>
    <tableColumn id="11103" xr3:uid="{F056CDB8-48D4-404A-BFC6-442927000886}" name="Column11100"/>
    <tableColumn id="11104" xr3:uid="{DCD40D7B-3B01-4FAB-B1AD-0016EB81AEAE}" name="Column11101"/>
    <tableColumn id="11105" xr3:uid="{70E4A745-2626-4BBD-B364-00F838F54BBC}" name="Column11102"/>
    <tableColumn id="11106" xr3:uid="{EBA92EF9-87CD-4D7D-86E6-67EE703A8832}" name="Column11103"/>
    <tableColumn id="11107" xr3:uid="{F75C4FF8-86C7-478E-92B3-AC161E609E5E}" name="Column11104"/>
    <tableColumn id="11108" xr3:uid="{71A9F681-BF06-4BF3-9C1F-F9BFC210A2F0}" name="Column11105"/>
    <tableColumn id="11109" xr3:uid="{6E5E9706-19B2-46AB-85FC-4EDD35246D7D}" name="Column11106"/>
    <tableColumn id="11110" xr3:uid="{2A578D02-C4A7-4455-9EEE-91FCEF2F0B5A}" name="Column11107"/>
    <tableColumn id="11111" xr3:uid="{17C7D756-47A3-4C9E-A74E-400DEC2808CD}" name="Column11108"/>
    <tableColumn id="11112" xr3:uid="{5C151BE1-1947-444E-903F-D2C9217593FC}" name="Column11109"/>
    <tableColumn id="11113" xr3:uid="{8E847F77-BD7A-4017-9DEE-25D4E0C22873}" name="Column11110"/>
    <tableColumn id="11114" xr3:uid="{E464818C-41F2-4E57-B866-CEB6ADC2A540}" name="Column11111"/>
    <tableColumn id="11115" xr3:uid="{F7088F21-2624-4856-812B-6D583C0BF2F8}" name="Column11112"/>
    <tableColumn id="11116" xr3:uid="{121A591F-01AB-4E81-8433-A9AC51F81366}" name="Column11113"/>
    <tableColumn id="11117" xr3:uid="{BBE752F2-6FFB-415A-A7CB-7B79394D970A}" name="Column11114"/>
    <tableColumn id="11118" xr3:uid="{34A5D43D-7A83-4685-82F7-6780959FF5E9}" name="Column11115"/>
    <tableColumn id="11119" xr3:uid="{21972ADF-44E9-4F1A-AA2F-FCB68CE8CC61}" name="Column11116"/>
    <tableColumn id="11120" xr3:uid="{16664E1D-8508-46E2-81C3-0F7512F29F5F}" name="Column11117"/>
    <tableColumn id="11121" xr3:uid="{C1941219-FF26-4866-A004-D3B26AEA575E}" name="Column11118"/>
    <tableColumn id="11122" xr3:uid="{B2EBE1EC-983D-479B-9ED8-9C30E1FCA374}" name="Column11119"/>
    <tableColumn id="11123" xr3:uid="{76FBE56B-2525-4D64-95F8-325799BD62C3}" name="Column11120"/>
    <tableColumn id="11124" xr3:uid="{98852E5E-AC58-4E85-BCD2-69A9173ACDAA}" name="Column11121"/>
    <tableColumn id="11125" xr3:uid="{8C001759-F6E6-4423-9AE3-641934C3ACA5}" name="Column11122"/>
    <tableColumn id="11126" xr3:uid="{CB23BEFC-3B3A-4137-8B4B-44DCE819EE9A}" name="Column11123"/>
    <tableColumn id="11127" xr3:uid="{DAD70A65-CD7C-4AE7-814A-C4FBBF0C2A3A}" name="Column11124"/>
    <tableColumn id="11128" xr3:uid="{4651678E-289D-4B51-8091-7038E7B863F6}" name="Column11125"/>
    <tableColumn id="11129" xr3:uid="{5C7ABCA5-0D08-4D1E-A5A5-3F369640A334}" name="Column11126"/>
    <tableColumn id="11130" xr3:uid="{AFDC6A94-3280-459F-B901-31DD5BBD7C8C}" name="Column11127"/>
    <tableColumn id="11131" xr3:uid="{F20BF49E-B83D-4D25-BE9B-2CB3042327E3}" name="Column11128"/>
    <tableColumn id="11132" xr3:uid="{3A154C38-F769-4238-B89E-6D2EFBECC989}" name="Column11129"/>
    <tableColumn id="11133" xr3:uid="{ABD69193-C7C1-47F5-A72B-455F919AD44C}" name="Column11130"/>
    <tableColumn id="11134" xr3:uid="{7E06CB44-4A38-4BF0-BC30-F5FCA2BB09BC}" name="Column11131"/>
    <tableColumn id="11135" xr3:uid="{F2DB5112-561D-439C-B1D6-A22627D9C9F0}" name="Column11132"/>
    <tableColumn id="11136" xr3:uid="{F146C167-351D-4D1B-8192-DC7B4378CC29}" name="Column11133"/>
    <tableColumn id="11137" xr3:uid="{DC507AAD-5079-4E84-ACBF-8FD4C74FB24B}" name="Column11134"/>
    <tableColumn id="11138" xr3:uid="{3C3750A9-AB69-495C-BBFC-C458CA14BB79}" name="Column11135"/>
    <tableColumn id="11139" xr3:uid="{42B9D9C4-520F-444C-AEDD-C0337BDC25F8}" name="Column11136"/>
    <tableColumn id="11140" xr3:uid="{950480C6-E0B7-411B-B3F5-966BE2B48867}" name="Column11137"/>
    <tableColumn id="11141" xr3:uid="{F196E0FE-34FB-4556-B6B7-95FABF8FA41E}" name="Column11138"/>
    <tableColumn id="11142" xr3:uid="{BEC8B6ED-C15B-4F56-B09D-3806946C7C57}" name="Column11139"/>
    <tableColumn id="11143" xr3:uid="{5DD13ABB-4042-438A-91F8-95477659D248}" name="Column11140"/>
    <tableColumn id="11144" xr3:uid="{7B1E1BCD-AEB6-4E24-B49B-FDC58D8CFD40}" name="Column11141"/>
    <tableColumn id="11145" xr3:uid="{B8AF1CC3-0501-4E1D-A212-E8D1A438F513}" name="Column11142"/>
    <tableColumn id="11146" xr3:uid="{2AC99829-06BB-40A3-B428-AE114D6D9B01}" name="Column11143"/>
    <tableColumn id="11147" xr3:uid="{FC1677B6-837B-40B0-A62C-12380B314BA1}" name="Column11144"/>
    <tableColumn id="11148" xr3:uid="{2F9FD3F2-424D-4C87-8530-D0FD922606F5}" name="Column11145"/>
    <tableColumn id="11149" xr3:uid="{6E8788D6-A088-4B4A-AD3F-11C238D25E97}" name="Column11146"/>
    <tableColumn id="11150" xr3:uid="{A453BA8F-CE24-4E1C-9440-F8911A1341C4}" name="Column11147"/>
    <tableColumn id="11151" xr3:uid="{81629D9F-3AA4-4B8B-BB6C-87F6368FA3C6}" name="Column11148"/>
    <tableColumn id="11152" xr3:uid="{D590FABC-7CD7-49AD-A7EA-A4A6EB2BE3ED}" name="Column11149"/>
    <tableColumn id="11153" xr3:uid="{AA12EED5-7181-4F89-8262-27C99B3478A8}" name="Column11150"/>
    <tableColumn id="11154" xr3:uid="{CF9F357D-B72D-4EA4-B259-778BDB23A240}" name="Column11151"/>
    <tableColumn id="11155" xr3:uid="{165AFE5D-3CB7-4DD2-B783-8EA385A8182A}" name="Column11152"/>
    <tableColumn id="11156" xr3:uid="{0A2EB6E9-6B59-493B-8DC6-6B6483796B33}" name="Column11153"/>
    <tableColumn id="11157" xr3:uid="{72D79A6F-4BA6-471C-91F0-253F4C33BB91}" name="Column11154"/>
    <tableColumn id="11158" xr3:uid="{E02AC747-BAE1-4BB7-8266-6D7E60857D6E}" name="Column11155"/>
    <tableColumn id="11159" xr3:uid="{33F5306A-C7FE-49A2-8D92-101F0FDA2919}" name="Column11156"/>
    <tableColumn id="11160" xr3:uid="{9F690E00-4053-4CF8-B3BF-6D1CA8774C8C}" name="Column11157"/>
    <tableColumn id="11161" xr3:uid="{25B72338-005C-48EF-855A-6047B584496E}" name="Column11158"/>
    <tableColumn id="11162" xr3:uid="{0BDDBB7C-8FAA-4E4D-9D67-59C92D204519}" name="Column11159"/>
    <tableColumn id="11163" xr3:uid="{FC49F23D-BEFC-4E80-94F8-D98A94891853}" name="Column11160"/>
    <tableColumn id="11164" xr3:uid="{ADF53A53-A8F1-48CF-9477-727973F99A7D}" name="Column11161"/>
    <tableColumn id="11165" xr3:uid="{E3E5292E-6EEB-48F2-B63D-6922C53D26F9}" name="Column11162"/>
    <tableColumn id="11166" xr3:uid="{6F4BDB13-1FFC-418D-9ECA-F1F79DD0BFE0}" name="Column11163"/>
    <tableColumn id="11167" xr3:uid="{C1C53726-65BD-4D89-8ACB-3CDB2CC54E59}" name="Column11164"/>
    <tableColumn id="11168" xr3:uid="{20E09E2C-53E1-479B-8984-FF6DBAB000CD}" name="Column11165"/>
    <tableColumn id="11169" xr3:uid="{CBCB9B8F-172D-4CAC-B98D-666E4CE2E909}" name="Column11166"/>
    <tableColumn id="11170" xr3:uid="{83493AF3-2863-4ACB-8748-5680E8207B40}" name="Column11167"/>
    <tableColumn id="11171" xr3:uid="{B445F847-FDFC-4E2F-AFC0-D5EE3DCB1A86}" name="Column11168"/>
    <tableColumn id="11172" xr3:uid="{CFDF037A-B0E6-4734-9C96-BBE5AD2EBBFC}" name="Column11169"/>
    <tableColumn id="11173" xr3:uid="{9C1832DF-7A78-46FA-8AF3-B5BD27B1C7E9}" name="Column11170"/>
    <tableColumn id="11174" xr3:uid="{290C88E8-6A03-47E1-8167-68DB155F629C}" name="Column11171"/>
    <tableColumn id="11175" xr3:uid="{076E04EB-35BE-4804-AABE-A7EA0A2F66F6}" name="Column11172"/>
    <tableColumn id="11176" xr3:uid="{EC1C6AB5-77C1-4A1E-8EEE-5671B8830813}" name="Column11173"/>
    <tableColumn id="11177" xr3:uid="{E7B58BEA-70AB-4958-8A2C-6155A1CAA8E8}" name="Column11174"/>
    <tableColumn id="11178" xr3:uid="{5E2499A3-C7AA-45D0-AF7D-C8A428C7955B}" name="Column11175"/>
    <tableColumn id="11179" xr3:uid="{E87491FB-F2C0-4C0D-8367-BBDA86C4A832}" name="Column11176"/>
    <tableColumn id="11180" xr3:uid="{82C6DD6F-6F8D-4328-BF19-1FD516889AD3}" name="Column11177"/>
    <tableColumn id="11181" xr3:uid="{4AFC7AAC-8C52-491A-88E6-EB0ACDC4B183}" name="Column11178"/>
    <tableColumn id="11182" xr3:uid="{26A6911D-7F9F-480F-813A-2D34E7B7F862}" name="Column11179"/>
    <tableColumn id="11183" xr3:uid="{D20CFD25-9A8E-43D3-A0B0-7AEB58528725}" name="Column11180"/>
    <tableColumn id="11184" xr3:uid="{904530EB-CB01-4F4B-994C-D2D4AF9B856A}" name="Column11181"/>
    <tableColumn id="11185" xr3:uid="{CA0D9618-4A20-4825-AD94-A976B4821FC9}" name="Column11182"/>
    <tableColumn id="11186" xr3:uid="{345F8116-08AB-45EA-9537-8E5C1C88EDDE}" name="Column11183"/>
    <tableColumn id="11187" xr3:uid="{B032589E-E65E-4C02-8F9C-CF5B99180545}" name="Column11184"/>
    <tableColumn id="11188" xr3:uid="{C0392DAA-610A-419E-B761-3DB16FB4C633}" name="Column11185"/>
    <tableColumn id="11189" xr3:uid="{C0A38471-B3E1-4238-881E-208BF834F9A1}" name="Column11186"/>
    <tableColumn id="11190" xr3:uid="{85F25CE4-6A86-4345-8F6D-BE5905C7619A}" name="Column11187"/>
    <tableColumn id="11191" xr3:uid="{A3119841-E130-49D2-814D-3635A61886D8}" name="Column11188"/>
    <tableColumn id="11192" xr3:uid="{1301F29A-0517-48EE-BC70-5D6FFDC34517}" name="Column11189"/>
    <tableColumn id="11193" xr3:uid="{2B36D7D2-9FF6-4E2F-96D1-886F8892E7C4}" name="Column11190"/>
    <tableColumn id="11194" xr3:uid="{C20AEC70-E471-4E3F-A575-C961CA34356F}" name="Column11191"/>
    <tableColumn id="11195" xr3:uid="{BCBD842D-38D9-48CD-AF6F-C1498B9D773F}" name="Column11192"/>
    <tableColumn id="11196" xr3:uid="{7A72E76A-7ADF-4E10-8F35-202E37D4AD44}" name="Column11193"/>
    <tableColumn id="11197" xr3:uid="{9A5D3ED5-2C7C-4BA2-A551-EA12C2BC9E26}" name="Column11194"/>
    <tableColumn id="11198" xr3:uid="{9B80D4F3-AD35-407D-888B-B067191BB83B}" name="Column11195"/>
    <tableColumn id="11199" xr3:uid="{0516C913-8D3C-425B-A0CC-75A3517999E2}" name="Column11196"/>
    <tableColumn id="11200" xr3:uid="{6A7108DB-B6AE-47FE-8B20-95A2B130E929}" name="Column11197"/>
    <tableColumn id="11201" xr3:uid="{A712BEDB-FF7D-42B1-972B-D3A13B7726D4}" name="Column11198"/>
    <tableColumn id="11202" xr3:uid="{3F9E3E0F-CC93-4D57-B610-4FF5EA89747C}" name="Column11199"/>
    <tableColumn id="11203" xr3:uid="{E6A756ED-5316-40B0-984B-7A89A37161FA}" name="Column11200"/>
    <tableColumn id="11204" xr3:uid="{899916BB-8EDF-4E2C-B66D-5CCA44FBC415}" name="Column11201"/>
    <tableColumn id="11205" xr3:uid="{33F9AE12-A481-4570-9639-E934F793EA69}" name="Column11202"/>
    <tableColumn id="11206" xr3:uid="{F8B90721-3A5A-439E-B1C9-1CD86E59E9DB}" name="Column11203"/>
    <tableColumn id="11207" xr3:uid="{6A9E5C06-7843-48A3-B446-4E0A03FBAEB0}" name="Column11204"/>
    <tableColumn id="11208" xr3:uid="{00DCD76A-90DC-4A9A-8BD1-D1E73FE3EE19}" name="Column11205"/>
    <tableColumn id="11209" xr3:uid="{35EDA449-61CC-49DD-92D6-4B7E83E06BAF}" name="Column11206"/>
    <tableColumn id="11210" xr3:uid="{ECED68A6-3D1F-40B6-8FD5-23FE0A6A9737}" name="Column11207"/>
    <tableColumn id="11211" xr3:uid="{778A4AE3-29EA-48BC-86AE-F0A003E21CC2}" name="Column11208"/>
    <tableColumn id="11212" xr3:uid="{EDE83A6B-B35B-446E-94EE-A15877CD70CD}" name="Column11209"/>
    <tableColumn id="11213" xr3:uid="{10A554CA-5C74-4D6E-8B0E-D3936CBE7339}" name="Column11210"/>
    <tableColumn id="11214" xr3:uid="{A79E897B-36EC-41F8-8BEA-A615A5A9297B}" name="Column11211"/>
    <tableColumn id="11215" xr3:uid="{92865C84-38F5-4D84-AD3B-F7729E24EBAC}" name="Column11212"/>
    <tableColumn id="11216" xr3:uid="{9702C110-2687-4A50-824D-09F5254C76C1}" name="Column11213"/>
    <tableColumn id="11217" xr3:uid="{74932A66-85DD-4D4E-A3AD-65585A9AF536}" name="Column11214"/>
    <tableColumn id="11218" xr3:uid="{36B51C38-C343-4F4E-ADB7-8F5E15A19368}" name="Column11215"/>
    <tableColumn id="11219" xr3:uid="{0F4C23B2-B62E-4943-A1DE-6CE96245E337}" name="Column11216"/>
    <tableColumn id="11220" xr3:uid="{B396F837-8BDF-4147-97E0-71BDB0051F0F}" name="Column11217"/>
    <tableColumn id="11221" xr3:uid="{8D86A804-2F7C-4ACC-A73C-9A7B26EE8310}" name="Column11218"/>
    <tableColumn id="11222" xr3:uid="{C84CCDEE-56A2-4A71-BBB4-DFE46997741F}" name="Column11219"/>
    <tableColumn id="11223" xr3:uid="{BCACA3C8-268B-4202-9A32-EDFC6D373F27}" name="Column11220"/>
    <tableColumn id="11224" xr3:uid="{437BBF9A-199B-47A0-9E30-05E7F7075F18}" name="Column11221"/>
    <tableColumn id="11225" xr3:uid="{CB47EEC2-37B1-409D-B9D5-F7D25BB3822E}" name="Column11222"/>
    <tableColumn id="11226" xr3:uid="{F5047224-3C2E-4D76-BE38-100F43154013}" name="Column11223"/>
    <tableColumn id="11227" xr3:uid="{D9944549-9163-47C5-A7E4-0FE65A4E3C7C}" name="Column11224"/>
    <tableColumn id="11228" xr3:uid="{5F746EF0-6A48-4063-A0D7-5F5F48B4A4A2}" name="Column11225"/>
    <tableColumn id="11229" xr3:uid="{C15E2EA0-D3D4-4496-86D8-064317C8C718}" name="Column11226"/>
    <tableColumn id="11230" xr3:uid="{6413A40F-3388-41F1-9B28-1AEBB0922A1B}" name="Column11227"/>
    <tableColumn id="11231" xr3:uid="{9B9CF03B-A0B0-4FFC-B2C7-C290D8460D8A}" name="Column11228"/>
    <tableColumn id="11232" xr3:uid="{E6DBF6A1-70FB-495A-9AE2-78D8A847E7FA}" name="Column11229"/>
    <tableColumn id="11233" xr3:uid="{C10A2B89-1EE7-4F12-B278-0AC6E888653E}" name="Column11230"/>
    <tableColumn id="11234" xr3:uid="{1F592E7A-42C5-420D-BF23-FB40DB2917EB}" name="Column11231"/>
    <tableColumn id="11235" xr3:uid="{5AC949E5-849F-4BAD-A86F-2209C8074F92}" name="Column11232"/>
    <tableColumn id="11236" xr3:uid="{F77D28D8-C3B2-41B7-98BB-BCF0E1528F19}" name="Column11233"/>
    <tableColumn id="11237" xr3:uid="{D170284F-ED14-41E0-8155-4017045242B5}" name="Column11234"/>
    <tableColumn id="11238" xr3:uid="{6BF0FB37-37C6-460D-8A0F-CCBC14890711}" name="Column11235"/>
    <tableColumn id="11239" xr3:uid="{E8ED986E-FF99-4770-BD73-F244CCBB5C85}" name="Column11236"/>
    <tableColumn id="11240" xr3:uid="{931F180C-C2FA-4C48-8C4B-AD69F4BF377A}" name="Column11237"/>
    <tableColumn id="11241" xr3:uid="{E689556A-DEAF-443E-A5E7-FDF42049ECB1}" name="Column11238"/>
    <tableColumn id="11242" xr3:uid="{62C63252-6D77-4BC3-B8E1-91A52ED21B4C}" name="Column11239"/>
    <tableColumn id="11243" xr3:uid="{CDC6D0E2-870D-4BA3-99A2-0658AAEFE6E1}" name="Column11240"/>
    <tableColumn id="11244" xr3:uid="{ACF6C699-9E98-45DB-BEBC-A0BF07E3CF84}" name="Column11241"/>
    <tableColumn id="11245" xr3:uid="{A06F4E77-01E5-4A60-8E27-5C766E9D8E2B}" name="Column11242"/>
    <tableColumn id="11246" xr3:uid="{5459B40F-EFAA-4BC1-BA81-B17FB7833812}" name="Column11243"/>
    <tableColumn id="11247" xr3:uid="{304980C2-B297-4822-A58E-3E502F8DDF7E}" name="Column11244"/>
    <tableColumn id="11248" xr3:uid="{DF1A3B75-31E7-4383-88BB-F54B820BDD52}" name="Column11245"/>
    <tableColumn id="11249" xr3:uid="{80570227-5F5C-450E-A448-4438B8CD8963}" name="Column11246"/>
    <tableColumn id="11250" xr3:uid="{7FD8337A-8BEC-4D0D-8528-C71DA358D705}" name="Column11247"/>
    <tableColumn id="11251" xr3:uid="{2C6CDF16-438C-441B-BECC-FD35B5B027B2}" name="Column11248"/>
    <tableColumn id="11252" xr3:uid="{0C09AC5D-42C9-4A17-B551-54D243A26BC5}" name="Column11249"/>
    <tableColumn id="11253" xr3:uid="{F34BC4E0-F152-4F83-BCB2-2B656F1B1AC8}" name="Column11250"/>
    <tableColumn id="11254" xr3:uid="{F17EED2D-E999-45A4-BFC5-0B198F6B83B7}" name="Column11251"/>
    <tableColumn id="11255" xr3:uid="{D7009492-6C8F-43E4-A36A-4472234FEFFE}" name="Column11252"/>
    <tableColumn id="11256" xr3:uid="{01C26462-6751-4B13-9973-16687FEDA0A0}" name="Column11253"/>
    <tableColumn id="11257" xr3:uid="{F4E9A54D-1113-49DD-B3EB-E4F816744D1D}" name="Column11254"/>
    <tableColumn id="11258" xr3:uid="{CAB152ED-2915-4A76-BC4A-D3BAB7BCB895}" name="Column11255"/>
    <tableColumn id="11259" xr3:uid="{BD07B190-9D79-4FC5-9959-139EAA94A53C}" name="Column11256"/>
    <tableColumn id="11260" xr3:uid="{B0E350D3-D6BA-4CA3-B286-14DC2DDCA5E1}" name="Column11257"/>
    <tableColumn id="11261" xr3:uid="{9799036E-F3F7-4667-B815-A3E72AECA0A0}" name="Column11258"/>
    <tableColumn id="11262" xr3:uid="{EED11730-F5CF-4987-9ECB-1EB25BEA1F0E}" name="Column11259"/>
    <tableColumn id="11263" xr3:uid="{4723D0AA-067D-4F78-9932-D91DD44AC960}" name="Column11260"/>
    <tableColumn id="11264" xr3:uid="{AA2B002F-BB51-4B4F-9320-0D7B0B77B259}" name="Column11261"/>
    <tableColumn id="11265" xr3:uid="{654EDA13-BE20-4EFD-9207-3799292DF7FA}" name="Column11262"/>
    <tableColumn id="11266" xr3:uid="{D7BF82D4-36E3-4578-80ED-8AD90AD77A3C}" name="Column11263"/>
    <tableColumn id="11267" xr3:uid="{5AA798FD-BFBF-48B5-95C5-8F4FE0174BA5}" name="Column11264"/>
    <tableColumn id="11268" xr3:uid="{C569D2DB-FD5C-400A-94C5-37CF7CA43932}" name="Column11265"/>
    <tableColumn id="11269" xr3:uid="{975CD762-9813-41AD-850A-3DF94D03EB66}" name="Column11266"/>
    <tableColumn id="11270" xr3:uid="{82DE0B46-E2FD-442B-BE75-9766B5A7A2AA}" name="Column11267"/>
    <tableColumn id="11271" xr3:uid="{1C398210-6DD1-44D8-B9D9-D7BF031B32A7}" name="Column11268"/>
    <tableColumn id="11272" xr3:uid="{219A9D4B-6612-454D-B3D6-B53B61CE9255}" name="Column11269"/>
    <tableColumn id="11273" xr3:uid="{4C119D95-48D0-43AE-8D4C-465A2FF880A9}" name="Column11270"/>
    <tableColumn id="11274" xr3:uid="{AF675CA6-6679-4928-A700-D4A3B508E78D}" name="Column11271"/>
    <tableColumn id="11275" xr3:uid="{BB3BD9B0-B13F-41F8-B70C-B336C28920CE}" name="Column11272"/>
    <tableColumn id="11276" xr3:uid="{28FB63B4-4CE4-4D74-AF5B-77445E8D8286}" name="Column11273"/>
    <tableColumn id="11277" xr3:uid="{2A1575F8-D714-4F9B-8453-5DE280BEAACF}" name="Column11274"/>
    <tableColumn id="11278" xr3:uid="{FECBF61E-5CF8-48BB-91C8-F5CFE06AEDA5}" name="Column11275"/>
    <tableColumn id="11279" xr3:uid="{4F3EC2E7-719D-4161-86B4-765F7606703D}" name="Column11276"/>
    <tableColumn id="11280" xr3:uid="{D6C7E1A0-FD1A-43B1-B287-A08C3D25FC3B}" name="Column11277"/>
    <tableColumn id="11281" xr3:uid="{31304D00-09BA-40B8-8DFF-D1337387DD95}" name="Column11278"/>
    <tableColumn id="11282" xr3:uid="{FBEA45F7-FDA6-4135-BEE8-A4443A76893E}" name="Column11279"/>
    <tableColumn id="11283" xr3:uid="{30BD0E58-E003-4EC4-824A-C5F63D6C1438}" name="Column11280"/>
    <tableColumn id="11284" xr3:uid="{65F6C7F7-27FD-4ED0-9DB2-A114863390E2}" name="Column11281"/>
    <tableColumn id="11285" xr3:uid="{DC7560C9-C6C4-439B-BCC6-953E24062C3E}" name="Column11282"/>
    <tableColumn id="11286" xr3:uid="{CF73D179-7916-4F27-A21B-8EB5A9455EA6}" name="Column11283"/>
    <tableColumn id="11287" xr3:uid="{A64172D0-9C01-4FA3-A248-F6EAFC5BB9DB}" name="Column11284"/>
    <tableColumn id="11288" xr3:uid="{A5BCB860-8060-4950-A509-94DBD6EEECB8}" name="Column11285"/>
    <tableColumn id="11289" xr3:uid="{05E58F46-6C1B-4970-A8D2-09644DB740BA}" name="Column11286"/>
    <tableColumn id="11290" xr3:uid="{B160229F-DF70-4B2C-A211-B1E5A450CC4D}" name="Column11287"/>
    <tableColumn id="11291" xr3:uid="{0389DE02-472A-4F6E-81CA-F099442A89A7}" name="Column11288"/>
    <tableColumn id="11292" xr3:uid="{DEE09BC0-BE8E-4490-A743-F86820E16059}" name="Column11289"/>
    <tableColumn id="11293" xr3:uid="{FF0F1C46-81EE-4ACF-8EC6-605A438485CC}" name="Column11290"/>
    <tableColumn id="11294" xr3:uid="{2D62CB4A-6DDD-4554-A07A-70B01A28252F}" name="Column11291"/>
    <tableColumn id="11295" xr3:uid="{45FC5EE1-D2FC-4A05-8071-AF9A257DE2DB}" name="Column11292"/>
    <tableColumn id="11296" xr3:uid="{BA13419B-D90F-423F-951E-DD759FB50CA4}" name="Column11293"/>
    <tableColumn id="11297" xr3:uid="{9843BCE8-E8DE-43C7-9307-6098E90F6743}" name="Column11294"/>
    <tableColumn id="11298" xr3:uid="{E955F0FD-AEAD-4D63-A897-081F71E97322}" name="Column11295"/>
    <tableColumn id="11299" xr3:uid="{E03F678C-F9FF-476F-B997-8C30FBAF5438}" name="Column11296"/>
    <tableColumn id="11300" xr3:uid="{9F38782C-C966-4FD2-98B7-832D1731BEC3}" name="Column11297"/>
    <tableColumn id="11301" xr3:uid="{25EED430-6702-435F-9DDE-7BB2CA2A4F3D}" name="Column11298"/>
    <tableColumn id="11302" xr3:uid="{DAF1C0DF-4BE2-4875-BE17-BAE4E31A5016}" name="Column11299"/>
    <tableColumn id="11303" xr3:uid="{AE7B0E19-D348-4A64-A82F-D10BAF7B6843}" name="Column11300"/>
    <tableColumn id="11304" xr3:uid="{FA446342-5BFE-4BF0-B57A-0576DE929F73}" name="Column11301"/>
    <tableColumn id="11305" xr3:uid="{928E188D-946D-4020-A967-867D71A72CC3}" name="Column11302"/>
    <tableColumn id="11306" xr3:uid="{142B7E8B-ABBB-4727-83BA-AF734D11C254}" name="Column11303"/>
    <tableColumn id="11307" xr3:uid="{33E025D9-EA14-4DFA-9DAD-6D3CC8BC04B4}" name="Column11304"/>
    <tableColumn id="11308" xr3:uid="{D3A8128B-AE61-4A94-BC5C-0AD554F99054}" name="Column11305"/>
    <tableColumn id="11309" xr3:uid="{101DCA15-8F30-4952-9795-04799A60AE11}" name="Column11306"/>
    <tableColumn id="11310" xr3:uid="{67C24CDB-3CA5-4794-AC01-223D8A02D8FB}" name="Column11307"/>
    <tableColumn id="11311" xr3:uid="{28B04519-CD43-4CCE-B5CF-B0DFF5EF2BF0}" name="Column11308"/>
    <tableColumn id="11312" xr3:uid="{D20D3BB9-3337-4497-8FEA-843B4B1730DE}" name="Column11309"/>
    <tableColumn id="11313" xr3:uid="{A1F759FE-2CEA-447D-9CE7-5BAD3083AF7C}" name="Column11310"/>
    <tableColumn id="11314" xr3:uid="{77794ED6-2371-43A5-99AD-6ED95DD8C416}" name="Column11311"/>
    <tableColumn id="11315" xr3:uid="{1216C1E8-7D2D-4337-90AA-2D9E6161453B}" name="Column11312"/>
    <tableColumn id="11316" xr3:uid="{F2280720-F038-42DD-8060-97A1DE2418D2}" name="Column11313"/>
    <tableColumn id="11317" xr3:uid="{708E5AF7-CE1D-4400-8980-E9409965ECBE}" name="Column11314"/>
    <tableColumn id="11318" xr3:uid="{33F9CA70-12B4-4012-929D-9A7D2605A838}" name="Column11315"/>
    <tableColumn id="11319" xr3:uid="{E5B2EFE4-D661-48E2-A165-5CB3531BBD6C}" name="Column11316"/>
    <tableColumn id="11320" xr3:uid="{FF3AA609-54E5-408C-96C6-25CCB6C88C21}" name="Column11317"/>
    <tableColumn id="11321" xr3:uid="{58AB11F1-DFD9-4B94-BACE-9D3E63C50CA3}" name="Column11318"/>
    <tableColumn id="11322" xr3:uid="{2184278B-0A29-4D1C-BCA3-EF59078588C1}" name="Column11319"/>
    <tableColumn id="11323" xr3:uid="{73206F24-DC2B-41E2-BA9F-BC2F01184FC0}" name="Column11320"/>
    <tableColumn id="11324" xr3:uid="{D87D8592-082E-4C88-8FA2-987D5448B3FB}" name="Column11321"/>
    <tableColumn id="11325" xr3:uid="{6038BAAA-77A1-4AF2-AEDF-8319CD925AA0}" name="Column11322"/>
    <tableColumn id="11326" xr3:uid="{FBA30593-3016-435F-8A45-CE82AE21E71F}" name="Column11323"/>
    <tableColumn id="11327" xr3:uid="{12A1B54A-4C8D-432E-B5B7-DE6C8277C881}" name="Column11324"/>
    <tableColumn id="11328" xr3:uid="{99BDB30D-BF3A-441F-AAAE-A9D8AB496F2F}" name="Column11325"/>
    <tableColumn id="11329" xr3:uid="{5835AD57-D702-44B7-83F3-C3CD0DC51999}" name="Column11326"/>
    <tableColumn id="11330" xr3:uid="{96C92DBB-81D0-43D6-8E29-EA505830F635}" name="Column11327"/>
    <tableColumn id="11331" xr3:uid="{1CD10CD4-123A-4469-AC38-A6A54F9175A1}" name="Column11328"/>
    <tableColumn id="11332" xr3:uid="{19F4A4C9-385A-4FD2-8D28-BC968D2F2970}" name="Column11329"/>
    <tableColumn id="11333" xr3:uid="{A917BC27-892E-40F2-A9A9-2BB334BBB409}" name="Column11330"/>
    <tableColumn id="11334" xr3:uid="{3C9E2603-CAD8-4078-B731-3EBDE4E71855}" name="Column11331"/>
    <tableColumn id="11335" xr3:uid="{7CA3575F-BC9B-4E6F-9F5D-686BFA474760}" name="Column11332"/>
    <tableColumn id="11336" xr3:uid="{9B25E22F-C8EB-4E4B-8F7C-83596D87E070}" name="Column11333"/>
    <tableColumn id="11337" xr3:uid="{CB1F5DB2-3E60-4240-94FE-1D104F0C3CC9}" name="Column11334"/>
    <tableColumn id="11338" xr3:uid="{48859385-DDE9-4965-A4DC-BAF126C5E38E}" name="Column11335"/>
    <tableColumn id="11339" xr3:uid="{3A87A1B8-901A-4764-9676-2CE448B83AC1}" name="Column11336"/>
    <tableColumn id="11340" xr3:uid="{B9A3D37F-F10F-4FC3-BFEE-231A8D915F5D}" name="Column11337"/>
    <tableColumn id="11341" xr3:uid="{C815B277-4803-46C3-BF6D-8C7060DAB459}" name="Column11338"/>
    <tableColumn id="11342" xr3:uid="{F8B601BB-9F29-49B7-902B-E0DAC9271032}" name="Column11339"/>
    <tableColumn id="11343" xr3:uid="{414CC57F-8C8C-4D47-BBF1-A3C6171A1E78}" name="Column11340"/>
    <tableColumn id="11344" xr3:uid="{EF2182E5-5830-4423-BCC3-E4D318BA3B54}" name="Column11341"/>
    <tableColumn id="11345" xr3:uid="{79D1BE0B-DCB7-440B-8025-3C1ADDBD2BBE}" name="Column11342"/>
    <tableColumn id="11346" xr3:uid="{4BD57BF4-7110-4CB5-90FF-7BB4C4504747}" name="Column11343"/>
    <tableColumn id="11347" xr3:uid="{561E672B-72E3-40CD-BE0E-362CE9926E32}" name="Column11344"/>
    <tableColumn id="11348" xr3:uid="{BA1A934D-44AF-4C44-8308-FC5CB4127A3B}" name="Column11345"/>
    <tableColumn id="11349" xr3:uid="{BE66DDFF-BFBD-4255-884A-057615F4474E}" name="Column11346"/>
    <tableColumn id="11350" xr3:uid="{0A13D8CD-87B8-4C78-AD02-F7871C13F05D}" name="Column11347"/>
    <tableColumn id="11351" xr3:uid="{B574A0B7-C7D1-4B71-AB21-782613CDD958}" name="Column11348"/>
    <tableColumn id="11352" xr3:uid="{88E4C0C4-31E5-4767-8CE9-E3FAA51A4129}" name="Column11349"/>
    <tableColumn id="11353" xr3:uid="{14896BB3-038E-4557-AE0C-1839FA2412FE}" name="Column11350"/>
    <tableColumn id="11354" xr3:uid="{3F941D49-3093-47BB-BA01-085ABFA1D116}" name="Column11351"/>
    <tableColumn id="11355" xr3:uid="{50B4E7D4-CA2B-4D14-A4C9-8065F77894EC}" name="Column11352"/>
    <tableColumn id="11356" xr3:uid="{93945008-5172-4DE6-BAD9-0A3615DE5B00}" name="Column11353"/>
    <tableColumn id="11357" xr3:uid="{C5F678A5-5948-4B47-AE03-9FDD6C693338}" name="Column11354"/>
    <tableColumn id="11358" xr3:uid="{86F5A3C3-DDB8-46F1-B3F3-B0986F4B06A5}" name="Column11355"/>
    <tableColumn id="11359" xr3:uid="{9097B722-01E3-420F-9E7B-D7F949503EEC}" name="Column11356"/>
    <tableColumn id="11360" xr3:uid="{35FC5BB0-62C6-4EB8-BDE5-677954D5C1E4}" name="Column11357"/>
    <tableColumn id="11361" xr3:uid="{2421FCBC-3C16-488E-A0A6-C2BE805C01F4}" name="Column11358"/>
    <tableColumn id="11362" xr3:uid="{1E3089B7-2AAA-43E1-B0D4-4EE34A7B1624}" name="Column11359"/>
    <tableColumn id="11363" xr3:uid="{07E4AC74-2C99-4848-A3FF-02D165CD4B70}" name="Column11360"/>
    <tableColumn id="11364" xr3:uid="{486901BC-D0E3-4BDC-BA82-4F8F10B2D2F3}" name="Column11361"/>
    <tableColumn id="11365" xr3:uid="{B29E9836-480B-46D5-AD4E-BEEA27396D1B}" name="Column11362"/>
    <tableColumn id="11366" xr3:uid="{DEC22EC6-C36D-4AE0-B054-AEE9F3988CB2}" name="Column11363"/>
    <tableColumn id="11367" xr3:uid="{91E0E4FB-A04A-45C4-B5EF-E875676FA976}" name="Column11364"/>
    <tableColumn id="11368" xr3:uid="{B0518960-45FE-4CC7-8B9A-948CC9282C8E}" name="Column11365"/>
    <tableColumn id="11369" xr3:uid="{2E27DC5A-3516-4620-8BDA-66E0B9B14C16}" name="Column11366"/>
    <tableColumn id="11370" xr3:uid="{BBCC2117-4AF6-4083-85AF-34A85CD8268D}" name="Column11367"/>
    <tableColumn id="11371" xr3:uid="{58B0E112-7B02-44E7-ADD4-AE18316720E3}" name="Column11368"/>
    <tableColumn id="11372" xr3:uid="{2BB7ABA8-E12B-41E8-B56A-D93DC643ACB9}" name="Column11369"/>
    <tableColumn id="11373" xr3:uid="{072B304E-4643-481A-9CD0-D7D0690C6521}" name="Column11370"/>
    <tableColumn id="11374" xr3:uid="{EDA961BB-104E-403A-869B-A0BAC26D5E0F}" name="Column11371"/>
    <tableColumn id="11375" xr3:uid="{83FD8215-871D-4D18-942D-C496EE8D8E44}" name="Column11372"/>
    <tableColumn id="11376" xr3:uid="{93112F50-08CA-48CA-9141-62A9C4FD4C6B}" name="Column11373"/>
    <tableColumn id="11377" xr3:uid="{537CE326-1439-4D3E-A2D2-B7B1567245DE}" name="Column11374"/>
    <tableColumn id="11378" xr3:uid="{BBB2BEE2-3F6D-4D50-B105-D9C96BF335C0}" name="Column11375"/>
    <tableColumn id="11379" xr3:uid="{F5999588-672F-412B-A27F-60B4E420AC13}" name="Column11376"/>
    <tableColumn id="11380" xr3:uid="{B73C5198-E52B-4930-A632-AA9A9FB195AB}" name="Column11377"/>
    <tableColumn id="11381" xr3:uid="{E62B05E4-D0BE-4487-BD14-37451DFEAB0A}" name="Column11378"/>
    <tableColumn id="11382" xr3:uid="{7EB89B74-E3D7-48D0-91AA-5FBB8DB17EB4}" name="Column11379"/>
    <tableColumn id="11383" xr3:uid="{7C92027E-A8B3-4622-9440-7D9F9C84A7AD}" name="Column11380"/>
    <tableColumn id="11384" xr3:uid="{A2D5D3FB-2E8D-4555-B0BA-43491D22E6B5}" name="Column11381"/>
    <tableColumn id="11385" xr3:uid="{B3B616A0-443B-44D5-BEFE-B15D2A5E071A}" name="Column11382"/>
    <tableColumn id="11386" xr3:uid="{4629AAD0-614F-42BD-8B88-32A620F3E732}" name="Column11383"/>
    <tableColumn id="11387" xr3:uid="{3AF80D1B-2CEE-4D12-80DD-9F35C97D3C87}" name="Column11384"/>
    <tableColumn id="11388" xr3:uid="{2FD914E5-C7E0-4347-AFE4-B3935D6137FE}" name="Column11385"/>
    <tableColumn id="11389" xr3:uid="{53A77DFD-C787-4581-BD13-F3DB4CB36120}" name="Column11386"/>
    <tableColumn id="11390" xr3:uid="{AFE89A91-1023-4178-BFAD-52F09388BAC4}" name="Column11387"/>
    <tableColumn id="11391" xr3:uid="{EB97F837-64C0-4782-AA55-D8C5CB234897}" name="Column11388"/>
    <tableColumn id="11392" xr3:uid="{B473AF2A-64F9-4307-AE13-EFE0DA459F6F}" name="Column11389"/>
    <tableColumn id="11393" xr3:uid="{E0A727BC-C97D-4294-95BD-090667C2172B}" name="Column11390"/>
    <tableColumn id="11394" xr3:uid="{7C129065-52F0-4A41-A026-33CA535599AD}" name="Column11391"/>
    <tableColumn id="11395" xr3:uid="{19F0963C-78F9-4031-B245-BB3478A1A639}" name="Column11392"/>
    <tableColumn id="11396" xr3:uid="{09CF722A-CC80-4DBF-B891-668C2A6584B5}" name="Column11393"/>
    <tableColumn id="11397" xr3:uid="{528FCCFF-46CE-47A8-9008-50813E72CB20}" name="Column11394"/>
    <tableColumn id="11398" xr3:uid="{F721CCD4-7A72-4401-B5E2-85919801CE00}" name="Column11395"/>
    <tableColumn id="11399" xr3:uid="{8D340777-A65F-4EF5-952A-197F25AFDE10}" name="Column11396"/>
    <tableColumn id="11400" xr3:uid="{914B4331-3F84-4602-A1A5-9B8AF728963A}" name="Column11397"/>
    <tableColumn id="11401" xr3:uid="{2B4D8B4C-D6B2-48C3-93E0-952386219E25}" name="Column11398"/>
    <tableColumn id="11402" xr3:uid="{2F6EBE3F-AFF7-4E96-B822-F3DAAB408984}" name="Column11399"/>
    <tableColumn id="11403" xr3:uid="{3C2DBA95-CDBF-4264-86B0-8AC2D545D74F}" name="Column11400"/>
    <tableColumn id="11404" xr3:uid="{134864D5-2380-41C7-B80E-0711F5AB3222}" name="Column11401"/>
    <tableColumn id="11405" xr3:uid="{F70B9D93-A1FE-441B-A2E7-D2B6C0D0B68A}" name="Column11402"/>
    <tableColumn id="11406" xr3:uid="{D374A34C-217E-4A13-A3F9-935C548DE8D1}" name="Column11403"/>
    <tableColumn id="11407" xr3:uid="{EF9CF49F-4FAC-4052-9D50-68BF0CA33F86}" name="Column11404"/>
    <tableColumn id="11408" xr3:uid="{157BEC04-99C0-4F5C-8570-04B8A2A6ED07}" name="Column11405"/>
    <tableColumn id="11409" xr3:uid="{FF3879C2-B043-4CC1-93E7-642617E8EF2A}" name="Column11406"/>
    <tableColumn id="11410" xr3:uid="{56054915-2F5F-4E24-B459-C8D86C98B0FF}" name="Column11407"/>
    <tableColumn id="11411" xr3:uid="{13973C11-B297-491D-AFC9-4B4872CEE737}" name="Column11408"/>
    <tableColumn id="11412" xr3:uid="{2844C0B7-41FB-4823-B08B-125787D91DE2}" name="Column11409"/>
    <tableColumn id="11413" xr3:uid="{EDA22165-8855-41A0-B409-610B4D66752A}" name="Column11410"/>
    <tableColumn id="11414" xr3:uid="{A3C8ED62-306D-4D26-ACB9-9B69A0823B3D}" name="Column11411"/>
    <tableColumn id="11415" xr3:uid="{2EE38E31-1244-4F5D-937A-7533041EE845}" name="Column11412"/>
    <tableColumn id="11416" xr3:uid="{4C3D9FB4-D3E4-4E52-B2E6-89F4DAF99C44}" name="Column11413"/>
    <tableColumn id="11417" xr3:uid="{2CD446F6-492B-4E77-81EA-F7FF82C645E2}" name="Column11414"/>
    <tableColumn id="11418" xr3:uid="{87424FA6-72DF-4047-A20B-11E717BE266A}" name="Column11415"/>
    <tableColumn id="11419" xr3:uid="{BC61E410-3259-4B21-8235-A05BEEEBB310}" name="Column11416"/>
    <tableColumn id="11420" xr3:uid="{52FCCCC5-18C7-437E-96E0-CCB74089E678}" name="Column11417"/>
    <tableColumn id="11421" xr3:uid="{F9E0904F-2D4F-4BAA-B10B-0DF7F46C58A2}" name="Column11418"/>
    <tableColumn id="11422" xr3:uid="{81E29B86-E82C-4A74-A126-6DBD6CEDB67A}" name="Column11419"/>
    <tableColumn id="11423" xr3:uid="{B58C2289-E32F-483A-B99F-A7CB84DA91C9}" name="Column11420"/>
    <tableColumn id="11424" xr3:uid="{7A37264B-E2CC-42C7-9898-296521B9C5CE}" name="Column11421"/>
    <tableColumn id="11425" xr3:uid="{91386633-8DB9-432A-A056-6C02E2BF3B03}" name="Column11422"/>
    <tableColumn id="11426" xr3:uid="{E8B1BC48-E010-4B3B-A243-9185A3D049D5}" name="Column11423"/>
    <tableColumn id="11427" xr3:uid="{C3C05405-AF46-42D1-93C4-4FD85CB3F099}" name="Column11424"/>
    <tableColumn id="11428" xr3:uid="{90079E5E-5D80-4A3A-A446-8CBC8CF08FF5}" name="Column11425"/>
    <tableColumn id="11429" xr3:uid="{6249EA37-F853-4A49-B5D1-0C1CE9AFEB14}" name="Column11426"/>
    <tableColumn id="11430" xr3:uid="{67398F95-6B41-48B8-A8C0-E712558FDABF}" name="Column11427"/>
    <tableColumn id="11431" xr3:uid="{C84A43EF-216B-414A-B063-D13F5A802A33}" name="Column11428"/>
    <tableColumn id="11432" xr3:uid="{33D303F5-E3F3-474B-A31D-1FCC9E56CD1C}" name="Column11429"/>
    <tableColumn id="11433" xr3:uid="{ADC30BA8-B8BA-440A-9A91-92C9A51EDC13}" name="Column11430"/>
    <tableColumn id="11434" xr3:uid="{15D1A4F0-57E2-428B-B4FC-9A16983BCB96}" name="Column11431"/>
    <tableColumn id="11435" xr3:uid="{D135B85C-0FE1-4565-A8FF-3D231011CADB}" name="Column11432"/>
    <tableColumn id="11436" xr3:uid="{BD3F6C61-DE45-435E-91E6-17FA36634EFA}" name="Column11433"/>
    <tableColumn id="11437" xr3:uid="{F725CF7B-F7B7-44A6-88A9-B6CA9A5966FB}" name="Column11434"/>
    <tableColumn id="11438" xr3:uid="{E9A5BD61-C02B-4852-9C43-BAD5CCD0C735}" name="Column11435"/>
    <tableColumn id="11439" xr3:uid="{D27729EC-17DD-4768-9189-179AF1C8F319}" name="Column11436"/>
    <tableColumn id="11440" xr3:uid="{B82C5A73-599D-4850-890C-7E32270EF32A}" name="Column11437"/>
    <tableColumn id="11441" xr3:uid="{4F041860-2147-4702-AB00-09396376C498}" name="Column11438"/>
    <tableColumn id="11442" xr3:uid="{C2073746-8413-4F93-A79C-E1830EDE1BC6}" name="Column11439"/>
    <tableColumn id="11443" xr3:uid="{FF5EFB20-1240-44ED-8650-A7E3F0E85091}" name="Column11440"/>
    <tableColumn id="11444" xr3:uid="{547A362F-AD4A-48BF-89C0-59E40798344A}" name="Column11441"/>
    <tableColumn id="11445" xr3:uid="{484CBEF6-2CB7-45A4-B30E-8085C47CF86D}" name="Column11442"/>
    <tableColumn id="11446" xr3:uid="{2987F209-27C6-413D-8672-74DB73BFECF2}" name="Column11443"/>
    <tableColumn id="11447" xr3:uid="{AE0FF61B-376E-4ECD-9D7B-66FC2FA00808}" name="Column11444"/>
    <tableColumn id="11448" xr3:uid="{21BDAA3D-8E72-4F2F-B87F-CBAB6ADF32FA}" name="Column11445"/>
    <tableColumn id="11449" xr3:uid="{5761073C-8630-460E-A00B-A8CF10565752}" name="Column11446"/>
    <tableColumn id="11450" xr3:uid="{5838577A-98EE-4B94-BFF3-B2927A473600}" name="Column11447"/>
    <tableColumn id="11451" xr3:uid="{4595B42C-3D6E-44B9-B773-CC822FDDB9F6}" name="Column11448"/>
    <tableColumn id="11452" xr3:uid="{1DB61AA4-35B7-477B-BE33-7938790927C6}" name="Column11449"/>
    <tableColumn id="11453" xr3:uid="{35911511-5EF9-4997-9663-0BB852CED880}" name="Column11450"/>
    <tableColumn id="11454" xr3:uid="{01477EF7-3AC5-4888-AE46-981770352624}" name="Column11451"/>
    <tableColumn id="11455" xr3:uid="{1FC16097-D13D-4C1C-A311-354666798508}" name="Column11452"/>
    <tableColumn id="11456" xr3:uid="{BA6F87F2-B2F3-4FFB-95E0-32B99B6D6245}" name="Column11453"/>
    <tableColumn id="11457" xr3:uid="{CDB7068F-232B-45D8-BBC5-D4CE2833242A}" name="Column11454"/>
    <tableColumn id="11458" xr3:uid="{C9950166-97F3-4991-A2E1-3238AF0A7767}" name="Column11455"/>
    <tableColumn id="11459" xr3:uid="{7F9D7246-AB51-4124-9883-941B54234DEB}" name="Column11456"/>
    <tableColumn id="11460" xr3:uid="{F3A64C7A-5F64-47C9-AD0A-0505B7DF47DF}" name="Column11457"/>
    <tableColumn id="11461" xr3:uid="{1A42D061-E05D-4CCF-A937-D0E75BE1B034}" name="Column11458"/>
    <tableColumn id="11462" xr3:uid="{1A301C64-721E-48E2-9FB6-D65613D0BF0A}" name="Column11459"/>
    <tableColumn id="11463" xr3:uid="{18FEF23C-957B-44DE-A38A-4675C340C94C}" name="Column11460"/>
    <tableColumn id="11464" xr3:uid="{B6C9C4F4-A695-424F-ABF3-CA9036F8F6DD}" name="Column11461"/>
    <tableColumn id="11465" xr3:uid="{B763BD9F-4935-46AE-ADD9-7C0D2C5B5B44}" name="Column11462"/>
    <tableColumn id="11466" xr3:uid="{2450A2E7-5A6F-4A78-8F05-54E8F11833F0}" name="Column11463"/>
    <tableColumn id="11467" xr3:uid="{641DB52B-C689-47F1-B43F-06C84F523CA6}" name="Column11464"/>
    <tableColumn id="11468" xr3:uid="{9E15A1CB-56DE-47D7-87BB-E7D61FEC9B48}" name="Column11465"/>
    <tableColumn id="11469" xr3:uid="{F36F66FD-A93D-48E7-81DF-1846E0132CE9}" name="Column11466"/>
    <tableColumn id="11470" xr3:uid="{9994E276-246D-488B-99DA-C4229E421A48}" name="Column11467"/>
    <tableColumn id="11471" xr3:uid="{7BFE7622-FB6B-4FDC-B513-6B6CC057F693}" name="Column11468"/>
    <tableColumn id="11472" xr3:uid="{F4C607C5-1ADA-455F-9F0E-2C6D1EE36ED0}" name="Column11469"/>
    <tableColumn id="11473" xr3:uid="{8161253F-C1C3-4410-BCE9-099B6A4DE1A7}" name="Column11470"/>
    <tableColumn id="11474" xr3:uid="{59E2D5D5-65C2-48D3-A138-CB0AA6FC462B}" name="Column11471"/>
    <tableColumn id="11475" xr3:uid="{7D2DB5C5-728A-4213-9F4E-D1BE2AD952B8}" name="Column11472"/>
    <tableColumn id="11476" xr3:uid="{2FDDA633-1010-4623-8DBE-465EDB8EB4D9}" name="Column11473"/>
    <tableColumn id="11477" xr3:uid="{DAE7EE7F-8CEE-465C-ABCD-BE953F589F39}" name="Column11474"/>
    <tableColumn id="11478" xr3:uid="{7EF7BB32-39B7-41E6-88AB-7797C99CD2B7}" name="Column11475"/>
    <tableColumn id="11479" xr3:uid="{E8F5279D-A78E-450E-8792-474F97DE2586}" name="Column11476"/>
    <tableColumn id="11480" xr3:uid="{7E9A5E10-EC80-41C8-B6D4-5B02527BD9FA}" name="Column11477"/>
    <tableColumn id="11481" xr3:uid="{85E0406D-8337-4958-8A90-4CE52E2CB385}" name="Column11478"/>
    <tableColumn id="11482" xr3:uid="{E38FCF1E-04D6-493D-A8DC-4A4967761244}" name="Column11479"/>
    <tableColumn id="11483" xr3:uid="{8FAEB7FD-1895-4ED4-96E5-090A37289A58}" name="Column11480"/>
    <tableColumn id="11484" xr3:uid="{A7B11BD1-D76F-47B5-A819-E07F17BA35E8}" name="Column11481"/>
    <tableColumn id="11485" xr3:uid="{66D18F73-0D4B-4C23-A07D-DD4C2F279F33}" name="Column11482"/>
    <tableColumn id="11486" xr3:uid="{491798C2-0C64-46F8-B76D-B7B6F8847E5F}" name="Column11483"/>
    <tableColumn id="11487" xr3:uid="{F00B0C68-EB81-4E69-A0AC-81F865954DB5}" name="Column11484"/>
    <tableColumn id="11488" xr3:uid="{BFA49E75-4043-4B4B-8440-EA0FEDD152A6}" name="Column11485"/>
    <tableColumn id="11489" xr3:uid="{C8B08995-4E5A-4EF1-903D-454679565D51}" name="Column11486"/>
    <tableColumn id="11490" xr3:uid="{054100E2-9B6B-436B-BCB5-AB0A48EF4B39}" name="Column11487"/>
    <tableColumn id="11491" xr3:uid="{B27D481F-3A32-4285-B0DC-B7B5CDA1C8C9}" name="Column11488"/>
    <tableColumn id="11492" xr3:uid="{764BD415-DDA6-46AA-A099-DF2C1F0D8876}" name="Column11489"/>
    <tableColumn id="11493" xr3:uid="{1DB84FEC-7E1C-4BCE-84BC-4D8B0A3B7F3C}" name="Column11490"/>
    <tableColumn id="11494" xr3:uid="{989FADCF-D863-41F9-9295-129A1FE68343}" name="Column11491"/>
    <tableColumn id="11495" xr3:uid="{C9C02800-9626-424D-89FB-9AC669D20400}" name="Column11492"/>
    <tableColumn id="11496" xr3:uid="{399544BA-A1EC-42E5-9DB5-5B623000EDC8}" name="Column11493"/>
    <tableColumn id="11497" xr3:uid="{64C31858-F77E-4C1D-B23E-C5EA9E16F506}" name="Column11494"/>
    <tableColumn id="11498" xr3:uid="{4AB33FED-9539-4719-B821-0E776E85B70E}" name="Column11495"/>
    <tableColumn id="11499" xr3:uid="{CF93A117-D956-4EBE-8A54-18DA489E0F48}" name="Column11496"/>
    <tableColumn id="11500" xr3:uid="{16C2EEA0-B51C-47D6-B88A-D67038371C56}" name="Column11497"/>
    <tableColumn id="11501" xr3:uid="{A8A91EFE-4DAE-4324-9DD4-09D606A260DB}" name="Column11498"/>
    <tableColumn id="11502" xr3:uid="{EEC7E1EC-6FBD-44B3-9FE6-E56A1EF34962}" name="Column11499"/>
    <tableColumn id="11503" xr3:uid="{A268DEF1-53E3-41AB-8BB8-C211EB0F8783}" name="Column11500"/>
    <tableColumn id="11504" xr3:uid="{06BE66BF-58E4-4E72-B869-A70C762010E7}" name="Column11501"/>
    <tableColumn id="11505" xr3:uid="{721EDECB-D878-4911-A494-87BF557F649A}" name="Column11502"/>
    <tableColumn id="11506" xr3:uid="{0D074262-5E32-41DC-A868-81437CD7D076}" name="Column11503"/>
    <tableColumn id="11507" xr3:uid="{EAEB4405-3222-4CFB-B7B9-0B654365C3E1}" name="Column11504"/>
    <tableColumn id="11508" xr3:uid="{5E654619-BD6C-4CD6-B27A-9F6A88540E1A}" name="Column11505"/>
    <tableColumn id="11509" xr3:uid="{98667365-F534-4813-9A49-5E1B13B5C176}" name="Column11506"/>
    <tableColumn id="11510" xr3:uid="{82031F0B-DFD3-4EAC-B5A1-A76BC20AB980}" name="Column11507"/>
    <tableColumn id="11511" xr3:uid="{206F355C-3F0C-4248-AE92-5604AE1C9EBB}" name="Column11508"/>
    <tableColumn id="11512" xr3:uid="{2C18C95E-EA8B-4FF3-B3DD-A9C3CB98CC0F}" name="Column11509"/>
    <tableColumn id="11513" xr3:uid="{626F16A3-A24B-46F7-9E8A-E95010CC11D8}" name="Column11510"/>
    <tableColumn id="11514" xr3:uid="{91A165E3-DDB9-4722-B312-72D25864D091}" name="Column11511"/>
    <tableColumn id="11515" xr3:uid="{832B1A34-11ED-42A7-A374-D56D2F35367D}" name="Column11512"/>
    <tableColumn id="11516" xr3:uid="{4A103FAF-0D12-45D5-B38E-D546ED66E0AD}" name="Column11513"/>
    <tableColumn id="11517" xr3:uid="{F23F0397-C057-46EA-86AA-F5D88AE17B97}" name="Column11514"/>
    <tableColumn id="11518" xr3:uid="{C6E5E404-C520-4E14-AFC4-6784B386CB11}" name="Column11515"/>
    <tableColumn id="11519" xr3:uid="{DDFA5E0B-40D6-473C-9218-7EB0F03C3344}" name="Column11516"/>
    <tableColumn id="11520" xr3:uid="{EC64DC59-BC50-4267-934E-682638BFE8B6}" name="Column11517"/>
    <tableColumn id="11521" xr3:uid="{5284AAEA-1638-4F73-8EBE-BD08CECAA7C5}" name="Column11518"/>
    <tableColumn id="11522" xr3:uid="{14989111-DCD8-42D6-9E86-50EE44E3D8B1}" name="Column11519"/>
    <tableColumn id="11523" xr3:uid="{C0EA0955-231D-478B-AD3F-27D4673C577B}" name="Column11520"/>
    <tableColumn id="11524" xr3:uid="{45793A77-7D27-407F-98E7-B1B7D891C699}" name="Column11521"/>
    <tableColumn id="11525" xr3:uid="{95856071-B716-45F4-8104-2820557094AE}" name="Column11522"/>
    <tableColumn id="11526" xr3:uid="{14B858F8-5A24-4A61-BE4C-7BB9AC954390}" name="Column11523"/>
    <tableColumn id="11527" xr3:uid="{31779122-224A-4C5F-AB9B-5E955E0DBE54}" name="Column11524"/>
    <tableColumn id="11528" xr3:uid="{93E567F8-C5B2-4283-A13F-F27D237AE5C7}" name="Column11525"/>
    <tableColumn id="11529" xr3:uid="{DA1D5057-7450-4055-8A2D-F1EC50D632CB}" name="Column11526"/>
    <tableColumn id="11530" xr3:uid="{972C3174-7DD6-423F-BD34-99861558B799}" name="Column11527"/>
    <tableColumn id="11531" xr3:uid="{23CB19EE-CEA3-4A85-BC77-371C62D733B3}" name="Column11528"/>
    <tableColumn id="11532" xr3:uid="{E51405DA-0FDF-472A-BD23-DBCEB151B6AF}" name="Column11529"/>
    <tableColumn id="11533" xr3:uid="{A6135E44-8A30-492E-8E19-98796281D94A}" name="Column11530"/>
    <tableColumn id="11534" xr3:uid="{9776A671-5547-4FBB-8E7E-E8AA0759E84C}" name="Column11531"/>
    <tableColumn id="11535" xr3:uid="{284B9DFC-366C-4117-88FA-75EA156968BB}" name="Column11532"/>
    <tableColumn id="11536" xr3:uid="{F4326A61-4EE5-4996-A511-5EB1BC690D62}" name="Column11533"/>
    <tableColumn id="11537" xr3:uid="{969E10A1-297A-451F-9963-5263EB45DA6A}" name="Column11534"/>
    <tableColumn id="11538" xr3:uid="{7C65D8E9-9BAC-40CD-B201-3422E14A10ED}" name="Column11535"/>
    <tableColumn id="11539" xr3:uid="{DB0CC225-5069-479C-8417-0EB71521E433}" name="Column11536"/>
    <tableColumn id="11540" xr3:uid="{E4EE8644-D8FC-401A-9EC7-08CF932D3A12}" name="Column11537"/>
    <tableColumn id="11541" xr3:uid="{A9026535-7F43-408B-9615-3462C16AE436}" name="Column11538"/>
    <tableColumn id="11542" xr3:uid="{BF48D8D1-0E6E-4B4D-8618-6678E89FF302}" name="Column11539"/>
    <tableColumn id="11543" xr3:uid="{8A1751F2-F7AF-4350-BA7A-0B9D59A27158}" name="Column11540"/>
    <tableColumn id="11544" xr3:uid="{F7A69BE5-177C-42DA-B81F-107052B92D3C}" name="Column11541"/>
    <tableColumn id="11545" xr3:uid="{45549A13-EF1F-4EDA-BF52-F850BBD7DC62}" name="Column11542"/>
    <tableColumn id="11546" xr3:uid="{DC983B95-BAD0-45AA-8879-3E016CFAAABB}" name="Column11543"/>
    <tableColumn id="11547" xr3:uid="{012286E8-4E45-49F0-8440-EF718FAE43ED}" name="Column11544"/>
    <tableColumn id="11548" xr3:uid="{E8F1A863-B2E2-4F08-BF72-84E14C3BF991}" name="Column11545"/>
    <tableColumn id="11549" xr3:uid="{32E7550E-F121-466B-92DB-7F408A41134F}" name="Column11546"/>
    <tableColumn id="11550" xr3:uid="{F9CC71E2-F7F1-4F6A-A438-8316F2D987D6}" name="Column11547"/>
    <tableColumn id="11551" xr3:uid="{86B66678-C25E-446B-A9E5-0B626BFEBD2A}" name="Column11548"/>
    <tableColumn id="11552" xr3:uid="{208FF145-37F6-46E2-A961-2C0189838381}" name="Column11549"/>
    <tableColumn id="11553" xr3:uid="{4CA62F6D-0946-4D37-86BD-C705A11177C5}" name="Column11550"/>
    <tableColumn id="11554" xr3:uid="{BF827EAB-31A3-48B0-A2FC-762DFEB1A7CC}" name="Column11551"/>
    <tableColumn id="11555" xr3:uid="{AB0F1DC0-5018-4ABB-A636-15BD2DB2432A}" name="Column11552"/>
    <tableColumn id="11556" xr3:uid="{15CEF954-A192-47FD-BA25-01252DE8E0A7}" name="Column11553"/>
    <tableColumn id="11557" xr3:uid="{3A59FE2C-7F03-46F4-A4EC-D9EFE5DED874}" name="Column11554"/>
    <tableColumn id="11558" xr3:uid="{61581BFE-A389-4C73-A954-50475AD6CA4D}" name="Column11555"/>
    <tableColumn id="11559" xr3:uid="{33319879-9060-4B84-8105-69D63DE8591C}" name="Column11556"/>
    <tableColumn id="11560" xr3:uid="{CAD95A3C-AC52-466A-8CB0-BCA110065A3E}" name="Column11557"/>
    <tableColumn id="11561" xr3:uid="{60189AF1-F76C-431D-8180-2794554253E4}" name="Column11558"/>
    <tableColumn id="11562" xr3:uid="{0721C10B-57DA-41DF-86A6-B43DD0A9011D}" name="Column11559"/>
    <tableColumn id="11563" xr3:uid="{EB1C9A7F-CE6E-450D-9B05-7DDFD6CC8D9C}" name="Column11560"/>
    <tableColumn id="11564" xr3:uid="{3B692AB7-3E04-409D-9A76-2BD690E1553E}" name="Column11561"/>
    <tableColumn id="11565" xr3:uid="{85C1A1D7-4F99-4828-B846-A5140FA17C4A}" name="Column11562"/>
    <tableColumn id="11566" xr3:uid="{1D9B0278-E1A4-4D5A-B48D-6B3ED8BDFE18}" name="Column11563"/>
    <tableColumn id="11567" xr3:uid="{C05B262F-125B-4D9C-9D27-CF1749CF3380}" name="Column11564"/>
    <tableColumn id="11568" xr3:uid="{484E22BC-68CE-4BE4-9217-99F985ECBCEA}" name="Column11565"/>
    <tableColumn id="11569" xr3:uid="{6A291F58-A2EA-4FEF-ABB2-8B66A215E61B}" name="Column11566"/>
    <tableColumn id="11570" xr3:uid="{733D2311-0757-4C79-9DB0-D69C39EEC585}" name="Column11567"/>
    <tableColumn id="11571" xr3:uid="{471CFECB-E313-48E5-A367-A365B1DF9C93}" name="Column11568"/>
    <tableColumn id="11572" xr3:uid="{F17B8C39-140E-4EAB-A5F1-0D256CD2CFBA}" name="Column11569"/>
    <tableColumn id="11573" xr3:uid="{30FE4A1F-8A48-427F-A3FC-B3B74A2A36C5}" name="Column11570"/>
    <tableColumn id="11574" xr3:uid="{E2A46D85-5F9B-434D-98C0-8650CDBE2D84}" name="Column11571"/>
    <tableColumn id="11575" xr3:uid="{51683B03-2A45-4B39-A26D-403F8759BBA3}" name="Column11572"/>
    <tableColumn id="11576" xr3:uid="{1D9CCF1C-FED2-4A8A-9EBD-DD4E37C8A7E6}" name="Column11573"/>
    <tableColumn id="11577" xr3:uid="{572E3235-D399-4366-8EE5-F32319A2D0BC}" name="Column11574"/>
    <tableColumn id="11578" xr3:uid="{C9C54A69-068C-442F-998C-7D8D985CB20B}" name="Column11575"/>
    <tableColumn id="11579" xr3:uid="{2E9BB042-B690-42E0-ACEE-1569CBCCB681}" name="Column11576"/>
    <tableColumn id="11580" xr3:uid="{E63868BA-1CF8-45C7-907C-5B43DF66971E}" name="Column11577"/>
    <tableColumn id="11581" xr3:uid="{29B544B1-75B2-4382-8D8A-40CFE399377B}" name="Column11578"/>
    <tableColumn id="11582" xr3:uid="{077D6C57-82B7-4E82-A6E5-FD4D76A1BFB0}" name="Column11579"/>
    <tableColumn id="11583" xr3:uid="{AADC911C-2BBB-4283-9500-59C7C3C1ED67}" name="Column11580"/>
    <tableColumn id="11584" xr3:uid="{4CB8B19B-2700-46B8-A3BE-E4B4F44D4C98}" name="Column11581"/>
    <tableColumn id="11585" xr3:uid="{071C9225-D6D9-490E-ADB3-B7235EDFE6FB}" name="Column11582"/>
    <tableColumn id="11586" xr3:uid="{80A04F7B-4608-44DF-9DC8-71636A74207E}" name="Column11583"/>
    <tableColumn id="11587" xr3:uid="{B2FAAF73-5A4C-4D54-B00A-3100FC3DA282}" name="Column11584"/>
    <tableColumn id="11588" xr3:uid="{D03A5533-CA56-4CDB-B38A-27CAB06C33D8}" name="Column11585"/>
    <tableColumn id="11589" xr3:uid="{C3B23A35-672C-4755-B706-7644A7E16A37}" name="Column11586"/>
    <tableColumn id="11590" xr3:uid="{7C296783-6D31-4A9B-9C10-1EAECFFB1369}" name="Column11587"/>
    <tableColumn id="11591" xr3:uid="{E3DB803E-8902-44EA-B329-64EBBEEB2D04}" name="Column11588"/>
    <tableColumn id="11592" xr3:uid="{717FF900-E45E-4FF9-8E66-A20E665FE4B3}" name="Column11589"/>
    <tableColumn id="11593" xr3:uid="{F21B2860-A988-41A3-9D69-DA3A73F74EA9}" name="Column11590"/>
    <tableColumn id="11594" xr3:uid="{32CE5601-1F81-4C06-AEAE-07134F9ACF8E}" name="Column11591"/>
    <tableColumn id="11595" xr3:uid="{A410F441-DBE9-40CD-9FF4-A464686EB822}" name="Column11592"/>
    <tableColumn id="11596" xr3:uid="{A4650AA8-5A17-45B0-A568-B4D845231270}" name="Column11593"/>
    <tableColumn id="11597" xr3:uid="{0A6BE909-F20D-44B1-B567-85E789978010}" name="Column11594"/>
    <tableColumn id="11598" xr3:uid="{87511977-5296-41A0-941C-1D9EC9661986}" name="Column11595"/>
    <tableColumn id="11599" xr3:uid="{93DAF53B-53B9-4632-A818-E7FD393CFCCB}" name="Column11596"/>
    <tableColumn id="11600" xr3:uid="{62E0360C-D3BA-4704-9E3D-EA8249948E02}" name="Column11597"/>
    <tableColumn id="11601" xr3:uid="{BD47627E-ABDA-4F79-8830-53DC870FED88}" name="Column11598"/>
    <tableColumn id="11602" xr3:uid="{563247F8-9E7E-4A10-AF46-AFD1F2D62979}" name="Column11599"/>
    <tableColumn id="11603" xr3:uid="{38B6402D-44BE-4471-B27B-967DA474BE5D}" name="Column11600"/>
    <tableColumn id="11604" xr3:uid="{D75DD3A4-4858-412E-9FAC-6B836CB70072}" name="Column11601"/>
    <tableColumn id="11605" xr3:uid="{B0DF1ACB-E65D-44C1-A878-4F5B6A46C491}" name="Column11602"/>
    <tableColumn id="11606" xr3:uid="{EA5C4CC2-4C7E-4F1F-B9FD-1F611684EA42}" name="Column11603"/>
    <tableColumn id="11607" xr3:uid="{AA28EA0E-151A-4652-907C-D0E62070A35D}" name="Column11604"/>
    <tableColumn id="11608" xr3:uid="{BF8C919E-8E0C-49E0-A1F6-84521D6729E3}" name="Column11605"/>
    <tableColumn id="11609" xr3:uid="{D01F25CA-BF7C-4E77-9732-D378D392E342}" name="Column11606"/>
    <tableColumn id="11610" xr3:uid="{E719EC5E-EAAF-49B5-AF19-7C7EDE329303}" name="Column11607"/>
    <tableColumn id="11611" xr3:uid="{B89FEEE6-0096-4BA6-82F1-7AA086E50D48}" name="Column11608"/>
    <tableColumn id="11612" xr3:uid="{3D15655F-CBDC-4697-ADA6-EA8F5B657D2C}" name="Column11609"/>
    <tableColumn id="11613" xr3:uid="{2BD9BD89-02F9-4116-B15A-880D8D15C79B}" name="Column11610"/>
    <tableColumn id="11614" xr3:uid="{1F8BB411-76D8-4228-9BA8-DDBFAE738A3D}" name="Column11611"/>
    <tableColumn id="11615" xr3:uid="{7533A919-F355-4892-B473-E4FFFD138CAC}" name="Column11612"/>
    <tableColumn id="11616" xr3:uid="{AAEDB24D-2FF7-400D-AD3C-89443A842F96}" name="Column11613"/>
    <tableColumn id="11617" xr3:uid="{2D418509-A4EF-474C-BF3E-702AF9BAA54A}" name="Column11614"/>
    <tableColumn id="11618" xr3:uid="{361C0EC1-574E-4421-A369-E3B3F7A8A725}" name="Column11615"/>
    <tableColumn id="11619" xr3:uid="{3F26A90F-3DFF-49D4-9CA3-B810A0495144}" name="Column11616"/>
    <tableColumn id="11620" xr3:uid="{5F323A87-2AB7-4983-BCB8-A7A3D3BC9FE4}" name="Column11617"/>
    <tableColumn id="11621" xr3:uid="{9B5066C5-C428-4ECC-8C54-C4305F6E0BF1}" name="Column11618"/>
    <tableColumn id="11622" xr3:uid="{17BFA32D-9F94-4503-AEFA-2FD7AA49EE21}" name="Column11619"/>
    <tableColumn id="11623" xr3:uid="{953A6BD7-059F-4305-9B00-D3A2C9091D09}" name="Column11620"/>
    <tableColumn id="11624" xr3:uid="{75C634E1-EE2C-48D5-9006-A29548642A9A}" name="Column11621"/>
    <tableColumn id="11625" xr3:uid="{0352786A-A9B3-4245-BC05-931CB5513050}" name="Column11622"/>
    <tableColumn id="11626" xr3:uid="{CA0B1A40-1D48-43F8-86C7-EDCF6E7777F7}" name="Column11623"/>
    <tableColumn id="11627" xr3:uid="{7BC5A0E1-9988-49AD-A7AE-991197028767}" name="Column11624"/>
    <tableColumn id="11628" xr3:uid="{8AF1DDE3-4D4F-460C-84E5-8305A32A2052}" name="Column11625"/>
    <tableColumn id="11629" xr3:uid="{7A4A65D0-FFA3-4A69-872A-E94AC9961902}" name="Column11626"/>
    <tableColumn id="11630" xr3:uid="{E70C17B6-33CB-4E3B-9D1B-87F7546C960F}" name="Column11627"/>
    <tableColumn id="11631" xr3:uid="{536438DE-D09E-4AD4-A3E1-FDD1BAF4F266}" name="Column11628"/>
    <tableColumn id="11632" xr3:uid="{548B9D96-5B3B-4CBF-A613-CCC40DBBD0C8}" name="Column11629"/>
    <tableColumn id="11633" xr3:uid="{24EF9986-3E26-4485-8D76-12BE0B0B4D8D}" name="Column11630"/>
    <tableColumn id="11634" xr3:uid="{1241EB85-AB86-4D33-AC85-1130348B42DB}" name="Column11631"/>
    <tableColumn id="11635" xr3:uid="{FD869354-0C12-4784-953D-A909C1E93EEB}" name="Column11632"/>
    <tableColumn id="11636" xr3:uid="{F70166FB-BD26-47BA-A1AE-6E63E09A1754}" name="Column11633"/>
    <tableColumn id="11637" xr3:uid="{5DAC388B-7F7E-4471-9EF0-1D4466E25DBD}" name="Column11634"/>
    <tableColumn id="11638" xr3:uid="{1D43C1B7-96B4-462E-96C6-B7478F0BE9FA}" name="Column11635"/>
    <tableColumn id="11639" xr3:uid="{D9F384B2-DA6C-4807-9B5B-E1AD0C4D934D}" name="Column11636"/>
    <tableColumn id="11640" xr3:uid="{819DBD7D-EF56-41B5-99E1-582A86460517}" name="Column11637"/>
    <tableColumn id="11641" xr3:uid="{FA66F7C6-D45F-492E-9C32-153B8C761E98}" name="Column11638"/>
    <tableColumn id="11642" xr3:uid="{931ACF30-351A-4EA7-869F-75E83A12D35E}" name="Column11639"/>
    <tableColumn id="11643" xr3:uid="{F781B51E-6382-4ACA-B459-E6653E35C388}" name="Column11640"/>
    <tableColumn id="11644" xr3:uid="{EA00BCDF-6754-4A89-B3C4-885966F083B4}" name="Column11641"/>
    <tableColumn id="11645" xr3:uid="{CB1C83B3-7EF8-48C5-8DC2-6604A2F88A64}" name="Column11642"/>
    <tableColumn id="11646" xr3:uid="{97979038-D8D2-4EFE-BE30-3F0A920813BB}" name="Column11643"/>
    <tableColumn id="11647" xr3:uid="{6379AA4A-7A69-4394-A7C7-94EF8A416B13}" name="Column11644"/>
    <tableColumn id="11648" xr3:uid="{9314BA2C-741A-47C7-9281-C489E07EB830}" name="Column11645"/>
    <tableColumn id="11649" xr3:uid="{BCC7AC67-E1CE-4905-809E-220194620042}" name="Column11646"/>
    <tableColumn id="11650" xr3:uid="{90F2A7EF-7A18-417C-8B5B-36B662714D61}" name="Column11647"/>
    <tableColumn id="11651" xr3:uid="{63333377-CB54-4936-94C9-3BD4C5493EB6}" name="Column11648"/>
    <tableColumn id="11652" xr3:uid="{3E0E5C3C-E233-4C4F-9852-FA282947F994}" name="Column11649"/>
    <tableColumn id="11653" xr3:uid="{5300475B-6BDE-4A1B-96D6-776A2C26788E}" name="Column11650"/>
    <tableColumn id="11654" xr3:uid="{23E10344-72DE-4489-A5AD-9A539FBD6B33}" name="Column11651"/>
    <tableColumn id="11655" xr3:uid="{F8929976-CC89-4369-B706-1AD6B3591BC1}" name="Column11652"/>
    <tableColumn id="11656" xr3:uid="{CDD4B6A5-B5AE-4197-9724-B609BC84E5D4}" name="Column11653"/>
    <tableColumn id="11657" xr3:uid="{283ADB9B-AA12-4D87-9F7F-53A409E2C4F3}" name="Column11654"/>
    <tableColumn id="11658" xr3:uid="{E8F09B72-00BB-41B4-9499-743EE35BEAD2}" name="Column11655"/>
    <tableColumn id="11659" xr3:uid="{161C5AF3-45D8-4D4E-9B77-55B9AFBBBF37}" name="Column11656"/>
    <tableColumn id="11660" xr3:uid="{E1091F71-817C-4EE5-B81D-F201783A1B0D}" name="Column11657"/>
    <tableColumn id="11661" xr3:uid="{064BE998-4F6F-40D5-985E-930662CA3CE1}" name="Column11658"/>
    <tableColumn id="11662" xr3:uid="{00BFBEED-BE16-4C88-AA98-4D42A9CE752F}" name="Column11659"/>
    <tableColumn id="11663" xr3:uid="{68CAB2FE-B929-4E49-B131-DFA7A664EF12}" name="Column11660"/>
    <tableColumn id="11664" xr3:uid="{C2434782-192A-464A-800D-B9EDFA5A63B7}" name="Column11661"/>
    <tableColumn id="11665" xr3:uid="{85078CDB-9CE8-444E-B65B-F060146BF901}" name="Column11662"/>
    <tableColumn id="11666" xr3:uid="{F10883D9-399F-4CC0-B32C-825D7F0FFFAF}" name="Column11663"/>
    <tableColumn id="11667" xr3:uid="{7A9BEC42-F69F-477B-9995-F50D9EF37E4A}" name="Column11664"/>
    <tableColumn id="11668" xr3:uid="{FE253E9D-D8A6-4FE2-971F-255C91B2E866}" name="Column11665"/>
    <tableColumn id="11669" xr3:uid="{54BEBB42-B18F-4586-BF4B-6B9761F35284}" name="Column11666"/>
    <tableColumn id="11670" xr3:uid="{2C5B2E99-607E-4D5E-8798-ED24EE65292B}" name="Column11667"/>
    <tableColumn id="11671" xr3:uid="{F380DBC7-B989-4227-A966-F1C06A3A4CC4}" name="Column11668"/>
    <tableColumn id="11672" xr3:uid="{701989A4-4906-45B4-B716-012909C2791E}" name="Column11669"/>
    <tableColumn id="11673" xr3:uid="{6E98254F-ACD8-4652-899B-786F73142CF1}" name="Column11670"/>
    <tableColumn id="11674" xr3:uid="{408DAB19-EC1C-480D-B338-F9118905A0B5}" name="Column11671"/>
    <tableColumn id="11675" xr3:uid="{3A3FB5D0-F18B-4044-899C-2C505ED1E0E4}" name="Column11672"/>
    <tableColumn id="11676" xr3:uid="{30562F5E-5D3B-4B55-A902-CC95FA2355E7}" name="Column11673"/>
    <tableColumn id="11677" xr3:uid="{20AD18FD-A5B3-415D-92D6-EEED17F5F87A}" name="Column11674"/>
    <tableColumn id="11678" xr3:uid="{D82BD5EF-BDC7-45A7-B442-E82D498B1BC4}" name="Column11675"/>
    <tableColumn id="11679" xr3:uid="{E5A25231-77F0-4017-8F3B-57C6F3BE24A0}" name="Column11676"/>
    <tableColumn id="11680" xr3:uid="{45D12F32-C28E-49B3-AE32-2939C3E1A1CE}" name="Column11677"/>
    <tableColumn id="11681" xr3:uid="{D74E6022-ABF6-418A-A5B1-68DFE53F0BC1}" name="Column11678"/>
    <tableColumn id="11682" xr3:uid="{B59D2661-A669-4F41-B01A-1E6E4CCBF250}" name="Column11679"/>
    <tableColumn id="11683" xr3:uid="{AFE59AC1-3AE5-4D0F-B4E9-C3FC200E120F}" name="Column11680"/>
    <tableColumn id="11684" xr3:uid="{770F541A-F850-4B02-9685-3EE15B224F29}" name="Column11681"/>
    <tableColumn id="11685" xr3:uid="{FBBECBB5-2DA4-415A-9DD6-A7E0C66B0669}" name="Column11682"/>
    <tableColumn id="11686" xr3:uid="{6063591D-F530-4A4D-AC62-35278BAD88F9}" name="Column11683"/>
    <tableColumn id="11687" xr3:uid="{D8D68CF3-2ACD-4FBF-BE6D-F8627E46273E}" name="Column11684"/>
    <tableColumn id="11688" xr3:uid="{A95A522C-F97B-4674-9135-8432DCA0BDC1}" name="Column11685"/>
    <tableColumn id="11689" xr3:uid="{4C2A0096-12A1-4187-BCFD-95C54B10E6FE}" name="Column11686"/>
    <tableColumn id="11690" xr3:uid="{64761E47-8610-47CC-953E-65C2A03CEECD}" name="Column11687"/>
    <tableColumn id="11691" xr3:uid="{C2A32DB1-45C4-4383-AC76-D6A84EFD35C7}" name="Column11688"/>
    <tableColumn id="11692" xr3:uid="{C3361897-2AE8-42E7-BF97-2FE19BEE96DC}" name="Column11689"/>
    <tableColumn id="11693" xr3:uid="{EB92E5BB-0517-4167-BB13-988F50D1FB8F}" name="Column11690"/>
    <tableColumn id="11694" xr3:uid="{4F254831-74BF-4658-AF56-6BA1D9BD87B3}" name="Column11691"/>
    <tableColumn id="11695" xr3:uid="{5DF65EC0-8ABD-4462-8AE6-33633773D416}" name="Column11692"/>
    <tableColumn id="11696" xr3:uid="{3612317C-A63D-4E3A-9ED8-B660E975BFFE}" name="Column11693"/>
    <tableColumn id="11697" xr3:uid="{F436F8DD-997D-4ECE-9FE4-C9D29DC269D2}" name="Column11694"/>
    <tableColumn id="11698" xr3:uid="{81334300-8D40-4925-883F-1906C2EE6AA4}" name="Column11695"/>
    <tableColumn id="11699" xr3:uid="{EE174D58-537B-4C01-BB3E-74F5D97C5F58}" name="Column11696"/>
    <tableColumn id="11700" xr3:uid="{6A62AB2A-5207-4235-A7B3-E72A6CFCB5A5}" name="Column11697"/>
    <tableColumn id="11701" xr3:uid="{FB8A408D-FDB7-4FBF-811D-FEC393B298D9}" name="Column11698"/>
    <tableColumn id="11702" xr3:uid="{2A45C0DA-519F-4F4F-9F12-480B7AA43CF5}" name="Column11699"/>
    <tableColumn id="11703" xr3:uid="{1035A685-896C-4F3D-B39C-AF4FD69E975F}" name="Column11700"/>
    <tableColumn id="11704" xr3:uid="{E5659D1C-F064-4DA1-936B-E4041A9F6801}" name="Column11701"/>
    <tableColumn id="11705" xr3:uid="{F532735A-B9C3-43D9-BEEF-25045E78C987}" name="Column11702"/>
    <tableColumn id="11706" xr3:uid="{B6171FEE-6705-4634-A9F7-93B12B850C3F}" name="Column11703"/>
    <tableColumn id="11707" xr3:uid="{B969FE16-83FA-4144-8FFD-F12604956E87}" name="Column11704"/>
    <tableColumn id="11708" xr3:uid="{00556915-DC3E-4457-9C8E-9EBE0DCF7479}" name="Column11705"/>
    <tableColumn id="11709" xr3:uid="{B1633BC5-2FEB-4EB4-ACFA-62398CCE8875}" name="Column11706"/>
    <tableColumn id="11710" xr3:uid="{11419984-F9DE-4F77-8532-56A16EF2FA56}" name="Column11707"/>
    <tableColumn id="11711" xr3:uid="{943ABE5E-EDC8-4BFD-86F4-1A5DA58AB560}" name="Column11708"/>
    <tableColumn id="11712" xr3:uid="{85948276-3A3B-4048-A513-BD0932E6C74D}" name="Column11709"/>
    <tableColumn id="11713" xr3:uid="{09C2F05F-7C7B-48E6-AEC5-4B47E8F643F1}" name="Column11710"/>
    <tableColumn id="11714" xr3:uid="{65C84014-56A2-4E6C-A310-03EE06248392}" name="Column11711"/>
    <tableColumn id="11715" xr3:uid="{77D176DB-5BC9-49AE-B6A2-E7B606EF504F}" name="Column11712"/>
    <tableColumn id="11716" xr3:uid="{791241A0-EFE4-445A-AE68-13317B41E68F}" name="Column11713"/>
    <tableColumn id="11717" xr3:uid="{DB40DC81-2607-4CE5-833C-7D20F2B5586B}" name="Column11714"/>
    <tableColumn id="11718" xr3:uid="{D769424E-9C55-4A59-B970-A4D12EE03BEA}" name="Column11715"/>
    <tableColumn id="11719" xr3:uid="{BE54E0ED-257C-44D6-B1C0-AFAE517CE011}" name="Column11716"/>
    <tableColumn id="11720" xr3:uid="{CA9B02AF-D5BB-4F97-81B2-F1454457827D}" name="Column11717"/>
    <tableColumn id="11721" xr3:uid="{57DE0670-9D45-49AA-9637-DB7A6CFC4E07}" name="Column11718"/>
    <tableColumn id="11722" xr3:uid="{A78ED686-54EE-4E50-891F-2963304A51B7}" name="Column11719"/>
    <tableColumn id="11723" xr3:uid="{61FFFD9F-0C26-4D48-8966-ED21BB7119A9}" name="Column11720"/>
    <tableColumn id="11724" xr3:uid="{DCEF2E8C-A7DA-4CBF-934E-8DDB095F9149}" name="Column11721"/>
    <tableColumn id="11725" xr3:uid="{098CC833-59ED-4659-98B5-A9C218AB7734}" name="Column11722"/>
    <tableColumn id="11726" xr3:uid="{80512FCC-7E28-4BC2-AAA2-0675736D04CA}" name="Column11723"/>
    <tableColumn id="11727" xr3:uid="{253B73AE-023A-4FB8-A20B-D68DDD568276}" name="Column11724"/>
    <tableColumn id="11728" xr3:uid="{F4A86272-4414-4C99-BB68-E59FD362401D}" name="Column11725"/>
    <tableColumn id="11729" xr3:uid="{A909D503-575D-4FD6-9DD2-8E610D563F6D}" name="Column11726"/>
    <tableColumn id="11730" xr3:uid="{B6A6D4CC-2D46-42F8-BB70-1C6F0064DE2A}" name="Column11727"/>
    <tableColumn id="11731" xr3:uid="{42322A15-DAAD-400E-BEAA-A9D05F7BE4A1}" name="Column11728"/>
    <tableColumn id="11732" xr3:uid="{FBE83D3C-35FD-4216-B4FF-A9582642C3B0}" name="Column11729"/>
    <tableColumn id="11733" xr3:uid="{2ED0DDAB-750C-4B73-BD6E-61438240A71A}" name="Column11730"/>
    <tableColumn id="11734" xr3:uid="{3A5FDEF8-2506-4367-AB7E-37DE406F119D}" name="Column11731"/>
    <tableColumn id="11735" xr3:uid="{4711D230-ED0F-44A5-8BD6-87CD1243529E}" name="Column11732"/>
    <tableColumn id="11736" xr3:uid="{8696FA97-8406-492C-BCCA-24B21EFAC0ED}" name="Column11733"/>
    <tableColumn id="11737" xr3:uid="{A57F5E5C-3739-4F8F-BF79-D110BCC03E1B}" name="Column11734"/>
    <tableColumn id="11738" xr3:uid="{EBEE5496-34A9-4869-8FAA-39A01EEFA9C3}" name="Column11735"/>
    <tableColumn id="11739" xr3:uid="{979FAD51-5EF9-4922-81A5-616DE164CDBB}" name="Column11736"/>
    <tableColumn id="11740" xr3:uid="{4FCDD1CC-DB10-46D3-83B1-3331AE964638}" name="Column11737"/>
    <tableColumn id="11741" xr3:uid="{91F55487-5D50-46FC-A103-D0FE82041A05}" name="Column11738"/>
    <tableColumn id="11742" xr3:uid="{58223C01-6780-42E1-AE17-C8C136133C2A}" name="Column11739"/>
    <tableColumn id="11743" xr3:uid="{52E36D2E-CAE4-4452-96C3-A4DB165B9689}" name="Column11740"/>
    <tableColumn id="11744" xr3:uid="{76FA9371-DA6C-447C-93B7-9E9FC4011B3E}" name="Column11741"/>
    <tableColumn id="11745" xr3:uid="{1F19D16D-AAE6-4F0C-A6CB-B19884293657}" name="Column11742"/>
    <tableColumn id="11746" xr3:uid="{C6D6A458-589F-4374-89B2-38BFE6C3AB63}" name="Column11743"/>
    <tableColumn id="11747" xr3:uid="{04D58A80-26AB-4BA3-A68E-F5DB802ED74F}" name="Column11744"/>
    <tableColumn id="11748" xr3:uid="{1DAA7E4B-6537-4D83-AF6E-B3D664D23558}" name="Column11745"/>
    <tableColumn id="11749" xr3:uid="{4D9FC611-6467-4F9D-A4F8-DE0772AAE1D7}" name="Column11746"/>
    <tableColumn id="11750" xr3:uid="{0F6B9962-CF18-461F-9C1C-D79208940248}" name="Column11747"/>
    <tableColumn id="11751" xr3:uid="{1A09C906-33DA-4E86-ABDD-30CF83CB1CE0}" name="Column11748"/>
    <tableColumn id="11752" xr3:uid="{00955B24-EEB8-4ED1-ADC4-54F007168981}" name="Column11749"/>
    <tableColumn id="11753" xr3:uid="{B4CECF96-F4B1-4E83-B9D1-3E111BC94496}" name="Column11750"/>
    <tableColumn id="11754" xr3:uid="{4BDC5D24-38C7-4EE9-ABFB-A730C0D94F02}" name="Column11751"/>
    <tableColumn id="11755" xr3:uid="{D83F5554-C50B-4476-BEC3-5E5645841FFC}" name="Column11752"/>
    <tableColumn id="11756" xr3:uid="{84C39803-94CD-4C94-8CED-632F65B6D2FB}" name="Column11753"/>
    <tableColumn id="11757" xr3:uid="{7255DF07-A9D8-4FBB-91F0-07C1961C97AF}" name="Column11754"/>
    <tableColumn id="11758" xr3:uid="{C6297F1A-3B84-4620-AFB8-F3F97F33F305}" name="Column11755"/>
    <tableColumn id="11759" xr3:uid="{3CE0CFDF-4F4C-4381-8A0B-665625D053C8}" name="Column11756"/>
    <tableColumn id="11760" xr3:uid="{24D093BC-6647-4863-95AE-DAAD685399FC}" name="Column11757"/>
    <tableColumn id="11761" xr3:uid="{D205C1D9-A9A8-422A-9F91-7FD09F8BBB4D}" name="Column11758"/>
    <tableColumn id="11762" xr3:uid="{D1AB72EA-9D0B-4DDB-9225-9BD76D486E3B}" name="Column11759"/>
    <tableColumn id="11763" xr3:uid="{0BE9F14C-7E30-43F1-AE32-DD42CF9A6EA9}" name="Column11760"/>
    <tableColumn id="11764" xr3:uid="{8CCDAB82-D23C-4D93-B01D-CEE1757BB608}" name="Column11761"/>
    <tableColumn id="11765" xr3:uid="{3E351678-EB51-46A3-89E9-8F19164FC5CF}" name="Column11762"/>
    <tableColumn id="11766" xr3:uid="{2DD1F35B-0AFB-4167-8707-E3C5CEBFF135}" name="Column11763"/>
    <tableColumn id="11767" xr3:uid="{386B8A33-727A-4E39-92CC-6116AED384FD}" name="Column11764"/>
    <tableColumn id="11768" xr3:uid="{980337BE-D0C5-48B3-BD86-283F997FB0B6}" name="Column11765"/>
    <tableColumn id="11769" xr3:uid="{3A3F2F84-2AC2-4C8F-99DA-759CD7A75663}" name="Column11766"/>
    <tableColumn id="11770" xr3:uid="{0A63A661-AF0C-4055-B7CE-AE631348A511}" name="Column11767"/>
    <tableColumn id="11771" xr3:uid="{1B128D3C-4215-4D2D-87E9-4A09C7571E5F}" name="Column11768"/>
    <tableColumn id="11772" xr3:uid="{AB20E9E2-693E-4507-A34C-C7ADDFC67BEB}" name="Column11769"/>
    <tableColumn id="11773" xr3:uid="{A1782E6C-8112-42D4-8A05-687BB44B7826}" name="Column11770"/>
    <tableColumn id="11774" xr3:uid="{9C1BBE59-FF2A-4BC5-AC17-09AB5219C92B}" name="Column11771"/>
    <tableColumn id="11775" xr3:uid="{DC3AC16F-4BC2-49D9-80ED-4E3A960D3471}" name="Column11772"/>
    <tableColumn id="11776" xr3:uid="{37112DEE-CB32-41D6-9352-CE05A0894CF6}" name="Column11773"/>
    <tableColumn id="11777" xr3:uid="{EE44E201-59F2-4AF0-BEAB-BC64AE1132DA}" name="Column11774"/>
    <tableColumn id="11778" xr3:uid="{19F15C39-FE43-4F83-BA52-E51D88308B8B}" name="Column11775"/>
    <tableColumn id="11779" xr3:uid="{7CFCA7D1-DA4C-4FD8-BCE9-E04D7637EAAA}" name="Column11776"/>
    <tableColumn id="11780" xr3:uid="{A320B0A6-5F6C-4CF7-83A5-728ED753B13D}" name="Column11777"/>
    <tableColumn id="11781" xr3:uid="{10BC0775-16EF-49F5-BBD0-105D69452998}" name="Column11778"/>
    <tableColumn id="11782" xr3:uid="{DCCF4DF8-4718-4E51-92C1-48D1BDF48876}" name="Column11779"/>
    <tableColumn id="11783" xr3:uid="{5534117D-CD0D-493E-8A2C-54DD5D3A6715}" name="Column11780"/>
    <tableColumn id="11784" xr3:uid="{83754866-457C-4180-AB3E-6ABF6653F04D}" name="Column11781"/>
    <tableColumn id="11785" xr3:uid="{DEA8768E-5946-4EC6-B380-D6CB6B1EACAF}" name="Column11782"/>
    <tableColumn id="11786" xr3:uid="{04F5901B-19B3-457F-8A3C-519B7F7644DB}" name="Column11783"/>
    <tableColumn id="11787" xr3:uid="{ACEB447E-DCC7-47B2-8D73-EC9F2DBD8DA6}" name="Column11784"/>
    <tableColumn id="11788" xr3:uid="{B4DDBFFC-BBE5-4102-88DA-5ED43F54CAD1}" name="Column11785"/>
    <tableColumn id="11789" xr3:uid="{D8C9D9D6-46A4-4655-A9D7-2631FCC50E93}" name="Column11786"/>
    <tableColumn id="11790" xr3:uid="{8C2673F6-5AF4-4A29-B0BA-2E654821FE5E}" name="Column11787"/>
    <tableColumn id="11791" xr3:uid="{3C8DB7D2-6BA9-4180-A26B-2DBDC1AE562A}" name="Column11788"/>
    <tableColumn id="11792" xr3:uid="{1F371E24-64B3-42DB-A44E-0A38BA4205E9}" name="Column11789"/>
    <tableColumn id="11793" xr3:uid="{2D2678A0-2CD9-46E7-B9E3-08E7DD32FA48}" name="Column11790"/>
    <tableColumn id="11794" xr3:uid="{5AE439B8-8591-45E9-963F-1C8C1E2AB9E8}" name="Column11791"/>
    <tableColumn id="11795" xr3:uid="{D8ED4606-9302-4FE6-9979-AD308788C244}" name="Column11792"/>
    <tableColumn id="11796" xr3:uid="{0C536A7E-1C8F-4064-BD61-B09C09A7B70F}" name="Column11793"/>
    <tableColumn id="11797" xr3:uid="{73E8A66E-D7AA-4EB4-8E29-F399487C1A79}" name="Column11794"/>
    <tableColumn id="11798" xr3:uid="{394B3750-0E33-4739-9644-A0A6DDC63474}" name="Column11795"/>
    <tableColumn id="11799" xr3:uid="{1467CED5-9415-44C8-ACA4-02A107F318B4}" name="Column11796"/>
    <tableColumn id="11800" xr3:uid="{DABDA70C-D124-4F44-A960-0675E24E3B3A}" name="Column11797"/>
    <tableColumn id="11801" xr3:uid="{A09B06BA-B920-4813-9628-891E4EC9A9C0}" name="Column11798"/>
    <tableColumn id="11802" xr3:uid="{55987D79-78C2-402F-A406-AFE49625BDEC}" name="Column11799"/>
    <tableColumn id="11803" xr3:uid="{2F4ADDC4-11F8-4DEB-87EE-D95E8FEC11ED}" name="Column11800"/>
    <tableColumn id="11804" xr3:uid="{A7DEF1C8-787A-4F01-A49E-1053EA083836}" name="Column11801"/>
    <tableColumn id="11805" xr3:uid="{7C2A3F6D-6B6E-4EEA-9A16-A9CE0BECA032}" name="Column11802"/>
    <tableColumn id="11806" xr3:uid="{54FE0DC7-287A-4BB5-9323-2FCFB559D19E}" name="Column11803"/>
    <tableColumn id="11807" xr3:uid="{7CC530FC-E315-4760-BE1A-8ED685A9D288}" name="Column11804"/>
    <tableColumn id="11808" xr3:uid="{801FFD20-951D-4211-8010-DECA5CD84E8F}" name="Column11805"/>
    <tableColumn id="11809" xr3:uid="{3BDB02E9-31B7-44D6-A904-160F5CE1B0D9}" name="Column11806"/>
    <tableColumn id="11810" xr3:uid="{23708AD0-4095-4796-8CE6-88F2E8097142}" name="Column11807"/>
    <tableColumn id="11811" xr3:uid="{E8280212-E990-4EFA-90EB-049889E7A1B8}" name="Column11808"/>
    <tableColumn id="11812" xr3:uid="{3DADE8BB-4EFC-4244-AF5D-5FF4ABE2F09B}" name="Column11809"/>
    <tableColumn id="11813" xr3:uid="{526F1DFE-28FE-49B2-BAA3-0A76883211FD}" name="Column11810"/>
    <tableColumn id="11814" xr3:uid="{76399A09-591E-4353-945B-D7376AC28516}" name="Column11811"/>
    <tableColumn id="11815" xr3:uid="{30D6C4B5-E924-419B-97E9-97915B3D7BB2}" name="Column11812"/>
    <tableColumn id="11816" xr3:uid="{58E0BE89-C0AD-4F9D-B308-FA88262DFB26}" name="Column11813"/>
    <tableColumn id="11817" xr3:uid="{AE570D1A-E7ED-4B4B-A331-1402FFB38D9F}" name="Column11814"/>
    <tableColumn id="11818" xr3:uid="{B1A9331F-47DB-4A24-83C3-7435CB26A261}" name="Column11815"/>
    <tableColumn id="11819" xr3:uid="{02BA38CD-2B53-40ED-8320-3D5EE445BDD7}" name="Column11816"/>
    <tableColumn id="11820" xr3:uid="{36C73269-16CD-42F6-9D33-AB1FB053EC52}" name="Column11817"/>
    <tableColumn id="11821" xr3:uid="{C582C7F2-2C26-4B9E-B3B7-0E931CCEDD17}" name="Column11818"/>
    <tableColumn id="11822" xr3:uid="{6FCBC5E3-0324-4D85-8494-7E7A4233E604}" name="Column11819"/>
    <tableColumn id="11823" xr3:uid="{E69DBA75-F8B0-476B-9755-D688E652C4A3}" name="Column11820"/>
    <tableColumn id="11824" xr3:uid="{B8ADA81B-742A-41A6-A15B-6944194AA195}" name="Column11821"/>
    <tableColumn id="11825" xr3:uid="{D0C45608-232E-414F-9881-5AC5C24FA622}" name="Column11822"/>
    <tableColumn id="11826" xr3:uid="{C8347B2E-DC5F-42A4-91BD-1A353F1B2978}" name="Column11823"/>
    <tableColumn id="11827" xr3:uid="{F8CAAF06-3775-4B24-9536-0F17E3C0A69F}" name="Column11824"/>
    <tableColumn id="11828" xr3:uid="{F70A8C2C-318D-4FB1-994A-E24A7505F2D5}" name="Column11825"/>
    <tableColumn id="11829" xr3:uid="{E7FF9C65-CCCF-4D56-ABBB-77A0091F15CB}" name="Column11826"/>
    <tableColumn id="11830" xr3:uid="{BC6C417A-13C3-447A-BF85-8F81D0B11E8B}" name="Column11827"/>
    <tableColumn id="11831" xr3:uid="{9F7099AA-CC16-4BD1-AE14-227338F6EF47}" name="Column11828"/>
    <tableColumn id="11832" xr3:uid="{DA89A7C5-81B6-43C3-922F-A0CA6CE5213F}" name="Column11829"/>
    <tableColumn id="11833" xr3:uid="{B6451B56-BC17-4ADF-9C92-624869F4DC22}" name="Column11830"/>
    <tableColumn id="11834" xr3:uid="{2B7C45B7-F734-4D12-B556-274577FD03A7}" name="Column11831"/>
    <tableColumn id="11835" xr3:uid="{1F8CC9D0-EE55-4648-AA08-555C2C665BA3}" name="Column11832"/>
    <tableColumn id="11836" xr3:uid="{886FAED2-16ED-4607-AA34-62944886C00D}" name="Column11833"/>
    <tableColumn id="11837" xr3:uid="{51602653-73FD-4137-B51F-9B238C711C02}" name="Column11834"/>
    <tableColumn id="11838" xr3:uid="{32E07198-E575-4D9B-83A0-F0FDF8FEB05F}" name="Column11835"/>
    <tableColumn id="11839" xr3:uid="{3F5AB794-1F1D-40CD-89CC-FC13DB726076}" name="Column11836"/>
    <tableColumn id="11840" xr3:uid="{DB38E5A1-8128-4711-81E9-912561A6AF57}" name="Column11837"/>
    <tableColumn id="11841" xr3:uid="{D6F4A88B-7A0E-441A-98B7-137A8ADE753E}" name="Column11838"/>
    <tableColumn id="11842" xr3:uid="{94BA6558-3F71-40E4-868F-832CF3954B56}" name="Column11839"/>
    <tableColumn id="11843" xr3:uid="{2B4EFF8B-8198-4E31-9A0F-089A6D5F8E9B}" name="Column11840"/>
    <tableColumn id="11844" xr3:uid="{F309C0F9-D8B4-463A-B496-548FE4AF5FED}" name="Column11841"/>
    <tableColumn id="11845" xr3:uid="{A0B9F7EA-6A3B-48C9-A59A-C93DF7FDF0DE}" name="Column11842"/>
    <tableColumn id="11846" xr3:uid="{54BC6F7D-69B1-426F-AF3E-8AFF3B45E0B1}" name="Column11843"/>
    <tableColumn id="11847" xr3:uid="{4D305470-3DD1-4E98-93A9-2837995FF0A9}" name="Column11844"/>
    <tableColumn id="11848" xr3:uid="{C107E765-C290-444D-92E0-90CA53A679E4}" name="Column11845"/>
    <tableColumn id="11849" xr3:uid="{F507E8CE-6E8D-4D7A-BAA7-4C5376802213}" name="Column11846"/>
    <tableColumn id="11850" xr3:uid="{5D260EF8-3D22-4DB1-A65D-BF589498EC9F}" name="Column11847"/>
    <tableColumn id="11851" xr3:uid="{1F00258E-FDC5-4C11-8D2E-DEE055B773F6}" name="Column11848"/>
    <tableColumn id="11852" xr3:uid="{1211EB64-EA99-438C-8EC5-B8788088DC87}" name="Column11849"/>
    <tableColumn id="11853" xr3:uid="{60FE9615-2860-456D-BE26-D62CF292B845}" name="Column11850"/>
    <tableColumn id="11854" xr3:uid="{A90F55FF-47CD-4104-AF32-0FB53611B2F5}" name="Column11851"/>
    <tableColumn id="11855" xr3:uid="{9FA75549-6D97-4787-99F6-FFAC285ECF9F}" name="Column11852"/>
    <tableColumn id="11856" xr3:uid="{6228160F-2DF4-485D-9C54-18DA3BCB4BB4}" name="Column11853"/>
    <tableColumn id="11857" xr3:uid="{4B4C366B-125E-4B9F-A78B-EB6C30B3D341}" name="Column11854"/>
    <tableColumn id="11858" xr3:uid="{1E4E7CDF-C50E-4EDF-A067-B6267CA53D04}" name="Column11855"/>
    <tableColumn id="11859" xr3:uid="{2A981E16-CF7E-4353-8340-489C3D9B2BC2}" name="Column11856"/>
    <tableColumn id="11860" xr3:uid="{9F738059-8F5D-4389-A082-AEA759DF4824}" name="Column11857"/>
    <tableColumn id="11861" xr3:uid="{9BF69B57-B1F1-4FCD-8576-FA283ED608A4}" name="Column11858"/>
    <tableColumn id="11862" xr3:uid="{2BFA77E7-7B77-4938-B765-04A3EAF31948}" name="Column11859"/>
    <tableColumn id="11863" xr3:uid="{ADFB1985-089D-4188-8639-5315491E8FDF}" name="Column11860"/>
    <tableColumn id="11864" xr3:uid="{9CBDCD1F-97FF-4601-B205-E9CD8FA82BCF}" name="Column11861"/>
    <tableColumn id="11865" xr3:uid="{77BFE686-00D6-4814-9605-03904B28FE13}" name="Column11862"/>
    <tableColumn id="11866" xr3:uid="{5D12A4C7-F191-4BB6-A3D6-8C5A36F66E72}" name="Column11863"/>
    <tableColumn id="11867" xr3:uid="{2BA1CB1F-51C4-43A5-9184-DD945265D8C4}" name="Column11864"/>
    <tableColumn id="11868" xr3:uid="{F4C513CE-1529-4325-86D6-C24763D99373}" name="Column11865"/>
    <tableColumn id="11869" xr3:uid="{B1579758-F059-4E57-B3A0-8C58D0B1ED25}" name="Column11866"/>
    <tableColumn id="11870" xr3:uid="{2A160B8A-FB2D-4ADE-A9DC-6A0F5029D9B7}" name="Column11867"/>
    <tableColumn id="11871" xr3:uid="{E5B9013B-A623-4E20-B4F7-ACCE2B7857B2}" name="Column11868"/>
    <tableColumn id="11872" xr3:uid="{66E67748-DBCC-4D75-8A0A-73B4CE253864}" name="Column11869"/>
    <tableColumn id="11873" xr3:uid="{D3738551-545F-4FAD-8258-EB3690F83CC9}" name="Column11870"/>
    <tableColumn id="11874" xr3:uid="{10858454-64C1-4026-B7E7-4123F415DA08}" name="Column11871"/>
    <tableColumn id="11875" xr3:uid="{38B2DBE0-4D57-428F-A7F4-678EF1B3EDA7}" name="Column11872"/>
    <tableColumn id="11876" xr3:uid="{F78C5E11-2D4E-4EC5-A545-F93D3A6E3B47}" name="Column11873"/>
    <tableColumn id="11877" xr3:uid="{A3FD0876-588D-416A-9A23-6B4C726BFA1C}" name="Column11874"/>
    <tableColumn id="11878" xr3:uid="{504ECADF-B0F0-4392-A74B-673D9C13CA56}" name="Column11875"/>
    <tableColumn id="11879" xr3:uid="{C770D5A3-A594-4FFE-B1C0-2FBFBBC82D6D}" name="Column11876"/>
    <tableColumn id="11880" xr3:uid="{BBF48461-F46D-4075-A2E8-9BE7160EAA86}" name="Column11877"/>
    <tableColumn id="11881" xr3:uid="{256B107B-4CFC-4C21-8A26-00B088840CA0}" name="Column11878"/>
    <tableColumn id="11882" xr3:uid="{DFD31E78-B313-4E8B-BDDE-215FF85CAD41}" name="Column11879"/>
    <tableColumn id="11883" xr3:uid="{99C80749-81C7-4858-A0F6-187B4848E69F}" name="Column11880"/>
    <tableColumn id="11884" xr3:uid="{C91B5452-F985-4D23-A5C9-4DA4C4CBB8B4}" name="Column11881"/>
    <tableColumn id="11885" xr3:uid="{E0ABED60-52FB-42E5-A767-0EDBC08B0DD7}" name="Column11882"/>
    <tableColumn id="11886" xr3:uid="{1087E986-1A6D-4CC5-B724-0FA4EBEF455E}" name="Column11883"/>
    <tableColumn id="11887" xr3:uid="{0AF25532-6F59-43E5-81FE-9792118BE8C3}" name="Column11884"/>
    <tableColumn id="11888" xr3:uid="{8E3025EB-F1C6-418C-84DE-E97467ED8F26}" name="Column11885"/>
    <tableColumn id="11889" xr3:uid="{90B6539E-FF5E-4F37-A30E-7DA8F300AF96}" name="Column11886"/>
    <tableColumn id="11890" xr3:uid="{0AC79932-D43B-474A-9665-2F58E77A44F6}" name="Column11887"/>
    <tableColumn id="11891" xr3:uid="{F2075FD0-A971-4E07-974D-75B8B54F350F}" name="Column11888"/>
    <tableColumn id="11892" xr3:uid="{8CFD4A51-9552-4EC6-A9B4-F1D3A331CF55}" name="Column11889"/>
    <tableColumn id="11893" xr3:uid="{BDDFF235-BBD5-430C-A957-DE5BAE94664C}" name="Column11890"/>
    <tableColumn id="11894" xr3:uid="{3B29C403-D660-49B0-A12E-E3FC9F3FFCC9}" name="Column11891"/>
    <tableColumn id="11895" xr3:uid="{1671DF8E-438E-408A-A785-E094C5C7CB97}" name="Column11892"/>
    <tableColumn id="11896" xr3:uid="{8350D316-736D-4AAB-A550-D770CCBED57F}" name="Column11893"/>
    <tableColumn id="11897" xr3:uid="{1FBD67E6-1162-44B6-9D59-3E7DEFCAB350}" name="Column11894"/>
    <tableColumn id="11898" xr3:uid="{6B630A55-99AF-43F0-8E58-ED876099012C}" name="Column11895"/>
    <tableColumn id="11899" xr3:uid="{D09B1428-621A-4C54-9B8C-1E42133AD1D8}" name="Column11896"/>
    <tableColumn id="11900" xr3:uid="{CFC35001-7858-4177-A169-FC253EB27572}" name="Column11897"/>
    <tableColumn id="11901" xr3:uid="{309E4BC9-802C-462E-9811-BA9C897E3023}" name="Column11898"/>
    <tableColumn id="11902" xr3:uid="{028FC5D8-3AAF-4206-B21B-50D6A1CEFACB}" name="Column11899"/>
    <tableColumn id="11903" xr3:uid="{0D8FB2CB-BA25-47F5-9FFC-8B0FE5D73B34}" name="Column11900"/>
    <tableColumn id="11904" xr3:uid="{738F673B-1C99-4DDA-9F5D-8CA7385BE16C}" name="Column11901"/>
    <tableColumn id="11905" xr3:uid="{879B2753-2938-4F87-8582-3C857F6C1B7A}" name="Column11902"/>
    <tableColumn id="11906" xr3:uid="{7C4C9F9E-E7ED-4330-8FCA-ACD98451878D}" name="Column11903"/>
    <tableColumn id="11907" xr3:uid="{4C7878BF-C483-4A78-8E3A-21003DBB9A05}" name="Column11904"/>
    <tableColumn id="11908" xr3:uid="{4A4B684A-8E18-43AA-842A-E97E39690836}" name="Column11905"/>
    <tableColumn id="11909" xr3:uid="{317F6EFE-D3E0-4558-9176-343A4DAAFF77}" name="Column11906"/>
    <tableColumn id="11910" xr3:uid="{20D5B8AD-F1AB-4C08-9F8A-8D04F60F86D3}" name="Column11907"/>
    <tableColumn id="11911" xr3:uid="{9D3620A7-2C6F-464F-8490-0BD5568CE505}" name="Column11908"/>
    <tableColumn id="11912" xr3:uid="{95B45272-827E-43A1-A2DD-7E25D0505620}" name="Column11909"/>
    <tableColumn id="11913" xr3:uid="{DED360F9-4EE2-483A-8EED-844899612F0F}" name="Column11910"/>
    <tableColumn id="11914" xr3:uid="{8A36B4CB-BF6A-4A6A-9C6C-0E2F1E6082CD}" name="Column11911"/>
    <tableColumn id="11915" xr3:uid="{BE434A0C-4A7C-4E35-A834-A3DC6971CF14}" name="Column11912"/>
    <tableColumn id="11916" xr3:uid="{5B823CAC-3DFC-4E21-8568-17A169F2AFD5}" name="Column11913"/>
    <tableColumn id="11917" xr3:uid="{1AC936A7-D4E9-434F-9A54-64EC948DEA45}" name="Column11914"/>
    <tableColumn id="11918" xr3:uid="{1B3F4529-185D-4864-882A-45E50F9B1155}" name="Column11915"/>
    <tableColumn id="11919" xr3:uid="{2CBCCD13-8312-49F4-B8C3-6FE00BA15446}" name="Column11916"/>
    <tableColumn id="11920" xr3:uid="{49FC3021-5ACB-40D3-AE13-3B613D9D3D2E}" name="Column11917"/>
    <tableColumn id="11921" xr3:uid="{5F3DD8EF-1164-4292-8EE5-829A178A74C8}" name="Column11918"/>
    <tableColumn id="11922" xr3:uid="{CC3CC3C6-F1BE-4B91-96A4-5F6D17D6D613}" name="Column11919"/>
    <tableColumn id="11923" xr3:uid="{F9663E0B-724F-4910-A24B-0BB2E52B4398}" name="Column11920"/>
    <tableColumn id="11924" xr3:uid="{C8E951A8-681D-4AD9-835A-73B192A3B7D1}" name="Column11921"/>
    <tableColumn id="11925" xr3:uid="{730BD492-71EE-4CE8-9156-E39D37E66637}" name="Column11922"/>
    <tableColumn id="11926" xr3:uid="{50760C1B-3B85-434A-9DF1-E6BFBA3DCA79}" name="Column11923"/>
    <tableColumn id="11927" xr3:uid="{65EA5C4B-EE75-4E0D-9249-38D8384B0B87}" name="Column11924"/>
    <tableColumn id="11928" xr3:uid="{9003FEA8-1521-40A4-91C0-3DBAEBA7C8B0}" name="Column11925"/>
    <tableColumn id="11929" xr3:uid="{D556AC6D-175A-4F69-B999-8AB9748A3C6A}" name="Column11926"/>
    <tableColumn id="11930" xr3:uid="{646A2B20-A2FC-47F4-A249-7BB11A9DBE8C}" name="Column11927"/>
    <tableColumn id="11931" xr3:uid="{573E07D5-92C6-44CA-96A5-8E351E5B660F}" name="Column11928"/>
    <tableColumn id="11932" xr3:uid="{C8C078C2-274C-4C2D-9459-149207900475}" name="Column11929"/>
    <tableColumn id="11933" xr3:uid="{261B6E63-0732-4A65-901C-C05B9D0DA154}" name="Column11930"/>
    <tableColumn id="11934" xr3:uid="{F654D2DF-0062-4FE8-B3A8-BE693C7A846D}" name="Column11931"/>
    <tableColumn id="11935" xr3:uid="{B5966DB0-B815-4EB2-8367-800970BD51CE}" name="Column11932"/>
    <tableColumn id="11936" xr3:uid="{723A25B3-B446-4174-8CCC-D6BAE943524A}" name="Column11933"/>
    <tableColumn id="11937" xr3:uid="{7F570F34-1C2E-413B-9BF1-27AD92361939}" name="Column11934"/>
    <tableColumn id="11938" xr3:uid="{DAB42E73-8118-4253-8F04-7EE425C717C9}" name="Column11935"/>
    <tableColumn id="11939" xr3:uid="{CED814C1-A1C3-4B2A-9BB4-2E4550439EE1}" name="Column11936"/>
    <tableColumn id="11940" xr3:uid="{DF73E348-560C-4191-9CB9-D67C9CF60B4A}" name="Column11937"/>
    <tableColumn id="11941" xr3:uid="{3D3CEF99-D606-4B38-B41D-F2D4F1678C45}" name="Column11938"/>
    <tableColumn id="11942" xr3:uid="{E0C1266B-45A8-4D6C-9156-1433806E4225}" name="Column11939"/>
    <tableColumn id="11943" xr3:uid="{5DE2ED52-7F64-4C44-941A-CED95C79DFE6}" name="Column11940"/>
    <tableColumn id="11944" xr3:uid="{BE45DAB6-CDD8-4EDA-8757-47B3C4A646EA}" name="Column11941"/>
    <tableColumn id="11945" xr3:uid="{BCA55C0D-D812-4C34-9852-A5F73554CE82}" name="Column11942"/>
    <tableColumn id="11946" xr3:uid="{D1A1AA84-B36D-4FDD-BBD2-5E5348E16CB4}" name="Column11943"/>
    <tableColumn id="11947" xr3:uid="{E32CE82C-C4B7-49CC-9F52-7DBD8D2EE4CA}" name="Column11944"/>
    <tableColumn id="11948" xr3:uid="{3A46ED45-049B-4F6E-9B60-C12394A4BAE8}" name="Column11945"/>
    <tableColumn id="11949" xr3:uid="{4A518BC2-C4CB-463A-B3AB-B63D80EA7DAA}" name="Column11946"/>
    <tableColumn id="11950" xr3:uid="{5EF0A36C-6610-4AED-BF8D-775C0B05E79F}" name="Column11947"/>
    <tableColumn id="11951" xr3:uid="{EF03584D-1AB4-42B7-8DBF-587EB823FA44}" name="Column11948"/>
    <tableColumn id="11952" xr3:uid="{2767B74C-40F6-450F-AF7D-0ACC0176EF67}" name="Column11949"/>
    <tableColumn id="11953" xr3:uid="{BB9E04AC-87BB-49B7-8296-3769E3935FBB}" name="Column11950"/>
    <tableColumn id="11954" xr3:uid="{FC47578C-A4F1-471B-999F-6C7FE3D62931}" name="Column11951"/>
    <tableColumn id="11955" xr3:uid="{DEC23B8F-2F86-407F-B745-21A6488E78AA}" name="Column11952"/>
    <tableColumn id="11956" xr3:uid="{803C3D6E-A624-48DD-9C24-E04366F164AB}" name="Column11953"/>
    <tableColumn id="11957" xr3:uid="{DF582F37-93C8-49F5-BA37-C6F28CF7D40F}" name="Column11954"/>
    <tableColumn id="11958" xr3:uid="{8A2CA938-590D-44FB-AF24-DF9157190BBE}" name="Column11955"/>
    <tableColumn id="11959" xr3:uid="{B7BDBD4B-38EB-4961-AC53-DACE49F557DC}" name="Column11956"/>
    <tableColumn id="11960" xr3:uid="{F6E7B927-6FF9-43AC-B4A0-7B3C19D07CFA}" name="Column11957"/>
    <tableColumn id="11961" xr3:uid="{2D0A7B98-79A6-4BFF-9A85-0D8B6AC69B05}" name="Column11958"/>
    <tableColumn id="11962" xr3:uid="{C104C740-FBA8-474A-BFED-B669F5EFC895}" name="Column11959"/>
    <tableColumn id="11963" xr3:uid="{0A243A16-0BB0-4CD4-A5B5-B628594770CB}" name="Column11960"/>
    <tableColumn id="11964" xr3:uid="{0A50720F-8096-4CC2-A8DD-73303CB68B1A}" name="Column11961"/>
    <tableColumn id="11965" xr3:uid="{67AEB3FE-EE9D-4083-B9A9-D85435F70FB2}" name="Column11962"/>
    <tableColumn id="11966" xr3:uid="{CBBB5918-0991-49C9-9B24-EA81418E0882}" name="Column11963"/>
    <tableColumn id="11967" xr3:uid="{7394BA4D-2295-4DE2-AB1E-95A46FC35694}" name="Column11964"/>
    <tableColumn id="11968" xr3:uid="{0911A216-5F8C-4C9C-950B-E1B166468DFB}" name="Column11965"/>
    <tableColumn id="11969" xr3:uid="{F1BED2A7-1A60-4018-B29E-0A392BA63FFB}" name="Column11966"/>
    <tableColumn id="11970" xr3:uid="{03AB06E7-9C41-4131-A502-72C81DE8C6AB}" name="Column11967"/>
    <tableColumn id="11971" xr3:uid="{46819BDA-041D-4C4F-BC09-139DC44B35BE}" name="Column11968"/>
    <tableColumn id="11972" xr3:uid="{61787857-D74B-45A4-9546-D150CF406F8F}" name="Column11969"/>
    <tableColumn id="11973" xr3:uid="{4D4787FE-EDB9-4E67-B0BC-168A721EFC54}" name="Column11970"/>
    <tableColumn id="11974" xr3:uid="{17E58697-3E4B-4EBC-A5DB-2459A0F225A9}" name="Column11971"/>
    <tableColumn id="11975" xr3:uid="{CCC28C9B-8573-4C1B-8CA7-8A08ECDA9181}" name="Column11972"/>
    <tableColumn id="11976" xr3:uid="{4C2629B3-34B3-40AC-9A65-873F62FF1F46}" name="Column11973"/>
    <tableColumn id="11977" xr3:uid="{3A6FDC01-A558-465B-A1B4-863840F9E2E6}" name="Column11974"/>
    <tableColumn id="11978" xr3:uid="{2FD639F4-B0CD-40E1-BCC5-00774A5A83CE}" name="Column11975"/>
    <tableColumn id="11979" xr3:uid="{B1AD4763-6A7C-4DC1-9D81-3A266B6CEBBE}" name="Column11976"/>
    <tableColumn id="11980" xr3:uid="{3CD667D8-2549-4E8A-AD15-FF38C31176FC}" name="Column11977"/>
    <tableColumn id="11981" xr3:uid="{34B28D72-5FC3-46AD-9911-FBA18EAF89B6}" name="Column11978"/>
    <tableColumn id="11982" xr3:uid="{D2360864-0ADF-4F11-B004-80BDB1BFCB2D}" name="Column11979"/>
    <tableColumn id="11983" xr3:uid="{8A605A6F-F2FE-45B5-9E8D-50D33D814297}" name="Column11980"/>
    <tableColumn id="11984" xr3:uid="{F7D30352-8ECC-4A71-85E8-D955C9D1971F}" name="Column11981"/>
    <tableColumn id="11985" xr3:uid="{14BDE650-C3D5-4D98-B5B4-BA583C28023A}" name="Column11982"/>
    <tableColumn id="11986" xr3:uid="{72C22DA9-4A36-4AE8-BC03-89C87D49FD2E}" name="Column11983"/>
    <tableColumn id="11987" xr3:uid="{B5A19E48-6370-4FE4-868E-53A7FB12F8C2}" name="Column11984"/>
    <tableColumn id="11988" xr3:uid="{B475767A-6B55-4D7E-BAF9-AC70F99DE8AF}" name="Column11985"/>
    <tableColumn id="11989" xr3:uid="{DF954A27-8548-4E18-A898-C5FD6945010A}" name="Column11986"/>
    <tableColumn id="11990" xr3:uid="{7F0F6F06-3EB9-4029-9444-924D8D5923FC}" name="Column11987"/>
    <tableColumn id="11991" xr3:uid="{4EACE88B-F333-43DD-96BC-827E99EA4CBC}" name="Column11988"/>
    <tableColumn id="11992" xr3:uid="{4D4F39ED-E148-4C27-96AD-BC3C6EE50FB5}" name="Column11989"/>
    <tableColumn id="11993" xr3:uid="{83AA420F-14B2-4324-9998-579E1F001FB6}" name="Column11990"/>
    <tableColumn id="11994" xr3:uid="{AF0A115A-9C85-4B9C-8BCA-7F5B8AFAFE66}" name="Column11991"/>
    <tableColumn id="11995" xr3:uid="{AFEAB6EC-FD4A-4933-813E-5F75CF772C3E}" name="Column11992"/>
    <tableColumn id="11996" xr3:uid="{A38AEA00-0340-49D3-8D1A-357014A9AFA2}" name="Column11993"/>
    <tableColumn id="11997" xr3:uid="{7A21C0A8-EDA6-4C14-8817-1385C43ED660}" name="Column11994"/>
    <tableColumn id="11998" xr3:uid="{C94B1082-1B68-4042-93B6-58AABC04AE1C}" name="Column11995"/>
    <tableColumn id="11999" xr3:uid="{3B1C67B7-AEAC-412B-BCC0-129EA628B5C6}" name="Column11996"/>
    <tableColumn id="12000" xr3:uid="{0B96897E-2796-4B96-B53C-6B207DBF8EF0}" name="Column11997"/>
    <tableColumn id="12001" xr3:uid="{1F64A24A-482F-492A-B75E-DF340A224AC3}" name="Column11998"/>
    <tableColumn id="12002" xr3:uid="{5505208B-47E7-47DD-8D6D-604C01B50573}" name="Column11999"/>
    <tableColumn id="12003" xr3:uid="{444DB08D-FE6C-4AD8-8696-DA6D8A477361}" name="Column12000"/>
    <tableColumn id="12004" xr3:uid="{05F26CAD-6CE6-403F-A0B9-65742265EC2E}" name="Column12001"/>
    <tableColumn id="12005" xr3:uid="{F987BB93-74FF-4B00-9D4C-4B81F852C387}" name="Column12002"/>
    <tableColumn id="12006" xr3:uid="{D4DD9D9C-FB42-4307-845B-AA8D47D28756}" name="Column12003"/>
    <tableColumn id="12007" xr3:uid="{B54B35D0-BA39-46C5-8E0C-25050E93D7D4}" name="Column12004"/>
    <tableColumn id="12008" xr3:uid="{63DCEF9F-2365-4AA6-831A-693953F3412D}" name="Column12005"/>
    <tableColumn id="12009" xr3:uid="{0B1CFA4E-9146-4D7F-A0E5-4F6445DE96D4}" name="Column12006"/>
    <tableColumn id="12010" xr3:uid="{DE787A6E-6CF8-4266-8D0F-B3729DE65A47}" name="Column12007"/>
    <tableColumn id="12011" xr3:uid="{56C6F9F1-CEF6-48C3-B0F3-B975EEA795F6}" name="Column12008"/>
    <tableColumn id="12012" xr3:uid="{657B03D2-BDF3-486C-A554-BAECC2B3ED58}" name="Column12009"/>
    <tableColumn id="12013" xr3:uid="{B7831BDB-A7AA-4D26-A5EE-995155CD0AFF}" name="Column12010"/>
    <tableColumn id="12014" xr3:uid="{259DFCB4-685C-4969-83C5-5D99D6BC96A6}" name="Column12011"/>
    <tableColumn id="12015" xr3:uid="{7EAC7109-54B7-4D6E-87B5-A1FC2FD7142E}" name="Column12012"/>
    <tableColumn id="12016" xr3:uid="{54A3AC0C-3F59-4201-B5E5-882C01E4496D}" name="Column12013"/>
    <tableColumn id="12017" xr3:uid="{9FBB0741-89CF-4A38-95CD-FB29EDB40B2F}" name="Column12014"/>
    <tableColumn id="12018" xr3:uid="{E336ADDB-B80F-4B2B-A589-3E4E5512315B}" name="Column12015"/>
    <tableColumn id="12019" xr3:uid="{4DE51011-B7ED-4FA6-A272-3CDFD765F5C5}" name="Column12016"/>
    <tableColumn id="12020" xr3:uid="{E671E729-8D0B-4173-9EA0-C60EA0A82C8C}" name="Column12017"/>
    <tableColumn id="12021" xr3:uid="{E62E0EBB-3BEA-4A32-AF64-FEAF5A981AA1}" name="Column12018"/>
    <tableColumn id="12022" xr3:uid="{69652EEE-4CD7-45D6-A8DF-38ABF1A15C00}" name="Column12019"/>
    <tableColumn id="12023" xr3:uid="{1CD81568-4FDA-476B-BEE0-D252856BE4A0}" name="Column12020"/>
    <tableColumn id="12024" xr3:uid="{ED2B7AEE-F525-4231-B48C-2E3F15F53C67}" name="Column12021"/>
    <tableColumn id="12025" xr3:uid="{3E1BC569-F36B-4E4C-99C8-951159CB506A}" name="Column12022"/>
    <tableColumn id="12026" xr3:uid="{40002AF1-4DF9-4683-9705-70CE3D628BEB}" name="Column12023"/>
    <tableColumn id="12027" xr3:uid="{CB852543-A77E-48DE-88AC-784E5B5F7E25}" name="Column12024"/>
    <tableColumn id="12028" xr3:uid="{160E0F41-FF7A-476F-BCEB-0394A93C6AA4}" name="Column12025"/>
    <tableColumn id="12029" xr3:uid="{4AA7A83E-3959-4FD0-8BEC-6C2635A6923A}" name="Column12026"/>
    <tableColumn id="12030" xr3:uid="{12D284C6-1E5C-452E-BDDB-827F6A5C8012}" name="Column12027"/>
    <tableColumn id="12031" xr3:uid="{EE51E2AC-273C-4B17-A48D-9A4B7E173CBF}" name="Column12028"/>
    <tableColumn id="12032" xr3:uid="{D3339669-11C3-4BFB-A882-26B3EC1A341A}" name="Column12029"/>
    <tableColumn id="12033" xr3:uid="{433E6FFF-8998-4A45-B495-6CB696CEEB15}" name="Column12030"/>
    <tableColumn id="12034" xr3:uid="{069AE791-84D6-40D4-89AE-EABB0F8B7B19}" name="Column12031"/>
    <tableColumn id="12035" xr3:uid="{AAD3EA0E-852E-477C-8EBE-B9CE1D352660}" name="Column12032"/>
    <tableColumn id="12036" xr3:uid="{1A0C8CF6-2E90-4504-9A91-505CB49CFAC6}" name="Column12033"/>
    <tableColumn id="12037" xr3:uid="{81C122B7-D9B1-4ADF-B953-6F4A03CA9107}" name="Column12034"/>
    <tableColumn id="12038" xr3:uid="{2EF53904-DBA3-4D6C-AC42-96CF3B6449F7}" name="Column12035"/>
    <tableColumn id="12039" xr3:uid="{08AE3E4F-D9F1-4F34-B2F3-6CC289279B7A}" name="Column12036"/>
    <tableColumn id="12040" xr3:uid="{5B81FC6A-75E5-46DB-943B-D8221ED53740}" name="Column12037"/>
    <tableColumn id="12041" xr3:uid="{F6ACAD66-2165-44E0-9F30-BCDF5542C14A}" name="Column12038"/>
    <tableColumn id="12042" xr3:uid="{57A2BD35-F9CE-4B0F-853A-6ABAE2D652E9}" name="Column12039"/>
    <tableColumn id="12043" xr3:uid="{C8FD3C2B-6F67-4E89-A906-DC9EE296B073}" name="Column12040"/>
    <tableColumn id="12044" xr3:uid="{B02A3E26-DA95-4E94-96A4-C05CE4468356}" name="Column12041"/>
    <tableColumn id="12045" xr3:uid="{4ABA40C7-227D-45B3-8D2C-5C5213D74DE1}" name="Column12042"/>
    <tableColumn id="12046" xr3:uid="{503F2A3B-3EE6-4CED-BF98-3BE3FC0F05B1}" name="Column12043"/>
    <tableColumn id="12047" xr3:uid="{DC6CD8DE-A611-4AA1-8F9B-5C393EB7F690}" name="Column12044"/>
    <tableColumn id="12048" xr3:uid="{97575738-69B1-4AE7-B574-07ABB47DC926}" name="Column12045"/>
    <tableColumn id="12049" xr3:uid="{50100C46-4475-4B36-BCCF-4BC5188D0DC3}" name="Column12046"/>
    <tableColumn id="12050" xr3:uid="{64CE3D39-B6BE-41F2-B97B-EAD913FB0AAB}" name="Column12047"/>
    <tableColumn id="12051" xr3:uid="{59D4212F-F9B2-4D0E-A9FC-34EFAFB14C52}" name="Column12048"/>
    <tableColumn id="12052" xr3:uid="{8A79797B-A959-44E3-A9D6-C4C6FA4F6F31}" name="Column12049"/>
    <tableColumn id="12053" xr3:uid="{911E5776-E577-4BE9-B10D-B3D4F0F5CA05}" name="Column12050"/>
    <tableColumn id="12054" xr3:uid="{5A4FDDBC-76EE-4955-BC52-17D21C240473}" name="Column12051"/>
    <tableColumn id="12055" xr3:uid="{1F042B11-9C81-43B9-92B4-82DD816DAB50}" name="Column12052"/>
    <tableColumn id="12056" xr3:uid="{234ACEED-3A7A-432F-A7A9-D8E049643F45}" name="Column12053"/>
    <tableColumn id="12057" xr3:uid="{7D98E5E9-B75D-4846-84C2-500F4BD66E96}" name="Column12054"/>
    <tableColumn id="12058" xr3:uid="{F2CC3BC0-C7F3-4251-9741-4815BCD3EA06}" name="Column12055"/>
    <tableColumn id="12059" xr3:uid="{ACAAC821-6409-4EC2-BAC1-D709EBE37051}" name="Column12056"/>
    <tableColumn id="12060" xr3:uid="{102BC3E1-2AAD-4FAA-BD19-4AC3F328299C}" name="Column12057"/>
    <tableColumn id="12061" xr3:uid="{6BB8806B-C981-4FA0-9E82-89AE5337DBDD}" name="Column12058"/>
    <tableColumn id="12062" xr3:uid="{C70E15CD-E7E7-4A70-B8FD-78CEB86FCA7B}" name="Column12059"/>
    <tableColumn id="12063" xr3:uid="{D4BDEDC5-0F9B-4CF3-81FA-7089ABAB7C08}" name="Column12060"/>
    <tableColumn id="12064" xr3:uid="{80986C5D-65AE-4D8D-8338-D7B00DE07D63}" name="Column12061"/>
    <tableColumn id="12065" xr3:uid="{70E8C4C4-9E88-4E20-BA9D-A57AE95BFB5D}" name="Column12062"/>
    <tableColumn id="12066" xr3:uid="{101A7483-575E-4124-9A9A-7E37CF1C5C59}" name="Column12063"/>
    <tableColumn id="12067" xr3:uid="{72AB1067-0D0C-4062-9E2B-F3C0F7AFA0F4}" name="Column12064"/>
    <tableColumn id="12068" xr3:uid="{80CD78F8-61BE-4356-A191-E7E170D0DA02}" name="Column12065"/>
    <tableColumn id="12069" xr3:uid="{18D3EA4D-723C-4993-9625-8912C464630E}" name="Column12066"/>
    <tableColumn id="12070" xr3:uid="{D1468FBF-2903-4D65-B54D-9F3C148C6F8A}" name="Column12067"/>
    <tableColumn id="12071" xr3:uid="{DD501268-B18E-4568-91F8-85E6F2538210}" name="Column12068"/>
    <tableColumn id="12072" xr3:uid="{40C489C0-AB4E-4F4F-B1E1-E1F969C60DE3}" name="Column12069"/>
    <tableColumn id="12073" xr3:uid="{E9682A8D-6E05-4CD1-AA6C-CD4AE361A1E5}" name="Column12070"/>
    <tableColumn id="12074" xr3:uid="{4512F34F-2B88-4E85-B5C9-E7CE21C839E0}" name="Column12071"/>
    <tableColumn id="12075" xr3:uid="{C7E60DB8-B87B-4A8A-8AE1-96B1FF03E95A}" name="Column12072"/>
    <tableColumn id="12076" xr3:uid="{564242A4-520A-42B1-B129-B662B8C39FD4}" name="Column12073"/>
    <tableColumn id="12077" xr3:uid="{0FE42DAD-6B95-4AFA-8619-A73537AA0FF4}" name="Column12074"/>
    <tableColumn id="12078" xr3:uid="{DAB9F431-84ED-4E7D-9C14-EB02E4402A27}" name="Column12075"/>
    <tableColumn id="12079" xr3:uid="{484C3203-6A12-4242-B66C-D63D5E40DAB8}" name="Column12076"/>
    <tableColumn id="12080" xr3:uid="{9D497BFD-39A6-4E19-A2E2-B0C0F2E7C6F0}" name="Column12077"/>
    <tableColumn id="12081" xr3:uid="{8084C47F-628B-44A5-9C84-3376120D7B3F}" name="Column12078"/>
    <tableColumn id="12082" xr3:uid="{EB4EC7A8-DA59-40A5-BC3B-79900D88CB9D}" name="Column12079"/>
    <tableColumn id="12083" xr3:uid="{1C7F9450-3701-49B5-BF6E-288B4F7C8A31}" name="Column12080"/>
    <tableColumn id="12084" xr3:uid="{D6D90A79-64D0-493A-BC67-3B5371E2B331}" name="Column12081"/>
    <tableColumn id="12085" xr3:uid="{D7D9F611-A733-4FD2-B140-71702AA5BEE2}" name="Column12082"/>
    <tableColumn id="12086" xr3:uid="{05B41648-A989-4672-9629-BC11D2080118}" name="Column12083"/>
    <tableColumn id="12087" xr3:uid="{292F9E0E-78DE-4B32-AA7E-BBE822067A40}" name="Column12084"/>
    <tableColumn id="12088" xr3:uid="{B5873DC5-0D60-4E01-881E-157A9A157FEE}" name="Column12085"/>
    <tableColumn id="12089" xr3:uid="{7EFA75F3-6E77-4055-8945-58385A442B0C}" name="Column12086"/>
    <tableColumn id="12090" xr3:uid="{1C2F583E-B00B-4CFE-BF35-5E019FDCB8D2}" name="Column12087"/>
    <tableColumn id="12091" xr3:uid="{8879C556-A69F-44B4-BE62-9ED8E105ED56}" name="Column12088"/>
    <tableColumn id="12092" xr3:uid="{29ADBFC9-9AE5-40F7-B966-C6FBC09A5C9E}" name="Column12089"/>
    <tableColumn id="12093" xr3:uid="{F2A9653C-FBB5-4EB3-AE56-9F2772400454}" name="Column12090"/>
    <tableColumn id="12094" xr3:uid="{9BAAB888-1C9D-4ABF-8018-BFAA238FD233}" name="Column12091"/>
    <tableColumn id="12095" xr3:uid="{28B710F2-908F-4A8F-8251-4582A49F8F3E}" name="Column12092"/>
    <tableColumn id="12096" xr3:uid="{5DF6AE16-21CD-4A5A-A631-912D311892E7}" name="Column12093"/>
    <tableColumn id="12097" xr3:uid="{DF309471-1124-4E60-AF1E-9DBEE8AB9846}" name="Column12094"/>
    <tableColumn id="12098" xr3:uid="{CA06D154-A22C-4B9D-8CDB-5C34C28553B3}" name="Column12095"/>
    <tableColumn id="12099" xr3:uid="{A9AE3DB4-8647-46CC-B3AA-BE0A9B822554}" name="Column12096"/>
    <tableColumn id="12100" xr3:uid="{601FF039-591A-4B70-ACDE-7B9380637FCC}" name="Column12097"/>
    <tableColumn id="12101" xr3:uid="{33216E37-2A69-49FD-A9D6-312D5AC4ED3C}" name="Column12098"/>
    <tableColumn id="12102" xr3:uid="{DC8CC87F-24E3-4C6A-804D-3E987BC6EB9D}" name="Column12099"/>
    <tableColumn id="12103" xr3:uid="{896D2EFD-0610-4C9F-B54F-D6F9F83CC3F5}" name="Column12100"/>
    <tableColumn id="12104" xr3:uid="{19ED1FAE-7966-455A-8D89-DA375C522BB4}" name="Column12101"/>
    <tableColumn id="12105" xr3:uid="{8D519E5B-8E72-4877-9270-7B68863ECD41}" name="Column12102"/>
    <tableColumn id="12106" xr3:uid="{68FA922B-516D-4E05-A8B8-760DFB0EFB6F}" name="Column12103"/>
    <tableColumn id="12107" xr3:uid="{2ADC1A41-28CD-4D54-AE42-7E9F9C19267F}" name="Column12104"/>
    <tableColumn id="12108" xr3:uid="{CF1E1F40-7AA1-41B2-80C9-4D4B0D4C72B5}" name="Column12105"/>
    <tableColumn id="12109" xr3:uid="{C6D89B63-2D8F-4702-B267-68A9671E8ABB}" name="Column12106"/>
    <tableColumn id="12110" xr3:uid="{0687B412-02EE-4055-9860-DDE0E003BE34}" name="Column12107"/>
    <tableColumn id="12111" xr3:uid="{F5302241-852B-434E-81CB-534C652DA632}" name="Column12108"/>
    <tableColumn id="12112" xr3:uid="{7EC54CB5-C269-4338-B458-D8FC7237D6BC}" name="Column12109"/>
    <tableColumn id="12113" xr3:uid="{D8F07836-E944-4B15-A533-26175EF8F34E}" name="Column12110"/>
    <tableColumn id="12114" xr3:uid="{1A6FB211-6A77-4D37-97C5-44C8B99F17E6}" name="Column12111"/>
    <tableColumn id="12115" xr3:uid="{F08DDDAC-CD9A-431D-95FB-35C80C46FA74}" name="Column12112"/>
    <tableColumn id="12116" xr3:uid="{10398156-F7AF-47ED-A506-436F511BDC24}" name="Column12113"/>
    <tableColumn id="12117" xr3:uid="{F9025064-BEBA-436C-8FCD-9D9B217FE24F}" name="Column12114"/>
    <tableColumn id="12118" xr3:uid="{B77AC5F5-5ADD-4ACA-83D7-6AAC6CB5B799}" name="Column12115"/>
    <tableColumn id="12119" xr3:uid="{0B680DCE-CCE7-4E90-8920-02F4CD3894D8}" name="Column12116"/>
    <tableColumn id="12120" xr3:uid="{B3B6A82A-3C3A-4D44-A3BA-C890369EECFD}" name="Column12117"/>
    <tableColumn id="12121" xr3:uid="{79F59BF4-25EA-45C3-8671-7987414169F0}" name="Column12118"/>
    <tableColumn id="12122" xr3:uid="{17B8CB3B-4108-43E0-A12A-F1A2C0168A2D}" name="Column12119"/>
    <tableColumn id="12123" xr3:uid="{0AA607C6-D7BF-4231-AD54-F283EAFD8007}" name="Column12120"/>
    <tableColumn id="12124" xr3:uid="{F61B12A4-8F10-4A64-A2C2-5EE91FDDA48C}" name="Column12121"/>
    <tableColumn id="12125" xr3:uid="{0FB0E7E6-B3B2-447E-919C-D0541FE9CC7F}" name="Column12122"/>
    <tableColumn id="12126" xr3:uid="{5444C5B2-617F-47CA-B0A4-E14DD7BA3BAA}" name="Column12123"/>
    <tableColumn id="12127" xr3:uid="{8E7701CD-D005-4114-9FA4-103FC6FE5916}" name="Column12124"/>
    <tableColumn id="12128" xr3:uid="{F48BDE8D-ED1A-43A6-814B-BEDD2DFF2787}" name="Column12125"/>
    <tableColumn id="12129" xr3:uid="{3DF0898F-D66D-4C79-982F-D06D63333BB3}" name="Column12126"/>
    <tableColumn id="12130" xr3:uid="{807FB057-49D8-4BC1-A962-3C7A9E151BC6}" name="Column12127"/>
    <tableColumn id="12131" xr3:uid="{412705B3-1C7E-4CA5-AE95-606531DF80AF}" name="Column12128"/>
    <tableColumn id="12132" xr3:uid="{FA198D00-F7D7-4F22-BA49-809B6B7F4273}" name="Column12129"/>
    <tableColumn id="12133" xr3:uid="{AFBFA462-B853-4FF0-B339-15635F4EAEF7}" name="Column12130"/>
    <tableColumn id="12134" xr3:uid="{32B3D885-03D9-4295-BD6A-4E96990994B9}" name="Column12131"/>
    <tableColumn id="12135" xr3:uid="{18114F94-A3BF-4140-A5A4-5FA014437F97}" name="Column12132"/>
    <tableColumn id="12136" xr3:uid="{FAE991E6-ACBE-4A1F-9C03-587773B21A20}" name="Column12133"/>
    <tableColumn id="12137" xr3:uid="{09418797-855E-4CE7-97B8-047C7C80F53E}" name="Column12134"/>
    <tableColumn id="12138" xr3:uid="{9430D475-92F4-499A-B041-87DAD86D4710}" name="Column12135"/>
    <tableColumn id="12139" xr3:uid="{FC859F28-C82B-4020-BA34-81FAD3A0BD2C}" name="Column12136"/>
    <tableColumn id="12140" xr3:uid="{F7428A21-74C4-48FB-AF20-0A27FE15B645}" name="Column12137"/>
    <tableColumn id="12141" xr3:uid="{8C85352E-2131-4365-89A8-0C37D9522E1C}" name="Column12138"/>
    <tableColumn id="12142" xr3:uid="{22ECF328-21E2-4EE5-AAB1-9CB48262007B}" name="Column12139"/>
    <tableColumn id="12143" xr3:uid="{DF9DB628-79CB-45A8-BF3E-E8A5283D7898}" name="Column12140"/>
    <tableColumn id="12144" xr3:uid="{6506835B-E02C-4D0F-9497-A054F9D77CAF}" name="Column12141"/>
    <tableColumn id="12145" xr3:uid="{7FABECF5-9C52-4190-8DFE-EDDF22355C32}" name="Column12142"/>
    <tableColumn id="12146" xr3:uid="{4FA61680-AF36-461B-9578-CF5E5806ED56}" name="Column12143"/>
    <tableColumn id="12147" xr3:uid="{76E51BAD-55B8-4CA3-B14D-AD635A7015FC}" name="Column12144"/>
    <tableColumn id="12148" xr3:uid="{105E4894-0937-4EC2-BAAB-2ADA44C8FC66}" name="Column12145"/>
    <tableColumn id="12149" xr3:uid="{28F4AC61-F27A-4253-B053-6D06BF5F5D82}" name="Column12146"/>
    <tableColumn id="12150" xr3:uid="{F7CCA8C4-D9A3-4905-B9AC-ADF000A1BD70}" name="Column12147"/>
    <tableColumn id="12151" xr3:uid="{E971FAD4-740B-4E8D-9D87-111A4CCB63C5}" name="Column12148"/>
    <tableColumn id="12152" xr3:uid="{ACF8FD4B-36EB-400A-A290-7B77A94C16B3}" name="Column12149"/>
    <tableColumn id="12153" xr3:uid="{1764D785-A68C-4C01-AADE-4DDEB13FE536}" name="Column12150"/>
    <tableColumn id="12154" xr3:uid="{42E71780-95B1-4826-8FE4-62EC72E2557F}" name="Column12151"/>
    <tableColumn id="12155" xr3:uid="{F4EB4116-17D6-4699-8099-525B76380ABF}" name="Column12152"/>
    <tableColumn id="12156" xr3:uid="{B748D8E9-DB5F-4902-803B-CF0AA2A33CE2}" name="Column12153"/>
    <tableColumn id="12157" xr3:uid="{C0DF3FFA-B4CA-423D-8DBC-3511F0AC389A}" name="Column12154"/>
    <tableColumn id="12158" xr3:uid="{F2005823-3A5C-4729-A42E-53D96DF94940}" name="Column12155"/>
    <tableColumn id="12159" xr3:uid="{C3440F32-DF9F-4C7D-B4B6-5A50B941F3E8}" name="Column12156"/>
    <tableColumn id="12160" xr3:uid="{0E614835-C775-4D96-8532-A0F01EC3F65A}" name="Column12157"/>
    <tableColumn id="12161" xr3:uid="{68C2D96B-4913-40F8-BB0A-4C6885F49D0D}" name="Column12158"/>
    <tableColumn id="12162" xr3:uid="{8E378BA6-3D43-4EF7-A46C-A08B198FC5CB}" name="Column12159"/>
    <tableColumn id="12163" xr3:uid="{736DC69C-9E99-44C7-8A33-3B8F96C1313B}" name="Column12160"/>
    <tableColumn id="12164" xr3:uid="{DCB95E92-7DBF-4882-837E-7A9E10EE9731}" name="Column12161"/>
    <tableColumn id="12165" xr3:uid="{E62F5802-9347-40F3-BFCB-4FC243A097B1}" name="Column12162"/>
    <tableColumn id="12166" xr3:uid="{BA2195FC-5D0C-4EF8-8A53-6487813A56F3}" name="Column12163"/>
    <tableColumn id="12167" xr3:uid="{CA8C7B33-38E8-418B-84A0-4FB9A78960B5}" name="Column12164"/>
    <tableColumn id="12168" xr3:uid="{953C435B-AD6B-40AB-A209-9F487180EA4F}" name="Column12165"/>
    <tableColumn id="12169" xr3:uid="{9B8DBF1B-1496-4FBF-A52A-2A0811F551E9}" name="Column12166"/>
    <tableColumn id="12170" xr3:uid="{1FFD61F8-CE03-482E-BAFC-BEC9BB3BB09A}" name="Column12167"/>
    <tableColumn id="12171" xr3:uid="{839AEAB0-9BBB-44C3-8E11-ADFE736195F6}" name="Column12168"/>
    <tableColumn id="12172" xr3:uid="{0C478A8E-777F-4317-B6E8-F7FCC1F7E2A0}" name="Column12169"/>
    <tableColumn id="12173" xr3:uid="{5AE2E544-E994-43A9-89F1-F4064F0B90E5}" name="Column12170"/>
    <tableColumn id="12174" xr3:uid="{D08A2F88-9DA9-4230-8AB4-D1747CFE50CC}" name="Column12171"/>
    <tableColumn id="12175" xr3:uid="{0F8A6367-3638-4646-A4D9-7F48FEABB42E}" name="Column12172"/>
    <tableColumn id="12176" xr3:uid="{50CD02A1-1EB6-4387-BE5E-08046E78EFDC}" name="Column12173"/>
    <tableColumn id="12177" xr3:uid="{8AD42766-98DB-4665-A037-DCBE9FD0C2DF}" name="Column12174"/>
    <tableColumn id="12178" xr3:uid="{2722091A-000B-4160-B67D-4A77995B4870}" name="Column12175"/>
    <tableColumn id="12179" xr3:uid="{1849B108-D750-4517-961C-1E7A4E8ACFAA}" name="Column12176"/>
    <tableColumn id="12180" xr3:uid="{0BD39991-8569-4981-B908-9F627B990277}" name="Column12177"/>
    <tableColumn id="12181" xr3:uid="{8F98CD72-2F3F-44CE-A6E9-FDA2422BCBC7}" name="Column12178"/>
    <tableColumn id="12182" xr3:uid="{55CFF9AB-14AD-45D1-AD5B-C20DD11926E2}" name="Column12179"/>
    <tableColumn id="12183" xr3:uid="{2A8777B6-4766-46E2-8B97-00A8676D14ED}" name="Column12180"/>
    <tableColumn id="12184" xr3:uid="{76EFB228-4C67-43C9-9C43-6D13AC232E12}" name="Column12181"/>
    <tableColumn id="12185" xr3:uid="{9D4CC0CA-76E9-441F-A1B5-7E4A19216023}" name="Column12182"/>
    <tableColumn id="12186" xr3:uid="{0B4A682B-0FF4-45A5-BE58-463550954F4A}" name="Column12183"/>
    <tableColumn id="12187" xr3:uid="{DAA17162-D566-4C62-907B-B02345C32A39}" name="Column12184"/>
    <tableColumn id="12188" xr3:uid="{227BD726-4075-4F9D-A6CA-7C143A7C13BA}" name="Column12185"/>
    <tableColumn id="12189" xr3:uid="{8D0F2976-B733-4AEA-9296-ECC19809EA97}" name="Column12186"/>
    <tableColumn id="12190" xr3:uid="{262BB9B5-7F3B-4942-9A8E-763093FC2DB6}" name="Column12187"/>
    <tableColumn id="12191" xr3:uid="{5E465FA1-C7BB-49AA-860F-8C4C8C66ACFC}" name="Column12188"/>
    <tableColumn id="12192" xr3:uid="{CF40384F-EC82-45FB-BC8F-17E84624D2EA}" name="Column12189"/>
    <tableColumn id="12193" xr3:uid="{9F6E37E8-EF4B-488B-9058-86098E1A57B4}" name="Column12190"/>
    <tableColumn id="12194" xr3:uid="{0EF44BFB-0B39-476F-8030-3C8EBDE74B01}" name="Column12191"/>
    <tableColumn id="12195" xr3:uid="{D6A4E5EC-F8A6-4B71-8257-E65EDE884BFE}" name="Column12192"/>
    <tableColumn id="12196" xr3:uid="{EBF4E3AE-627F-4181-AAD7-3F03A392F27D}" name="Column12193"/>
    <tableColumn id="12197" xr3:uid="{458AFC66-197C-4272-BB1E-D356C3723A95}" name="Column12194"/>
    <tableColumn id="12198" xr3:uid="{D4FBF429-7C38-4CE3-8132-3E1173E905BF}" name="Column12195"/>
    <tableColumn id="12199" xr3:uid="{68F1CE27-DDF0-4194-9549-0838407A2E2C}" name="Column12196"/>
    <tableColumn id="12200" xr3:uid="{2FA10244-16B5-4479-BF0F-2C34F57B45B4}" name="Column12197"/>
    <tableColumn id="12201" xr3:uid="{8BE063A3-00F7-4198-BFB1-FD779D2B2CD1}" name="Column12198"/>
    <tableColumn id="12202" xr3:uid="{50E3CB8E-606E-421F-81D3-AE9C57103F2A}" name="Column12199"/>
    <tableColumn id="12203" xr3:uid="{EBE8BC62-7C61-4F95-8EB5-9A3EA96C9CBB}" name="Column12200"/>
    <tableColumn id="12204" xr3:uid="{5D208A9E-4972-440B-826F-326FA5C2A8E0}" name="Column12201"/>
    <tableColumn id="12205" xr3:uid="{14934307-DDD3-4C2C-B752-B2F1424638A6}" name="Column12202"/>
    <tableColumn id="12206" xr3:uid="{C0CCA8D1-0F33-42CC-A466-4C439A3AEE0E}" name="Column12203"/>
    <tableColumn id="12207" xr3:uid="{466DF5EC-A1BE-4D43-9CB8-4EA9F9D98637}" name="Column12204"/>
    <tableColumn id="12208" xr3:uid="{AB8FCD5E-D264-4CFF-B412-4D778D2CD2FD}" name="Column12205"/>
    <tableColumn id="12209" xr3:uid="{71B6FA8C-85EF-4319-A1C4-D26CB74E66CE}" name="Column12206"/>
    <tableColumn id="12210" xr3:uid="{5C06607C-9959-40EF-9CAB-CE901B6ABB47}" name="Column12207"/>
    <tableColumn id="12211" xr3:uid="{160C1336-5498-41B7-9DC7-AE692DFFB23C}" name="Column12208"/>
    <tableColumn id="12212" xr3:uid="{DD8089DE-D131-4DFC-ABA5-6EA009B07E38}" name="Column12209"/>
    <tableColumn id="12213" xr3:uid="{5A4E517A-2B80-4D72-A570-4506A3AC8546}" name="Column12210"/>
    <tableColumn id="12214" xr3:uid="{C4447789-209D-41C0-B8A8-9BCFE2171B0B}" name="Column12211"/>
    <tableColumn id="12215" xr3:uid="{543EEC50-D524-45A2-99E0-1C405CB97B5C}" name="Column12212"/>
    <tableColumn id="12216" xr3:uid="{ACA6900C-EB91-414D-8F5A-DFCECD84C513}" name="Column12213"/>
    <tableColumn id="12217" xr3:uid="{DF680FD9-5F1E-449D-A6F3-EF43A7E977D6}" name="Column12214"/>
    <tableColumn id="12218" xr3:uid="{B0B9FFE2-4E4F-454B-802C-C58C544D4616}" name="Column12215"/>
    <tableColumn id="12219" xr3:uid="{BD03BC74-AF5F-4DAD-9114-C418458FAEE6}" name="Column12216"/>
    <tableColumn id="12220" xr3:uid="{C5F7DA77-422F-4949-9FCA-342A02B8B541}" name="Column12217"/>
    <tableColumn id="12221" xr3:uid="{B4143015-1EEC-44BC-A7C6-A777EA6D40E5}" name="Column12218"/>
    <tableColumn id="12222" xr3:uid="{CA722D7A-E929-47EA-A3F6-AFCC7F7D581A}" name="Column12219"/>
    <tableColumn id="12223" xr3:uid="{035DA4EA-40A1-4AC8-AB81-3495397A3660}" name="Column12220"/>
    <tableColumn id="12224" xr3:uid="{8780B859-04F0-49F9-81CB-822FBB080F20}" name="Column12221"/>
    <tableColumn id="12225" xr3:uid="{9437E946-820E-49A8-834E-34E2B6EAF68F}" name="Column12222"/>
    <tableColumn id="12226" xr3:uid="{C2C22CC6-01AA-44D3-A5E6-A4C131FADF35}" name="Column12223"/>
    <tableColumn id="12227" xr3:uid="{A2D4661B-3200-4E99-A64E-C8CB04F47C8B}" name="Column12224"/>
    <tableColumn id="12228" xr3:uid="{7B909D6C-D74A-444E-A0B8-B80E96524B4D}" name="Column12225"/>
    <tableColumn id="12229" xr3:uid="{678D3B67-69BE-4764-831F-DE6C9CF94993}" name="Column12226"/>
    <tableColumn id="12230" xr3:uid="{529960CC-D41E-44C6-B6C2-960C71ED6220}" name="Column12227"/>
    <tableColumn id="12231" xr3:uid="{4291457A-B361-4935-9C99-3CC039F26C35}" name="Column12228"/>
    <tableColumn id="12232" xr3:uid="{52F9D452-010D-47A6-9B19-492FC3E33A9D}" name="Column12229"/>
    <tableColumn id="12233" xr3:uid="{EED03E4D-3E52-4C00-984B-C58244086955}" name="Column12230"/>
    <tableColumn id="12234" xr3:uid="{6D67A57A-4EB5-4B82-867B-893D0737C5A1}" name="Column12231"/>
    <tableColumn id="12235" xr3:uid="{8299814C-F0B9-4E33-914D-0376B4305ADA}" name="Column12232"/>
    <tableColumn id="12236" xr3:uid="{DAE84D41-76CA-4330-A3D2-719A9BCA0191}" name="Column12233"/>
    <tableColumn id="12237" xr3:uid="{6DF7FE29-8CE4-4B02-8B8C-B89B3CAEB58F}" name="Column12234"/>
    <tableColumn id="12238" xr3:uid="{348CCDC2-F514-4CC5-A94D-66F14E00B026}" name="Column12235"/>
    <tableColumn id="12239" xr3:uid="{CDC25934-147D-4A60-8708-A306BF21E62A}" name="Column12236"/>
    <tableColumn id="12240" xr3:uid="{609D5A8D-02C1-4986-BCDE-58427AB41C7B}" name="Column12237"/>
    <tableColumn id="12241" xr3:uid="{4416F024-E608-47D9-9BDB-DC4C0EC0CCBD}" name="Column12238"/>
    <tableColumn id="12242" xr3:uid="{D9CF0F87-9A13-4747-822F-3681456C27BA}" name="Column12239"/>
    <tableColumn id="12243" xr3:uid="{2313A2E9-9901-4C05-BBDD-EEF1833AC862}" name="Column12240"/>
    <tableColumn id="12244" xr3:uid="{A7600947-FBA6-4D8D-8048-89C421341D31}" name="Column12241"/>
    <tableColumn id="12245" xr3:uid="{A82083D7-E33E-4962-8AD3-4B1959249527}" name="Column12242"/>
    <tableColumn id="12246" xr3:uid="{349EE308-A3B2-45C2-97C6-A22F72535271}" name="Column12243"/>
    <tableColumn id="12247" xr3:uid="{7E1F7D54-85A1-4857-AD5A-406921EBCB55}" name="Column12244"/>
    <tableColumn id="12248" xr3:uid="{DCB7D0F6-B2AC-4A44-B666-752A529E7DC5}" name="Column12245"/>
    <tableColumn id="12249" xr3:uid="{4E01E2B3-BAA5-4202-800F-3A497B13EA95}" name="Column12246"/>
    <tableColumn id="12250" xr3:uid="{1160AF42-8A09-4772-83AD-9FC028CD0B22}" name="Column12247"/>
    <tableColumn id="12251" xr3:uid="{7252438D-44C0-4445-9559-4936C53DE54B}" name="Column12248"/>
    <tableColumn id="12252" xr3:uid="{CA4BBD64-2131-44A4-9C14-B1618DEDA68A}" name="Column12249"/>
    <tableColumn id="12253" xr3:uid="{FCE5EE5F-1B56-437B-A1A5-873DC9F509B7}" name="Column12250"/>
    <tableColumn id="12254" xr3:uid="{248C154A-0541-4403-96E9-55FD05AD1A34}" name="Column12251"/>
    <tableColumn id="12255" xr3:uid="{1A776C92-D57B-4893-8EF3-9EABF02F92D8}" name="Column12252"/>
    <tableColumn id="12256" xr3:uid="{226C80CC-E372-44F5-B834-19892232B788}" name="Column12253"/>
    <tableColumn id="12257" xr3:uid="{F5780CD4-8E8C-43F2-BE68-5255D5B25B44}" name="Column12254"/>
    <tableColumn id="12258" xr3:uid="{928C38B1-7853-4522-B24F-F17C2D9BD5DA}" name="Column12255"/>
    <tableColumn id="12259" xr3:uid="{62AED63D-A414-4238-8760-F3F0F5C6BD5A}" name="Column12256"/>
    <tableColumn id="12260" xr3:uid="{0DA8C616-78D8-4C7F-AE10-0601364B112B}" name="Column12257"/>
    <tableColumn id="12261" xr3:uid="{5B6B9F7C-AB74-4E70-BC1D-2CFF7D5113CC}" name="Column12258"/>
    <tableColumn id="12262" xr3:uid="{4FCEB55E-4C0F-45A2-B0DC-813C074D3251}" name="Column12259"/>
    <tableColumn id="12263" xr3:uid="{D3802910-8128-4773-B4C6-23807DB19E63}" name="Column12260"/>
    <tableColumn id="12264" xr3:uid="{AF761579-5AD7-4784-B62C-D1262F363315}" name="Column12261"/>
    <tableColumn id="12265" xr3:uid="{F9D213C8-7B58-4449-BD79-3022B413C1AC}" name="Column12262"/>
    <tableColumn id="12266" xr3:uid="{E59CE72E-6883-4B45-905F-B640FA5D4618}" name="Column12263"/>
    <tableColumn id="12267" xr3:uid="{70787755-4900-458C-BF99-0DD7BE9D602F}" name="Column12264"/>
    <tableColumn id="12268" xr3:uid="{8D9974FB-F191-4939-BB00-B6E458763D25}" name="Column12265"/>
    <tableColumn id="12269" xr3:uid="{4C3D924D-A613-447F-9F02-3CE4D56E8895}" name="Column12266"/>
    <tableColumn id="12270" xr3:uid="{1D6BB4F7-308F-404B-8321-FE3AED832F7E}" name="Column12267"/>
    <tableColumn id="12271" xr3:uid="{FC3AEB3C-BAC6-401D-A2A1-E1E00845A03F}" name="Column12268"/>
    <tableColumn id="12272" xr3:uid="{3B4C13E8-1069-4259-BC4C-0075A3C7BD90}" name="Column12269"/>
    <tableColumn id="12273" xr3:uid="{7853C003-9CBC-4247-A32E-295FCC3D3C20}" name="Column12270"/>
    <tableColumn id="12274" xr3:uid="{8008E7D1-AE00-4F60-96AD-46E01BF1406C}" name="Column12271"/>
    <tableColumn id="12275" xr3:uid="{2AAE2526-8F8A-4850-B956-782556584D18}" name="Column12272"/>
    <tableColumn id="12276" xr3:uid="{7641123D-85FD-46CC-A8AC-ED760C6C94C9}" name="Column12273"/>
    <tableColumn id="12277" xr3:uid="{DC49DCF5-C7A2-4FCA-943D-77D56EC41933}" name="Column12274"/>
    <tableColumn id="12278" xr3:uid="{BFFB2127-9C94-4B80-882C-1DDCEE82FEA7}" name="Column12275"/>
    <tableColumn id="12279" xr3:uid="{FA8EE3A1-BF92-4EBD-A3EA-7A6D8492533D}" name="Column12276"/>
    <tableColumn id="12280" xr3:uid="{45CEE0D3-9E94-41EF-84F9-68E2B1D4DB75}" name="Column12277"/>
    <tableColumn id="12281" xr3:uid="{558F729D-A842-4D19-823A-607A6D127CBD}" name="Column12278"/>
    <tableColumn id="12282" xr3:uid="{66D6FB9D-04CE-4245-8F4F-86D71F38C73E}" name="Column12279"/>
    <tableColumn id="12283" xr3:uid="{F94D1D1D-A98B-4D98-920F-9A80FDE09D87}" name="Column12280"/>
    <tableColumn id="12284" xr3:uid="{2505A312-EC62-4556-892A-3193B40A425C}" name="Column12281"/>
    <tableColumn id="12285" xr3:uid="{DC07E789-DDF1-44AD-AEBD-11DC6D8CB144}" name="Column12282"/>
    <tableColumn id="12286" xr3:uid="{5EF71884-E9C6-4E78-A150-FEF844962CA5}" name="Column12283"/>
    <tableColumn id="12287" xr3:uid="{1705BAE3-1B73-402D-A443-CB8F566651A4}" name="Column12284"/>
    <tableColumn id="12288" xr3:uid="{0C76048D-8EB0-412E-BA20-486172372A14}" name="Column12285"/>
    <tableColumn id="12289" xr3:uid="{5C2D4819-EB4C-4F25-B7D5-2EFF84D86723}" name="Column12286"/>
    <tableColumn id="12290" xr3:uid="{25505F1C-EF62-4DC3-AB23-20ABDC0C8CCE}" name="Column12287"/>
    <tableColumn id="12291" xr3:uid="{F462CEEB-4205-4612-BCF5-016CABA8A8F6}" name="Column12288"/>
    <tableColumn id="12292" xr3:uid="{8A99F624-7AFD-4138-8BA1-B84985D737F7}" name="Column12289"/>
    <tableColumn id="12293" xr3:uid="{6DE8B45B-AEBA-4F42-A7D9-50B2DBCC8BDA}" name="Column12290"/>
    <tableColumn id="12294" xr3:uid="{7A5C8E1B-D6AB-4622-A17A-EDAA75AEC960}" name="Column12291"/>
    <tableColumn id="12295" xr3:uid="{83BD4BDF-A096-4934-BAC6-E5872027B4CB}" name="Column12292"/>
    <tableColumn id="12296" xr3:uid="{0D16286E-1C94-477E-A386-8B6DCEAD5F61}" name="Column12293"/>
    <tableColumn id="12297" xr3:uid="{C97E7603-93D6-4D1E-8B59-1995DC750A87}" name="Column12294"/>
    <tableColumn id="12298" xr3:uid="{823FA531-D9DF-4F66-AC42-645B418DEBE0}" name="Column12295"/>
    <tableColumn id="12299" xr3:uid="{C6918F18-157C-4F77-ACD1-11C3D1926B77}" name="Column12296"/>
    <tableColumn id="12300" xr3:uid="{7F022756-0B5F-404D-A229-CE78FDA2B7EB}" name="Column12297"/>
    <tableColumn id="12301" xr3:uid="{59402282-7973-4AEA-98B8-1EFC7D1BBABA}" name="Column12298"/>
    <tableColumn id="12302" xr3:uid="{23E3B1C5-5CB1-4CC2-95A4-B521FED46B75}" name="Column12299"/>
    <tableColumn id="12303" xr3:uid="{7C3C7F29-3006-4640-82AA-EC71D563732F}" name="Column12300"/>
    <tableColumn id="12304" xr3:uid="{2CFE1571-1CA8-4449-917E-43F9A0696A49}" name="Column12301"/>
    <tableColumn id="12305" xr3:uid="{BBB09158-BEAF-4839-8677-5AEBE750359D}" name="Column12302"/>
    <tableColumn id="12306" xr3:uid="{192C2D1C-C908-49CB-95E9-D0AC51A81794}" name="Column12303"/>
    <tableColumn id="12307" xr3:uid="{3D09E1C9-14A9-4C18-8C7E-28141B0EE2EE}" name="Column12304"/>
    <tableColumn id="12308" xr3:uid="{98BB6773-6064-4886-BCDC-4DE250282A5B}" name="Column12305"/>
    <tableColumn id="12309" xr3:uid="{DC7F20A3-C7EC-4400-99D7-0045327A2372}" name="Column12306"/>
    <tableColumn id="12310" xr3:uid="{29314A7A-8B44-474D-8F62-7A88B9B8B9D7}" name="Column12307"/>
    <tableColumn id="12311" xr3:uid="{49E3FF3D-EA6E-4810-B37E-FF59BDBFC41D}" name="Column12308"/>
    <tableColumn id="12312" xr3:uid="{A147C9EE-8220-4725-BB26-6846F24EEABB}" name="Column12309"/>
    <tableColumn id="12313" xr3:uid="{5F236E91-6E3F-4D6A-AC3A-C323F82A430D}" name="Column12310"/>
    <tableColumn id="12314" xr3:uid="{D6CE4541-251B-4260-941B-8B1387499D4B}" name="Column12311"/>
    <tableColumn id="12315" xr3:uid="{19AE0788-649E-4F1A-80F3-42F29F0BDD4C}" name="Column12312"/>
    <tableColumn id="12316" xr3:uid="{CAC76BF6-FE7E-4FBE-BA18-BCDA1AC0776A}" name="Column12313"/>
    <tableColumn id="12317" xr3:uid="{A3FF63F6-64A8-4C72-81E1-AF58011496CE}" name="Column12314"/>
    <tableColumn id="12318" xr3:uid="{6081A5D8-7844-4303-868F-C144BF3E0996}" name="Column12315"/>
    <tableColumn id="12319" xr3:uid="{177D253A-C8E6-4397-80F5-9875027FD3A7}" name="Column12316"/>
    <tableColumn id="12320" xr3:uid="{CD8E8031-7BC1-4BFE-A4F8-97FBA43625A2}" name="Column12317"/>
    <tableColumn id="12321" xr3:uid="{6D7870D7-B8AF-4EBC-9057-F503781AD509}" name="Column12318"/>
    <tableColumn id="12322" xr3:uid="{E2509FE4-8CEA-46A8-A533-FB26DB16ADA2}" name="Column12319"/>
    <tableColumn id="12323" xr3:uid="{7A0D4C0A-86BC-4E39-B093-1B51DF218012}" name="Column12320"/>
    <tableColumn id="12324" xr3:uid="{1E6FAE60-F28E-4BBE-88E8-8DC803F984CE}" name="Column12321"/>
    <tableColumn id="12325" xr3:uid="{AF4F9722-ACC7-4FD1-A9E2-5E5BAB80D995}" name="Column12322"/>
    <tableColumn id="12326" xr3:uid="{01A13BBC-F834-4E5D-8A95-F3281C3E0646}" name="Column12323"/>
    <tableColumn id="12327" xr3:uid="{6B1C7B45-5769-4873-8A31-EB77BFB1F851}" name="Column12324"/>
    <tableColumn id="12328" xr3:uid="{C6ACCBED-3888-4406-ADAF-A757A84D5576}" name="Column12325"/>
    <tableColumn id="12329" xr3:uid="{327FE37D-D806-45EC-8A02-D23D8877F88E}" name="Column12326"/>
    <tableColumn id="12330" xr3:uid="{0B3FE380-4693-46E6-B473-3028AC71AB19}" name="Column12327"/>
    <tableColumn id="12331" xr3:uid="{B6A9058C-7AAE-4E3C-8B2E-742279C4C703}" name="Column12328"/>
    <tableColumn id="12332" xr3:uid="{22068723-68DB-4776-8B50-79BC418420C8}" name="Column12329"/>
    <tableColumn id="12333" xr3:uid="{015FA851-A603-478B-99F8-6EB2CDD50414}" name="Column12330"/>
    <tableColumn id="12334" xr3:uid="{6563AEEA-D72C-4FEA-863E-FA45BDA3644D}" name="Column12331"/>
    <tableColumn id="12335" xr3:uid="{C973D8DC-352F-4E1D-8960-2438148D343D}" name="Column12332"/>
    <tableColumn id="12336" xr3:uid="{8A00EA4B-8840-4211-8EDD-B6A776BA0B6C}" name="Column12333"/>
    <tableColumn id="12337" xr3:uid="{5E3E4983-1392-4D82-BBE2-83CC8A8AAB71}" name="Column12334"/>
    <tableColumn id="12338" xr3:uid="{D73E9779-193A-496C-968B-DB966321A3B6}" name="Column12335"/>
    <tableColumn id="12339" xr3:uid="{C39014EC-67B0-4559-BF13-734243863036}" name="Column12336"/>
    <tableColumn id="12340" xr3:uid="{9BC3F300-24C8-4EA1-89BC-700EB7F0B261}" name="Column12337"/>
    <tableColumn id="12341" xr3:uid="{91A26453-7DB7-43AD-8F9A-91E89A0C5757}" name="Column12338"/>
    <tableColumn id="12342" xr3:uid="{663D48EA-37CB-4EA0-8A0D-4EBBE8C45A30}" name="Column12339"/>
    <tableColumn id="12343" xr3:uid="{5957D5AE-C8B1-4623-9BEB-86B765F89748}" name="Column12340"/>
    <tableColumn id="12344" xr3:uid="{1F84159B-FAC1-467E-ABBD-5C31C7CE9113}" name="Column12341"/>
    <tableColumn id="12345" xr3:uid="{3BE15198-5C23-4F3D-9D3B-71B75D99D62E}" name="Column12342"/>
    <tableColumn id="12346" xr3:uid="{A741E080-F981-4F53-8B3C-314C487B3BEE}" name="Column12343"/>
    <tableColumn id="12347" xr3:uid="{4372A035-5768-4200-94AC-DD429370D7AD}" name="Column12344"/>
    <tableColumn id="12348" xr3:uid="{7C5CB89E-F966-4DF6-9855-40DDC3FE6D9F}" name="Column12345"/>
    <tableColumn id="12349" xr3:uid="{CD894E96-F400-4981-AF2F-3D73ADB5EE07}" name="Column12346"/>
    <tableColumn id="12350" xr3:uid="{7E7F0086-4E39-4466-83E5-D546D689A1C5}" name="Column12347"/>
    <tableColumn id="12351" xr3:uid="{57877887-9B83-47D0-950A-2A5FEC75DC34}" name="Column12348"/>
    <tableColumn id="12352" xr3:uid="{92C88650-4686-4285-BD68-CBA6E003215D}" name="Column12349"/>
    <tableColumn id="12353" xr3:uid="{D3955691-026F-462B-9BA7-F0082D453035}" name="Column12350"/>
    <tableColumn id="12354" xr3:uid="{90E6C410-7CF5-470C-9D39-B7C3B88FB91E}" name="Column12351"/>
    <tableColumn id="12355" xr3:uid="{3C39AD22-0BF4-4BFD-BDD1-D3BCD2FC1132}" name="Column12352"/>
    <tableColumn id="12356" xr3:uid="{13F20E74-C6B5-468C-A404-78CA3170913C}" name="Column12353"/>
    <tableColumn id="12357" xr3:uid="{5FAA8098-4A20-4D50-947C-DCB3915A8238}" name="Column12354"/>
    <tableColumn id="12358" xr3:uid="{25270724-B57A-4C87-B813-46CDF4F7ED12}" name="Column12355"/>
    <tableColumn id="12359" xr3:uid="{E7DA10B7-B7AF-4F2B-93B6-E57E98E2291E}" name="Column12356"/>
    <tableColumn id="12360" xr3:uid="{0663DB07-1567-4303-80E3-48AC5E4E7496}" name="Column12357"/>
    <tableColumn id="12361" xr3:uid="{E261B9B7-3CEA-4BB4-872A-F46230ED3932}" name="Column12358"/>
    <tableColumn id="12362" xr3:uid="{593D66A1-A9BD-4319-9D20-C072C048751F}" name="Column12359"/>
    <tableColumn id="12363" xr3:uid="{D17361EE-4F8F-45F7-8FBF-E1B08F123233}" name="Column12360"/>
    <tableColumn id="12364" xr3:uid="{EA5F07C1-5925-424C-AA8F-B6C334161DFC}" name="Column12361"/>
    <tableColumn id="12365" xr3:uid="{29CD8DA8-2672-437A-AC03-FED0FC11251E}" name="Column12362"/>
    <tableColumn id="12366" xr3:uid="{0D1DA135-D6CB-49DC-9664-D4F4AF80FC82}" name="Column12363"/>
    <tableColumn id="12367" xr3:uid="{F60F53B1-9D9A-48DF-B859-99A435696BC2}" name="Column12364"/>
    <tableColumn id="12368" xr3:uid="{304B2E07-0FD5-4891-85EE-03C227B2C2F6}" name="Column12365"/>
    <tableColumn id="12369" xr3:uid="{B96C76EB-B12F-493E-9B22-A2C96B465546}" name="Column12366"/>
    <tableColumn id="12370" xr3:uid="{1C95BC6A-4229-4C5B-AA4D-59EFF7B1F3EC}" name="Column12367"/>
    <tableColumn id="12371" xr3:uid="{FFC10C13-8B4A-43F7-BCC1-6B50A96061F6}" name="Column12368"/>
    <tableColumn id="12372" xr3:uid="{EE106FA3-63CC-40D9-990A-FC96C4860E90}" name="Column12369"/>
    <tableColumn id="12373" xr3:uid="{D9B15B89-5502-4BBD-813B-4DCD95DC3E10}" name="Column12370"/>
    <tableColumn id="12374" xr3:uid="{11BCEC73-A42A-424E-B74F-19623E8CEEA0}" name="Column12371"/>
    <tableColumn id="12375" xr3:uid="{A8C1892B-88AF-411C-B3DE-45341DF3DC53}" name="Column12372"/>
    <tableColumn id="12376" xr3:uid="{F1DE41F6-174E-4649-8B5A-5043B2C27D44}" name="Column12373"/>
    <tableColumn id="12377" xr3:uid="{4F20179C-FF11-4DA5-AD39-C5017C6CF033}" name="Column12374"/>
    <tableColumn id="12378" xr3:uid="{D12848C5-1493-454B-B879-CB16C1845D0A}" name="Column12375"/>
    <tableColumn id="12379" xr3:uid="{9F275B02-EFC5-42A1-BEA7-0A6F608EA79F}" name="Column12376"/>
    <tableColumn id="12380" xr3:uid="{890CAD5B-30FF-4818-A1F4-3A44D791BA46}" name="Column12377"/>
    <tableColumn id="12381" xr3:uid="{30CE28AB-684A-4250-8A83-8BFAF83227A5}" name="Column12378"/>
    <tableColumn id="12382" xr3:uid="{89555D32-C9F6-48D0-8647-5AA461CF6DA4}" name="Column12379"/>
    <tableColumn id="12383" xr3:uid="{B80E5A4D-C6D4-4819-9DBB-F30221CBAABC}" name="Column12380"/>
    <tableColumn id="12384" xr3:uid="{AFC8D87F-4782-4A05-84A6-B10FE9B7D649}" name="Column12381"/>
    <tableColumn id="12385" xr3:uid="{EF598996-F660-4F7E-81CB-E2C893C9D5D6}" name="Column12382"/>
    <tableColumn id="12386" xr3:uid="{75B3414C-4FD8-4C9D-813F-AAFDA2566DA0}" name="Column12383"/>
    <tableColumn id="12387" xr3:uid="{6F2EBF11-31ED-4D7A-AE20-FA79C8FDF072}" name="Column12384"/>
    <tableColumn id="12388" xr3:uid="{CE17657D-9676-49A0-9700-3646437E0CA1}" name="Column12385"/>
    <tableColumn id="12389" xr3:uid="{C2B27543-6BA6-4179-BCAE-EBC0164C6ACF}" name="Column12386"/>
    <tableColumn id="12390" xr3:uid="{5CA3878D-2477-4886-B967-A8073D8CB668}" name="Column12387"/>
    <tableColumn id="12391" xr3:uid="{8A9885CB-4B42-4DB5-BFD5-392854E42912}" name="Column12388"/>
    <tableColumn id="12392" xr3:uid="{EA1B31B2-9A49-4865-B14F-7A7C65A30615}" name="Column12389"/>
    <tableColumn id="12393" xr3:uid="{7CC6E365-0E87-4CEF-ADE7-2C92C1C8A436}" name="Column12390"/>
    <tableColumn id="12394" xr3:uid="{80C3FD60-5C5C-4655-B13F-5BC487753891}" name="Column12391"/>
    <tableColumn id="12395" xr3:uid="{582DBB0B-50F4-4CBB-9DC7-E62FCC07ABB4}" name="Column12392"/>
    <tableColumn id="12396" xr3:uid="{6A8BF4AE-6A45-47DD-B8B4-3D4D5CDD22E5}" name="Column12393"/>
    <tableColumn id="12397" xr3:uid="{80F645B3-B5D4-4D1E-86AA-D438E31E0D45}" name="Column12394"/>
    <tableColumn id="12398" xr3:uid="{FD072916-666B-45CA-9979-99710E973AB6}" name="Column12395"/>
    <tableColumn id="12399" xr3:uid="{9D71C010-4465-4201-8F6F-287F8320CC29}" name="Column12396"/>
    <tableColumn id="12400" xr3:uid="{4FE0B476-4F43-4743-8D2A-DE7C18078560}" name="Column12397"/>
    <tableColumn id="12401" xr3:uid="{C07FA1BC-4E86-4533-AD4B-2C9D88269654}" name="Column12398"/>
    <tableColumn id="12402" xr3:uid="{4FDD561B-B84F-4FB0-965F-5E9F7F498A28}" name="Column12399"/>
    <tableColumn id="12403" xr3:uid="{4D3848F8-FBFF-4358-839E-D3D871029C0F}" name="Column12400"/>
    <tableColumn id="12404" xr3:uid="{F64A45CF-D232-4F69-8671-7B96C8410CCA}" name="Column12401"/>
    <tableColumn id="12405" xr3:uid="{68A783F5-5941-4AC6-884E-AD0EF127516D}" name="Column12402"/>
    <tableColumn id="12406" xr3:uid="{6FB9AEF0-2878-4235-98AF-633737318D6C}" name="Column12403"/>
    <tableColumn id="12407" xr3:uid="{61498D1A-58FB-4F08-A45D-4738C1368C5A}" name="Column12404"/>
    <tableColumn id="12408" xr3:uid="{A57849F3-52C1-4A44-BA74-3F617DF085D8}" name="Column12405"/>
    <tableColumn id="12409" xr3:uid="{D62728E6-F693-4094-9FD1-F0F520A20C16}" name="Column12406"/>
    <tableColumn id="12410" xr3:uid="{47BB7806-A87A-4A1B-A5FC-BD7E90F78FD5}" name="Column12407"/>
    <tableColumn id="12411" xr3:uid="{3577D60C-C550-48EC-B7B6-239314F8B3AC}" name="Column12408"/>
    <tableColumn id="12412" xr3:uid="{2E2F2856-B2B9-404B-AE07-820BBD2B8C78}" name="Column12409"/>
    <tableColumn id="12413" xr3:uid="{7C54431A-DF40-4346-99D2-047EA9147028}" name="Column12410"/>
    <tableColumn id="12414" xr3:uid="{B147F7DB-85A5-4912-B55E-B4856C4DE2D3}" name="Column12411"/>
    <tableColumn id="12415" xr3:uid="{BC1E3F01-F068-4571-B388-794353CF156E}" name="Column12412"/>
    <tableColumn id="12416" xr3:uid="{FCE1CDFB-1A7F-49F6-8372-514F748F974C}" name="Column12413"/>
    <tableColumn id="12417" xr3:uid="{C0A25F15-925F-4488-A9D0-0606847F155B}" name="Column12414"/>
    <tableColumn id="12418" xr3:uid="{323858EB-252D-465A-8930-BD8A7669C55A}" name="Column12415"/>
    <tableColumn id="12419" xr3:uid="{AA593C05-49F4-4655-8525-CC5B4DFC8D11}" name="Column12416"/>
    <tableColumn id="12420" xr3:uid="{8FC89EA9-544A-4F49-93F6-948B7B1B8FB1}" name="Column12417"/>
    <tableColumn id="12421" xr3:uid="{8A75FCAB-523E-4193-B231-A30BFEF306C9}" name="Column12418"/>
    <tableColumn id="12422" xr3:uid="{9ACAA393-3F6A-46D6-8B35-C33D6316A430}" name="Column12419"/>
    <tableColumn id="12423" xr3:uid="{291E27E3-CA7A-410D-BA1A-D99B4E806270}" name="Column12420"/>
    <tableColumn id="12424" xr3:uid="{619A5FE0-A00D-4E6D-87F5-8FFB2F761654}" name="Column12421"/>
    <tableColumn id="12425" xr3:uid="{6602858C-BCC4-4770-A77D-B7B9A8432910}" name="Column12422"/>
    <tableColumn id="12426" xr3:uid="{EA369EE5-1BB7-429A-93A0-DBD6F3CFF987}" name="Column12423"/>
    <tableColumn id="12427" xr3:uid="{10B34F69-DD3B-4DB6-9642-89FFAFA06039}" name="Column12424"/>
    <tableColumn id="12428" xr3:uid="{B28CFC7D-2BFA-4BE8-BA77-70FB9D74FA9D}" name="Column12425"/>
    <tableColumn id="12429" xr3:uid="{47C0C5E7-D61C-41DE-B994-D8FE37B4049C}" name="Column12426"/>
    <tableColumn id="12430" xr3:uid="{5EF4B203-20DE-4DAA-B057-5A8A0EE0E225}" name="Column12427"/>
    <tableColumn id="12431" xr3:uid="{4D5CC3FD-77D2-45AA-9F92-8B4363BD82EE}" name="Column12428"/>
    <tableColumn id="12432" xr3:uid="{374AF822-AD8B-4E82-AE67-AB399EDC7A0D}" name="Column12429"/>
    <tableColumn id="12433" xr3:uid="{767A4D47-3D75-4CB8-B4F6-81AF8445DFE7}" name="Column12430"/>
    <tableColumn id="12434" xr3:uid="{EA04673F-2E03-4B00-B0DD-6EE0D9727096}" name="Column12431"/>
    <tableColumn id="12435" xr3:uid="{78C3D9E5-DB56-493A-A3F4-929701268952}" name="Column12432"/>
    <tableColumn id="12436" xr3:uid="{1D0EE969-E76C-4434-A7CE-DE69A37DE9BE}" name="Column12433"/>
    <tableColumn id="12437" xr3:uid="{F6E2BE55-8A9C-4003-867A-D73A20C9CBAA}" name="Column12434"/>
    <tableColumn id="12438" xr3:uid="{1A4042C0-7EE7-4059-BA44-DFF582C35EAD}" name="Column12435"/>
    <tableColumn id="12439" xr3:uid="{B5609531-A920-4C9E-B0C4-CDF65A506B08}" name="Column12436"/>
    <tableColumn id="12440" xr3:uid="{6BA1C961-5023-4952-AB95-2EA749FC1E8C}" name="Column12437"/>
    <tableColumn id="12441" xr3:uid="{E83A7725-C92A-4AE3-951E-664D903C6AD0}" name="Column12438"/>
    <tableColumn id="12442" xr3:uid="{A7DC5AFF-CEB6-4C95-9B8D-46AA23E84D80}" name="Column12439"/>
    <tableColumn id="12443" xr3:uid="{FFEC380E-81A1-4FF3-A30A-2921585088C5}" name="Column12440"/>
    <tableColumn id="12444" xr3:uid="{B47EB96C-9CB2-4422-AF79-01307C9F8ED0}" name="Column12441"/>
    <tableColumn id="12445" xr3:uid="{8E4288F9-3E62-49C0-834B-01CC2A83E515}" name="Column12442"/>
    <tableColumn id="12446" xr3:uid="{E3A194E1-C9C7-4911-9E20-DCFDB842CE7F}" name="Column12443"/>
    <tableColumn id="12447" xr3:uid="{B6D7D578-7971-48A8-AD74-71BCCF18D425}" name="Column12444"/>
    <tableColumn id="12448" xr3:uid="{CF17EBD4-AFB8-4B64-8DAA-AD57E2C58602}" name="Column12445"/>
    <tableColumn id="12449" xr3:uid="{4EC5ADB9-4408-4683-A127-52CDCE9AD250}" name="Column12446"/>
    <tableColumn id="12450" xr3:uid="{D4D830AA-D612-43F0-BAB4-352AE4134FB9}" name="Column12447"/>
    <tableColumn id="12451" xr3:uid="{068E6FD8-C97A-45B0-B61B-8629287F0A5A}" name="Column12448"/>
    <tableColumn id="12452" xr3:uid="{7D8CCAC0-FFA3-43A4-AA7D-89FA246F0DA9}" name="Column12449"/>
    <tableColumn id="12453" xr3:uid="{82F3D4B5-3B25-4E92-A620-C283783C0CD9}" name="Column12450"/>
    <tableColumn id="12454" xr3:uid="{B06D6988-A728-4942-82E1-95A9BEF6CCDA}" name="Column12451"/>
    <tableColumn id="12455" xr3:uid="{D79CE91B-3730-4A36-857A-9AB99D73A4A0}" name="Column12452"/>
    <tableColumn id="12456" xr3:uid="{ABB7AB62-A627-4B06-B08A-F7634F8E1FE4}" name="Column12453"/>
    <tableColumn id="12457" xr3:uid="{F38FF055-5AB5-44D9-AE4C-78CE8DFDEDFE}" name="Column12454"/>
    <tableColumn id="12458" xr3:uid="{36A2DF20-CAD4-40A9-80B0-EF205CFA0661}" name="Column12455"/>
    <tableColumn id="12459" xr3:uid="{78DF6219-34EC-4DFB-9A08-1C354C16D103}" name="Column12456"/>
    <tableColumn id="12460" xr3:uid="{0AA63D10-93CB-477C-B77D-2CD51157144E}" name="Column12457"/>
    <tableColumn id="12461" xr3:uid="{22977F55-A555-49CC-A09B-E77A6A0763BE}" name="Column12458"/>
    <tableColumn id="12462" xr3:uid="{018DEFD7-8FBC-4D05-8EB8-655ED3BE2536}" name="Column12459"/>
    <tableColumn id="12463" xr3:uid="{82236C42-4B42-40F8-A63C-CE78842E7085}" name="Column12460"/>
    <tableColumn id="12464" xr3:uid="{13E5FBB7-7109-4F77-B035-68CDFF3059D8}" name="Column12461"/>
    <tableColumn id="12465" xr3:uid="{A837C7E5-6D04-4707-868F-FDE4CA7A6BB4}" name="Column12462"/>
    <tableColumn id="12466" xr3:uid="{C32B39F6-3543-4CD0-884A-3E5A1F18E6C9}" name="Column12463"/>
    <tableColumn id="12467" xr3:uid="{5BA954FE-2DC4-428E-9DE3-D27CCDE07C59}" name="Column12464"/>
    <tableColumn id="12468" xr3:uid="{BD4C1B97-3167-4C8A-8003-32225E35AB14}" name="Column12465"/>
    <tableColumn id="12469" xr3:uid="{8A038AD0-968A-4CD9-A0AB-868BE55DC3B2}" name="Column12466"/>
    <tableColumn id="12470" xr3:uid="{BB84A25B-36EB-4CBD-9A93-60F112065170}" name="Column12467"/>
    <tableColumn id="12471" xr3:uid="{08925E3C-E133-4FDD-BDFD-4286AB61AFCD}" name="Column12468"/>
    <tableColumn id="12472" xr3:uid="{6AF50001-C98C-49F3-AE0B-EA6554F9E2EB}" name="Column12469"/>
    <tableColumn id="12473" xr3:uid="{C6982689-E135-45B3-9E3B-DEC98A181B29}" name="Column12470"/>
    <tableColumn id="12474" xr3:uid="{DA122928-78D2-4A7D-8259-6CDDEF578B7C}" name="Column12471"/>
    <tableColumn id="12475" xr3:uid="{E6A4DB40-232E-4BA4-8C9C-7BB096DF2B5E}" name="Column12472"/>
    <tableColumn id="12476" xr3:uid="{F8785257-D110-4A25-BD6D-9DE9262A1682}" name="Column12473"/>
    <tableColumn id="12477" xr3:uid="{F10BCA9B-B0F8-4993-BFFE-E747335BE4F0}" name="Column12474"/>
    <tableColumn id="12478" xr3:uid="{A98DAC9C-A921-42BF-95FF-48B299D8C086}" name="Column12475"/>
    <tableColumn id="12479" xr3:uid="{2C2E640C-AE73-4851-93CD-5FA727FC121D}" name="Column12476"/>
    <tableColumn id="12480" xr3:uid="{C8235A43-A68A-45AE-B66A-A4E4F0C2BDA8}" name="Column12477"/>
    <tableColumn id="12481" xr3:uid="{441771DB-197C-4512-B215-D236A3C0F06B}" name="Column12478"/>
    <tableColumn id="12482" xr3:uid="{DA9897B7-A328-4A91-9D57-8D3BCE2D0C03}" name="Column12479"/>
    <tableColumn id="12483" xr3:uid="{13A2F71E-0202-4645-A850-669800265D26}" name="Column12480"/>
    <tableColumn id="12484" xr3:uid="{4791D072-51DD-4B67-8E11-0F1817CB2522}" name="Column12481"/>
    <tableColumn id="12485" xr3:uid="{28BE48B2-7CB4-43CE-B2DB-6912E33E289E}" name="Column12482"/>
    <tableColumn id="12486" xr3:uid="{5CE57DA1-0BC5-4940-9515-2A4594EA4761}" name="Column12483"/>
    <tableColumn id="12487" xr3:uid="{CAD0B796-3C19-479C-9DBC-24B3D4A23DAF}" name="Column12484"/>
    <tableColumn id="12488" xr3:uid="{FE7705C8-0EA7-451B-A0CB-87548EBEDDE8}" name="Column12485"/>
    <tableColumn id="12489" xr3:uid="{73C03A67-4527-425E-8D39-70A412BC5EA1}" name="Column12486"/>
    <tableColumn id="12490" xr3:uid="{6A2409F3-14FA-4645-BEF7-3B3E84F22B06}" name="Column12487"/>
    <tableColumn id="12491" xr3:uid="{4D6809A5-C271-4A80-A8F1-A7A8E5D41996}" name="Column12488"/>
    <tableColumn id="12492" xr3:uid="{245541A4-7304-4933-B3B1-89C58C6235C5}" name="Column12489"/>
    <tableColumn id="12493" xr3:uid="{F9F6E455-F1F3-434E-B7C9-10A42E5DC1C5}" name="Column12490"/>
    <tableColumn id="12494" xr3:uid="{F2B50D39-5D81-4687-A3B7-AE0EC2977F6B}" name="Column12491"/>
    <tableColumn id="12495" xr3:uid="{F9B33C22-4C16-4C94-9B93-1B69ECB5949C}" name="Column12492"/>
    <tableColumn id="12496" xr3:uid="{BD3DAA93-C222-438A-A1B5-22CCBF7349C6}" name="Column12493"/>
    <tableColumn id="12497" xr3:uid="{9380708B-B294-4B1A-AFFA-85DD9C2DB1C2}" name="Column12494"/>
    <tableColumn id="12498" xr3:uid="{C14A35B2-5E3C-4363-AECB-E817585C8048}" name="Column12495"/>
    <tableColumn id="12499" xr3:uid="{EAE25BA2-D5AB-46D9-8E62-D2503645EBE6}" name="Column12496"/>
    <tableColumn id="12500" xr3:uid="{575FFA3F-80F0-4D5D-B499-344E98543612}" name="Column12497"/>
    <tableColumn id="12501" xr3:uid="{B9F260A4-8DC0-4B82-AE0F-92FCC6022E00}" name="Column12498"/>
    <tableColumn id="12502" xr3:uid="{C02A52C2-2B50-4F67-8349-953C4D2230BF}" name="Column12499"/>
    <tableColumn id="12503" xr3:uid="{13C7F7BD-58D7-4F0F-A399-0424AA4A5ABF}" name="Column12500"/>
    <tableColumn id="12504" xr3:uid="{B696E8A4-1F99-46F8-B73C-3596A3148A32}" name="Column12501"/>
    <tableColumn id="12505" xr3:uid="{DD63ED5A-69F6-405A-8376-031B58FDA489}" name="Column12502"/>
    <tableColumn id="12506" xr3:uid="{023F4860-49C3-4E42-BB2E-80C6EAB16528}" name="Column12503"/>
    <tableColumn id="12507" xr3:uid="{C1422026-711B-4B7F-99A5-2BAF16BF0331}" name="Column12504"/>
    <tableColumn id="12508" xr3:uid="{C07D34DB-0334-4AEE-86E0-EE0B858ED298}" name="Column12505"/>
    <tableColumn id="12509" xr3:uid="{BC2B9602-9E62-4DAC-B058-7DDD22653118}" name="Column12506"/>
    <tableColumn id="12510" xr3:uid="{50814D97-A6D0-447C-B252-6136730B7B06}" name="Column12507"/>
    <tableColumn id="12511" xr3:uid="{8BECD9D5-C57E-4CF1-84B9-F24097D351BA}" name="Column12508"/>
    <tableColumn id="12512" xr3:uid="{2E02A8B3-E995-45F6-9E94-C5A2E7149BA2}" name="Column12509"/>
    <tableColumn id="12513" xr3:uid="{89D316CA-F10A-415D-B317-10DC450BB31C}" name="Column12510"/>
    <tableColumn id="12514" xr3:uid="{9B17AE6E-6885-4F30-9D36-9B4D3F266530}" name="Column12511"/>
    <tableColumn id="12515" xr3:uid="{1EEAD029-9037-4162-8499-DF20E47A43B3}" name="Column12512"/>
    <tableColumn id="12516" xr3:uid="{CBE6087B-3EE4-4D20-826A-4ABF336A808A}" name="Column12513"/>
    <tableColumn id="12517" xr3:uid="{8F65E292-DE7D-4E51-92F8-8BDAE2C556B7}" name="Column12514"/>
    <tableColumn id="12518" xr3:uid="{135B9CCF-C125-4392-AE5E-90CD9ED4F333}" name="Column12515"/>
    <tableColumn id="12519" xr3:uid="{267A4A51-A011-4831-8ACB-8A8FC402929C}" name="Column12516"/>
    <tableColumn id="12520" xr3:uid="{09D99B80-C3FB-4595-9294-8486A20F5998}" name="Column12517"/>
    <tableColumn id="12521" xr3:uid="{2EBDE218-32AE-4D05-B69B-DE6E4DF558BF}" name="Column12518"/>
    <tableColumn id="12522" xr3:uid="{5A7EB103-6B96-4AC7-B545-B8AAD2FED51A}" name="Column12519"/>
    <tableColumn id="12523" xr3:uid="{E9ED55DD-C7B2-4D3C-90C6-EE11E40AE612}" name="Column12520"/>
    <tableColumn id="12524" xr3:uid="{459E7F56-6C86-4AD6-8394-F18CFBB26E44}" name="Column12521"/>
    <tableColumn id="12525" xr3:uid="{25987943-299B-41DA-B8CD-A614C53ABAC4}" name="Column12522"/>
    <tableColumn id="12526" xr3:uid="{5D348604-204F-4CE4-9BCF-02E24BCDBA3C}" name="Column12523"/>
    <tableColumn id="12527" xr3:uid="{202B9758-0833-48C6-B518-023E76E3B280}" name="Column12524"/>
    <tableColumn id="12528" xr3:uid="{59A5DD56-F25C-44E5-9E84-B1573C5B04B8}" name="Column12525"/>
    <tableColumn id="12529" xr3:uid="{D23C31BC-B660-468F-9FBC-CFF98502133B}" name="Column12526"/>
    <tableColumn id="12530" xr3:uid="{CF5A3A45-E8B0-433F-A582-82DBCC9A374A}" name="Column12527"/>
    <tableColumn id="12531" xr3:uid="{6D1EAF7C-E4AE-4CAA-8025-FF35E4253905}" name="Column12528"/>
    <tableColumn id="12532" xr3:uid="{A6AEBE4E-81AA-4C06-AB9B-7EA43E9F2F45}" name="Column12529"/>
    <tableColumn id="12533" xr3:uid="{7585224F-349F-431A-969A-D0C2203A10AF}" name="Column12530"/>
    <tableColumn id="12534" xr3:uid="{EB619E19-151E-4DC8-A2B6-0C6C3A6AC9B3}" name="Column12531"/>
    <tableColumn id="12535" xr3:uid="{39E2E807-7D64-4B9A-94DE-E8F0B1A3C285}" name="Column12532"/>
    <tableColumn id="12536" xr3:uid="{05BEEEEA-CAC1-4B3E-8192-865EFD596BC6}" name="Column12533"/>
    <tableColumn id="12537" xr3:uid="{114B5547-D953-4DBC-884E-AF2FB1820A6F}" name="Column12534"/>
    <tableColumn id="12538" xr3:uid="{FF98AC6F-FADF-4B4D-BD4D-1B6354E7591B}" name="Column12535"/>
    <tableColumn id="12539" xr3:uid="{C47A3051-692E-4060-BE26-983103883237}" name="Column12536"/>
    <tableColumn id="12540" xr3:uid="{C9B7F987-13E1-46E7-96B4-4B0A0D9B4689}" name="Column12537"/>
    <tableColumn id="12541" xr3:uid="{BE81D8B3-2CDA-4DA6-B4AE-D9142DB9CEA2}" name="Column12538"/>
    <tableColumn id="12542" xr3:uid="{3878A268-E74B-4E5C-A0A1-E4EB47271FBF}" name="Column12539"/>
    <tableColumn id="12543" xr3:uid="{603533C6-8C38-4F13-A851-DA7E7182C363}" name="Column12540"/>
    <tableColumn id="12544" xr3:uid="{E3464B6F-B605-4044-9BE8-DA64D22CDE68}" name="Column12541"/>
    <tableColumn id="12545" xr3:uid="{ADFF6211-2506-480A-AC77-54FE59D0C645}" name="Column12542"/>
    <tableColumn id="12546" xr3:uid="{755E39D9-01CC-4B38-B768-25A065FF2EEC}" name="Column12543"/>
    <tableColumn id="12547" xr3:uid="{06AB91F7-B309-4670-92F3-95631EC4745A}" name="Column12544"/>
    <tableColumn id="12548" xr3:uid="{DB33799B-AAC0-4A83-AE74-663AF2D9DA02}" name="Column12545"/>
    <tableColumn id="12549" xr3:uid="{718D9A94-85A4-4B84-8768-1FDBA0B24805}" name="Column12546"/>
    <tableColumn id="12550" xr3:uid="{5ADBE733-8A32-4D0D-B402-C269C7357595}" name="Column12547"/>
    <tableColumn id="12551" xr3:uid="{5B2D3297-D2BD-4ECE-A09D-1CEE8B1240DB}" name="Column12548"/>
    <tableColumn id="12552" xr3:uid="{0DEF1A4D-A14A-4C47-B46C-546A1D54DDB7}" name="Column12549"/>
    <tableColumn id="12553" xr3:uid="{2353B453-47D8-4B1A-AF56-80A4ACE9A04C}" name="Column12550"/>
    <tableColumn id="12554" xr3:uid="{BD4B7F54-A74A-4417-A50B-B4BC9A54D490}" name="Column12551"/>
    <tableColumn id="12555" xr3:uid="{E5E29299-F9B2-483B-9119-D3108890CEB3}" name="Column12552"/>
    <tableColumn id="12556" xr3:uid="{A02F2A72-6D1C-4E35-B2BC-7A5B3EE377DD}" name="Column12553"/>
    <tableColumn id="12557" xr3:uid="{AAFAAA5A-3159-4719-B1AB-90124E1E0CC2}" name="Column12554"/>
    <tableColumn id="12558" xr3:uid="{FFABAF3C-DBF5-4662-B1E8-C814C497DEB4}" name="Column12555"/>
    <tableColumn id="12559" xr3:uid="{4148C559-4C73-455F-95E9-241131E544F9}" name="Column12556"/>
    <tableColumn id="12560" xr3:uid="{1DA69132-2F8C-405D-B963-05D2D1B460EF}" name="Column12557"/>
    <tableColumn id="12561" xr3:uid="{04A3902A-7693-4869-97C6-985D2D0A648B}" name="Column12558"/>
    <tableColumn id="12562" xr3:uid="{7842A5E1-B003-4A6B-B27F-C32F4010C64A}" name="Column12559"/>
    <tableColumn id="12563" xr3:uid="{2C79638A-3973-4CC4-83E6-ADD16E73D97B}" name="Column12560"/>
    <tableColumn id="12564" xr3:uid="{441C8A3A-0F6E-4185-8DC8-CF683BB5CD00}" name="Column12561"/>
    <tableColumn id="12565" xr3:uid="{009A2D76-65B6-432B-92F2-9430AAC0ED35}" name="Column12562"/>
    <tableColumn id="12566" xr3:uid="{6F7F9C5B-684A-4FEA-82C9-243D325BEDDB}" name="Column12563"/>
    <tableColumn id="12567" xr3:uid="{636C17E3-E356-4D8C-A34A-832DCF41011E}" name="Column12564"/>
    <tableColumn id="12568" xr3:uid="{A4C1EB33-8B8F-4003-8200-F10D14297675}" name="Column12565"/>
    <tableColumn id="12569" xr3:uid="{EFFE65D5-4C4C-422E-A2D2-6FA7CBC2B958}" name="Column12566"/>
    <tableColumn id="12570" xr3:uid="{D648C20A-25FB-469F-BFED-3093768DBBD2}" name="Column12567"/>
    <tableColumn id="12571" xr3:uid="{7480A136-059C-4784-A99B-614CE9806CA0}" name="Column12568"/>
    <tableColumn id="12572" xr3:uid="{FFDAFA39-AD49-441D-AF39-536AE7BABE9A}" name="Column12569"/>
    <tableColumn id="12573" xr3:uid="{34C6E082-A894-4F5A-8A45-40BF801A356C}" name="Column12570"/>
    <tableColumn id="12574" xr3:uid="{5035DBB4-2853-4CE9-9DFD-BF886F171933}" name="Column12571"/>
    <tableColumn id="12575" xr3:uid="{FFC4921D-4B96-4E55-8AE3-350369173AF3}" name="Column12572"/>
    <tableColumn id="12576" xr3:uid="{451D8A0E-64B0-4C5A-9207-1AF71076A60A}" name="Column12573"/>
    <tableColumn id="12577" xr3:uid="{467097F2-EDB3-4008-A89B-DEEEEABE5CF9}" name="Column12574"/>
    <tableColumn id="12578" xr3:uid="{D5DB9687-5328-4F18-B455-3885FBFF92B2}" name="Column12575"/>
    <tableColumn id="12579" xr3:uid="{0714F943-53A9-487F-ACB3-835529A061EE}" name="Column12576"/>
    <tableColumn id="12580" xr3:uid="{7AA2E92A-E7BC-490C-B34F-E5EAAD1AE830}" name="Column12577"/>
    <tableColumn id="12581" xr3:uid="{D469584B-973F-47C6-BF7F-8239D911528E}" name="Column12578"/>
    <tableColumn id="12582" xr3:uid="{10DF5A08-2116-4280-A0DF-2E922AA9BF08}" name="Column12579"/>
    <tableColumn id="12583" xr3:uid="{4D3AFABB-CF0D-48E9-A22B-6BF94FEF0405}" name="Column12580"/>
    <tableColumn id="12584" xr3:uid="{97E718D2-F833-4830-A178-EDF8FABE0606}" name="Column12581"/>
    <tableColumn id="12585" xr3:uid="{1A7275B6-6DDC-404B-9D32-B016CAFB1E65}" name="Column12582"/>
    <tableColumn id="12586" xr3:uid="{5B0D2044-3068-4061-9ABE-8DFEF557C135}" name="Column12583"/>
    <tableColumn id="12587" xr3:uid="{D3459FC9-7002-419C-B57F-816A8213EBC1}" name="Column12584"/>
    <tableColumn id="12588" xr3:uid="{6E75676B-C0BE-453E-BA25-8D263E030A69}" name="Column12585"/>
    <tableColumn id="12589" xr3:uid="{B9611F08-F97A-464B-B36B-1E0F8988DF0B}" name="Column12586"/>
    <tableColumn id="12590" xr3:uid="{E8550B1E-BFE3-4509-8A5C-9B9CEFEE98C4}" name="Column12587"/>
    <tableColumn id="12591" xr3:uid="{54E25EB7-B9E5-4034-9AE9-A7ABEA466637}" name="Column12588"/>
    <tableColumn id="12592" xr3:uid="{4A63E137-04CB-40E7-BBE1-AB9386B66714}" name="Column12589"/>
    <tableColumn id="12593" xr3:uid="{980F6740-EAD4-403C-BE57-DEB73749C667}" name="Column12590"/>
    <tableColumn id="12594" xr3:uid="{8E3FDEC6-04AB-43D5-AEB9-97F801431FF1}" name="Column12591"/>
    <tableColumn id="12595" xr3:uid="{E4477151-109F-42A9-9742-2261A56D7501}" name="Column12592"/>
    <tableColumn id="12596" xr3:uid="{D6255755-E6CF-4257-B61B-3FF2EAA6B6A1}" name="Column12593"/>
    <tableColumn id="12597" xr3:uid="{B09EFF56-F016-413C-A528-7734A1C50F44}" name="Column12594"/>
    <tableColumn id="12598" xr3:uid="{B10772B8-FAB8-4BEF-AA36-0A7A28525142}" name="Column12595"/>
    <tableColumn id="12599" xr3:uid="{829891F2-D006-4F6D-856A-5631DF82F920}" name="Column12596"/>
    <tableColumn id="12600" xr3:uid="{6DDFCAA6-F190-4701-B025-D246D36DDB88}" name="Column12597"/>
    <tableColumn id="12601" xr3:uid="{A22735A2-11FD-4BC7-8C9D-93605C3E2C93}" name="Column12598"/>
    <tableColumn id="12602" xr3:uid="{6E618A26-5A9F-4C60-9216-4BE08E517ABA}" name="Column12599"/>
    <tableColumn id="12603" xr3:uid="{C1EF37C7-FF49-4278-B72B-881DEB403CE8}" name="Column12600"/>
    <tableColumn id="12604" xr3:uid="{14C5ABB6-0F0F-4008-863E-43F8BCA6A124}" name="Column12601"/>
    <tableColumn id="12605" xr3:uid="{81464481-CBA4-48FF-91EB-69ABBF9EA3B7}" name="Column12602"/>
    <tableColumn id="12606" xr3:uid="{18161E52-029B-47D1-8E2E-4782A1449B38}" name="Column12603"/>
    <tableColumn id="12607" xr3:uid="{517722C1-8C70-4E37-B359-7A76B9C541E6}" name="Column12604"/>
    <tableColumn id="12608" xr3:uid="{DAAE884B-0503-48C5-86E0-7B57EEF06990}" name="Column12605"/>
    <tableColumn id="12609" xr3:uid="{BE57FE13-E319-46F4-9823-C8EDF04E0F6A}" name="Column12606"/>
    <tableColumn id="12610" xr3:uid="{D895240B-E511-4E8E-9200-FB6BE31BFD2A}" name="Column12607"/>
    <tableColumn id="12611" xr3:uid="{1433F89C-0832-45F6-A3B2-29677C8E9D0E}" name="Column12608"/>
    <tableColumn id="12612" xr3:uid="{6E103C22-C9EF-4330-8ECC-7EA0E19BFFC1}" name="Column12609"/>
    <tableColumn id="12613" xr3:uid="{C0662CD8-2331-4097-936E-6A2FB8202076}" name="Column12610"/>
    <tableColumn id="12614" xr3:uid="{2B535E47-8634-472C-8021-C9F177BFC2E9}" name="Column12611"/>
    <tableColumn id="12615" xr3:uid="{50D59A5C-2539-4430-8348-AE1E9C4BA326}" name="Column12612"/>
    <tableColumn id="12616" xr3:uid="{1C26B758-F2D2-4333-A17A-97E3F553E64E}" name="Column12613"/>
    <tableColumn id="12617" xr3:uid="{88FCC486-0F92-434E-9EFD-1B13C39E11F2}" name="Column12614"/>
    <tableColumn id="12618" xr3:uid="{07E818A5-1628-4DE5-B90A-8EDEB60EE502}" name="Column12615"/>
    <tableColumn id="12619" xr3:uid="{622954E8-EE56-41C5-81C0-5BF60C6CBE23}" name="Column12616"/>
    <tableColumn id="12620" xr3:uid="{94FC596C-54E1-40C3-A4A2-F13468E8E50C}" name="Column12617"/>
    <tableColumn id="12621" xr3:uid="{B4D71D3B-3AE9-4324-AB9C-8902A684836F}" name="Column12618"/>
    <tableColumn id="12622" xr3:uid="{99FFCA16-19E6-41C5-9572-56474EEFDF6D}" name="Column12619"/>
    <tableColumn id="12623" xr3:uid="{65DB7076-5D30-4BF7-8EE7-226200A6E4D8}" name="Column12620"/>
    <tableColumn id="12624" xr3:uid="{8918AA4A-7C7A-447C-A879-68843B1A8460}" name="Column12621"/>
    <tableColumn id="12625" xr3:uid="{5C9854C1-CAD1-4CAE-B40F-DA4327A03928}" name="Column12622"/>
    <tableColumn id="12626" xr3:uid="{98F539B9-AEF8-4D09-8017-BDA808142357}" name="Column12623"/>
    <tableColumn id="12627" xr3:uid="{E2483C8E-DF81-4A36-8EB7-09B79AD48B9D}" name="Column12624"/>
    <tableColumn id="12628" xr3:uid="{86110170-83C6-4DC1-B60A-82BA3622EE72}" name="Column12625"/>
    <tableColumn id="12629" xr3:uid="{CDAFAC6D-C2B6-4B2F-8721-7FC7698B826D}" name="Column12626"/>
    <tableColumn id="12630" xr3:uid="{DBCCF97B-417A-4AD0-9631-704F31077751}" name="Column12627"/>
    <tableColumn id="12631" xr3:uid="{2CC0CC92-D5B2-4F7E-BFF4-7E1DCB0B7C4E}" name="Column12628"/>
    <tableColumn id="12632" xr3:uid="{5EBA67B7-5E35-429C-BE9D-17B019A6B385}" name="Column12629"/>
    <tableColumn id="12633" xr3:uid="{2CD3A525-2FC5-49C3-905F-8D5D84BDACAB}" name="Column12630"/>
    <tableColumn id="12634" xr3:uid="{5FF24FA0-BA0D-4885-AFF6-86A494808250}" name="Column12631"/>
    <tableColumn id="12635" xr3:uid="{21CA0246-EB25-4298-808C-74D0C31D23FE}" name="Column12632"/>
    <tableColumn id="12636" xr3:uid="{FB46F521-FFD2-4FF5-8605-8BF4A508F3F3}" name="Column12633"/>
    <tableColumn id="12637" xr3:uid="{9FC0B87C-89AA-4E18-90D6-19A9C38A83DF}" name="Column12634"/>
    <tableColumn id="12638" xr3:uid="{7B4BC3ED-14C6-44B5-870C-4FEB5679EDF8}" name="Column12635"/>
    <tableColumn id="12639" xr3:uid="{E433ABF4-28B2-445D-B70C-123AB6C2A4CA}" name="Column12636"/>
    <tableColumn id="12640" xr3:uid="{6C5F1856-87DD-49E5-BDAD-02909B102A9D}" name="Column12637"/>
    <tableColumn id="12641" xr3:uid="{155CFCFE-3650-4DAA-AD57-6896ED410A9D}" name="Column12638"/>
    <tableColumn id="12642" xr3:uid="{9CEBE8FD-D483-4AF0-BAC7-FEB0560E879D}" name="Column12639"/>
    <tableColumn id="12643" xr3:uid="{331B28E8-97A0-4EA8-893C-B5FB8BD1A15A}" name="Column12640"/>
    <tableColumn id="12644" xr3:uid="{D6561926-E2EC-4DD8-8CB3-95145CB59A0C}" name="Column12641"/>
    <tableColumn id="12645" xr3:uid="{67CB6BA6-549C-4F8F-BA35-50BA7B519334}" name="Column12642"/>
    <tableColumn id="12646" xr3:uid="{BF5E04C8-B450-44FA-BBE2-C50E1A6F3077}" name="Column12643"/>
    <tableColumn id="12647" xr3:uid="{EC2E8E2F-A5A0-4001-B553-2CDEA9007604}" name="Column12644"/>
    <tableColumn id="12648" xr3:uid="{4F5A57ED-AEFB-463C-A56C-DEC0D05DF036}" name="Column12645"/>
    <tableColumn id="12649" xr3:uid="{81569B2D-5982-4874-88C6-DF78529DF338}" name="Column12646"/>
    <tableColumn id="12650" xr3:uid="{83DC0F07-DF6B-43A5-A074-8F4DEE5DA360}" name="Column12647"/>
    <tableColumn id="12651" xr3:uid="{BF3A2F89-7E0C-4773-BBEE-184F54C1FABF}" name="Column12648"/>
    <tableColumn id="12652" xr3:uid="{241F8F8A-C440-4E2A-9B93-514DCE1A3D15}" name="Column12649"/>
    <tableColumn id="12653" xr3:uid="{93E6F3FE-2BF4-4276-8552-5F5C3BDC5FF5}" name="Column12650"/>
    <tableColumn id="12654" xr3:uid="{6E923F76-BDFC-4E51-BB74-D420F3D45A13}" name="Column12651"/>
    <tableColumn id="12655" xr3:uid="{9160C39D-1B26-47B2-8A46-A509BF55F1FA}" name="Column12652"/>
    <tableColumn id="12656" xr3:uid="{7FF950F9-D1B6-4C43-9435-E578410F8462}" name="Column12653"/>
    <tableColumn id="12657" xr3:uid="{07C066AC-0930-41F9-A710-BDE2F0253249}" name="Column12654"/>
    <tableColumn id="12658" xr3:uid="{8B01419B-B297-47A8-A2C0-42F50F6A99DD}" name="Column12655"/>
    <tableColumn id="12659" xr3:uid="{CDDD6744-C6D5-4F79-8DB0-32365278554B}" name="Column12656"/>
    <tableColumn id="12660" xr3:uid="{1C8B4DD6-FABD-4BA8-AADC-A11FBDA0BB20}" name="Column12657"/>
    <tableColumn id="12661" xr3:uid="{6CCE5387-3948-425B-A156-9910AA55B02D}" name="Column12658"/>
    <tableColumn id="12662" xr3:uid="{D447254D-533B-40B9-B47C-E9B7BE299458}" name="Column12659"/>
    <tableColumn id="12663" xr3:uid="{E3BC43D5-8EAA-42C0-AE73-816BCC89C805}" name="Column12660"/>
    <tableColumn id="12664" xr3:uid="{970375D7-48F6-4537-AA76-8D933717A361}" name="Column12661"/>
    <tableColumn id="12665" xr3:uid="{B4C197B1-8117-4131-8087-74B554A0F29A}" name="Column12662"/>
    <tableColumn id="12666" xr3:uid="{75E8FD2D-4348-4F02-998D-670411C4365F}" name="Column12663"/>
    <tableColumn id="12667" xr3:uid="{78B707E9-3248-4FD3-83F1-7A476D0FF59E}" name="Column12664"/>
    <tableColumn id="12668" xr3:uid="{3A8BDE40-2A85-4417-8168-013C5A3453C7}" name="Column12665"/>
    <tableColumn id="12669" xr3:uid="{B9E3E182-2A1F-46D3-B33E-C6D4E9C29B32}" name="Column12666"/>
    <tableColumn id="12670" xr3:uid="{A8C44049-7AE7-4C5E-AB09-3CD29E0CBFEE}" name="Column12667"/>
    <tableColumn id="12671" xr3:uid="{922BFA0B-0B53-474D-95EE-F589FC6C6B1E}" name="Column12668"/>
    <tableColumn id="12672" xr3:uid="{BF401330-436B-4810-A03C-D750BB7230B8}" name="Column12669"/>
    <tableColumn id="12673" xr3:uid="{E4397AE4-8119-4C45-8C3C-6722E094C4DF}" name="Column12670"/>
    <tableColumn id="12674" xr3:uid="{EEC0618D-E4D6-4472-8A7A-ED19905D7443}" name="Column12671"/>
    <tableColumn id="12675" xr3:uid="{40331560-43B8-4723-B734-F1779EC96BDA}" name="Column12672"/>
    <tableColumn id="12676" xr3:uid="{02219D0C-DA95-412B-AED8-34A0EBD4DB7D}" name="Column12673"/>
    <tableColumn id="12677" xr3:uid="{3DB9A62E-8380-481D-BB3B-BF83E4F964A4}" name="Column12674"/>
    <tableColumn id="12678" xr3:uid="{28C4CB4D-CDBB-42ED-9F29-8556227D3FDE}" name="Column12675"/>
    <tableColumn id="12679" xr3:uid="{CCA110D8-21CA-48B7-B4EE-97798E8CA197}" name="Column12676"/>
    <tableColumn id="12680" xr3:uid="{476ADAA4-BD3F-4C9B-9C39-0DE495A74D73}" name="Column12677"/>
    <tableColumn id="12681" xr3:uid="{138AA12C-DBD7-41F4-B622-6FB6D83F9F83}" name="Column12678"/>
    <tableColumn id="12682" xr3:uid="{2525D8CE-B848-4DC9-BAF9-B887143D0221}" name="Column12679"/>
    <tableColumn id="12683" xr3:uid="{CD795F4B-768D-4AE6-BCA9-166161728EAA}" name="Column12680"/>
    <tableColumn id="12684" xr3:uid="{865F61A3-BA6C-4C73-9C1A-3AF421BB8CCB}" name="Column12681"/>
    <tableColumn id="12685" xr3:uid="{762C62A8-C73A-43DB-950A-02059ED4902C}" name="Column12682"/>
    <tableColumn id="12686" xr3:uid="{A106C8C6-C14B-470C-B455-64EB0B5EA30A}" name="Column12683"/>
    <tableColumn id="12687" xr3:uid="{AF95042F-60FA-49BD-8505-9519A4AF2A6F}" name="Column12684"/>
    <tableColumn id="12688" xr3:uid="{027AB6D6-A056-43E3-B97F-6A92B754C00C}" name="Column12685"/>
    <tableColumn id="12689" xr3:uid="{E9436F1D-1DC9-4429-B243-E4BE00DDAECF}" name="Column12686"/>
    <tableColumn id="12690" xr3:uid="{151CD1A2-CEFD-4761-86BE-F660A5350232}" name="Column12687"/>
    <tableColumn id="12691" xr3:uid="{6B736981-1628-4EEA-B583-CAC36BE8078D}" name="Column12688"/>
    <tableColumn id="12692" xr3:uid="{A28B7837-9136-4274-B869-8ED124199C4D}" name="Column12689"/>
    <tableColumn id="12693" xr3:uid="{231D7ABB-7C02-43C1-8E92-881258743ED9}" name="Column12690"/>
    <tableColumn id="12694" xr3:uid="{51A3398F-72E6-4278-B8E0-CA375A246599}" name="Column12691"/>
    <tableColumn id="12695" xr3:uid="{4113AC18-6A24-4959-BDDB-EBEF5FCCC1FA}" name="Column12692"/>
    <tableColumn id="12696" xr3:uid="{3BBECC1D-F1FA-49B9-BF5E-000D6AF66C89}" name="Column12693"/>
    <tableColumn id="12697" xr3:uid="{9F490EB1-492F-4023-875A-2D95C903C661}" name="Column12694"/>
    <tableColumn id="12698" xr3:uid="{4C191870-0A28-4F29-A1CD-D56D3F240886}" name="Column12695"/>
    <tableColumn id="12699" xr3:uid="{FA45131C-BAB1-4464-9CE3-68B2B940348F}" name="Column12696"/>
    <tableColumn id="12700" xr3:uid="{9C6B0ABA-0908-4BC0-B2A8-969F86E706F2}" name="Column12697"/>
    <tableColumn id="12701" xr3:uid="{6C50674B-2BA3-48A9-BE08-321960197F0D}" name="Column12698"/>
    <tableColumn id="12702" xr3:uid="{2E99B7E2-0C14-4D36-BE97-303F4193721F}" name="Column12699"/>
    <tableColumn id="12703" xr3:uid="{3A190BE8-F3CF-4189-A8E7-A9ED2421DE34}" name="Column12700"/>
    <tableColumn id="12704" xr3:uid="{8499119F-B9C3-4D43-8EF0-8CBAA837EBA1}" name="Column12701"/>
    <tableColumn id="12705" xr3:uid="{34687E06-E1CF-423C-A2E0-1D611880B0DC}" name="Column12702"/>
    <tableColumn id="12706" xr3:uid="{EFFA1551-CECF-4DBA-B707-36EB4137A236}" name="Column12703"/>
    <tableColumn id="12707" xr3:uid="{99359D8B-7EE8-4612-8D49-EDA4E39A452D}" name="Column12704"/>
    <tableColumn id="12708" xr3:uid="{DCA63CD6-7D93-48B2-9E60-7365AE0C0962}" name="Column12705"/>
    <tableColumn id="12709" xr3:uid="{0523941E-7A1F-4E6F-9E15-D5E67395969E}" name="Column12706"/>
    <tableColumn id="12710" xr3:uid="{B4C0599B-927E-476C-BAC7-3F912C96031F}" name="Column12707"/>
    <tableColumn id="12711" xr3:uid="{A1DFB7DA-4C16-427B-AFE0-A97C36CED30C}" name="Column12708"/>
    <tableColumn id="12712" xr3:uid="{A8341C98-7FAD-498F-B9F2-D8CF3BB0CE0D}" name="Column12709"/>
    <tableColumn id="12713" xr3:uid="{987AB2C0-C35B-4DD7-9060-16275DF9A120}" name="Column12710"/>
    <tableColumn id="12714" xr3:uid="{44048CE9-B2B8-49B6-9673-C0F368DF5676}" name="Column12711"/>
    <tableColumn id="12715" xr3:uid="{2A3FE72D-F5E1-4B07-97A3-588A71813A46}" name="Column12712"/>
    <tableColumn id="12716" xr3:uid="{04C4D819-6709-4B1B-ACD2-3A475C3D5B77}" name="Column12713"/>
    <tableColumn id="12717" xr3:uid="{009635F8-9A88-4210-9049-E646C744FB52}" name="Column12714"/>
    <tableColumn id="12718" xr3:uid="{7E83206D-3EE3-41B6-BEE0-001D158EBDCD}" name="Column12715"/>
    <tableColumn id="12719" xr3:uid="{1D89EC1C-6B54-4DFC-81F2-2A6A90FEE90C}" name="Column12716"/>
    <tableColumn id="12720" xr3:uid="{E688BF75-2BFC-4A7D-9213-D2F730B126D6}" name="Column12717"/>
    <tableColumn id="12721" xr3:uid="{3CCE0A9D-876D-465B-B84F-BF70B4611128}" name="Column12718"/>
    <tableColumn id="12722" xr3:uid="{D190FCB7-68B3-4720-80DA-0F590F39EAA2}" name="Column12719"/>
    <tableColumn id="12723" xr3:uid="{7D63127D-7C82-4614-99CD-BBB306942916}" name="Column12720"/>
    <tableColumn id="12724" xr3:uid="{9920F215-CEC5-474E-89D6-FA0989C38114}" name="Column12721"/>
    <tableColumn id="12725" xr3:uid="{FE9D638F-7E0B-48C5-B2E7-AD2744A6FCF6}" name="Column12722"/>
    <tableColumn id="12726" xr3:uid="{4B4714B2-B59A-4FFA-BD65-920684CC5648}" name="Column12723"/>
    <tableColumn id="12727" xr3:uid="{D9DD28C4-19E8-4EBA-B863-5C6240C03E09}" name="Column12724"/>
    <tableColumn id="12728" xr3:uid="{4C592688-0D5F-42F9-8A0C-255A4D588F9B}" name="Column12725"/>
    <tableColumn id="12729" xr3:uid="{33B59FF3-695C-45E5-8875-C2A2826944C9}" name="Column12726"/>
    <tableColumn id="12730" xr3:uid="{B2AA4B74-A2F4-41F5-B911-CB3147062ABF}" name="Column12727"/>
    <tableColumn id="12731" xr3:uid="{6B784B0B-F4EA-43C9-9AE8-7EBBD5916A34}" name="Column12728"/>
    <tableColumn id="12732" xr3:uid="{D90EC129-8949-4390-848E-55FC14196CF8}" name="Column12729"/>
    <tableColumn id="12733" xr3:uid="{90B3B072-18D2-4CB7-A295-34A470381F99}" name="Column12730"/>
    <tableColumn id="12734" xr3:uid="{2684D980-BF3D-4E63-9C24-883719A00C92}" name="Column12731"/>
    <tableColumn id="12735" xr3:uid="{30DDAFFB-A6F1-49E9-97E0-DFC17BC8B89A}" name="Column12732"/>
    <tableColumn id="12736" xr3:uid="{8D79476B-368F-4966-A158-B4B0CE42AF20}" name="Column12733"/>
    <tableColumn id="12737" xr3:uid="{E6017F88-C2C3-41C7-9AFB-E90A5A571E42}" name="Column12734"/>
    <tableColumn id="12738" xr3:uid="{45009E8A-6CB7-4B2A-9B00-D4895E22CD95}" name="Column12735"/>
    <tableColumn id="12739" xr3:uid="{45C78ECC-1607-45BC-A571-B445475B156E}" name="Column12736"/>
    <tableColumn id="12740" xr3:uid="{F8E7A216-CDD0-4A8C-997D-9F1AF326F9F4}" name="Column12737"/>
    <tableColumn id="12741" xr3:uid="{F4BD13B4-9226-480E-A4AA-9185520FBA5B}" name="Column12738"/>
    <tableColumn id="12742" xr3:uid="{7C29FD4D-A5EA-446A-8E65-5F5FC2BEEDA9}" name="Column12739"/>
    <tableColumn id="12743" xr3:uid="{389CFFE2-B6BD-4E61-8914-33689FCC4295}" name="Column12740"/>
    <tableColumn id="12744" xr3:uid="{43B7D49F-5819-4B90-A746-B0A7BA41EAAA}" name="Column12741"/>
    <tableColumn id="12745" xr3:uid="{D720C431-E8AF-4F0E-8580-9D6651D857A3}" name="Column12742"/>
    <tableColumn id="12746" xr3:uid="{94859B1B-0E78-4BF0-9DE7-3413256FB7F0}" name="Column12743"/>
    <tableColumn id="12747" xr3:uid="{B4CE24C8-2701-43E6-B025-1319C7F6D3AF}" name="Column12744"/>
    <tableColumn id="12748" xr3:uid="{D0093EA4-E8B6-48AE-B1EE-C172AE7460DB}" name="Column12745"/>
    <tableColumn id="12749" xr3:uid="{42B2014C-FDA0-42E2-BA56-892EAFAC8CF2}" name="Column12746"/>
    <tableColumn id="12750" xr3:uid="{FD4120D8-E933-4DE1-B89E-8C54DB95BF7D}" name="Column12747"/>
    <tableColumn id="12751" xr3:uid="{63DA9744-668B-47A9-A437-42B4C2134EB1}" name="Column12748"/>
    <tableColumn id="12752" xr3:uid="{0BC1E6EF-35A9-4E09-ABF2-2C486AC85A7F}" name="Column12749"/>
    <tableColumn id="12753" xr3:uid="{982D6B5D-BD5B-4668-8156-89DECAD29C4E}" name="Column12750"/>
    <tableColumn id="12754" xr3:uid="{4DA98FB1-9CF4-4C96-BFE9-A213A526D1E7}" name="Column12751"/>
    <tableColumn id="12755" xr3:uid="{16DA3DA9-4A55-4DD8-9B90-829F877F4FF2}" name="Column12752"/>
    <tableColumn id="12756" xr3:uid="{8732EAF3-0645-4309-814C-907F2B6FD899}" name="Column12753"/>
    <tableColumn id="12757" xr3:uid="{10544559-0BA0-4F55-9FA0-96E51D13E417}" name="Column12754"/>
    <tableColumn id="12758" xr3:uid="{DA23369E-4ED3-441C-8070-DAC8642FA165}" name="Column12755"/>
    <tableColumn id="12759" xr3:uid="{EB6A97D0-0E7E-45E1-AE98-1991EAF6F1F2}" name="Column12756"/>
    <tableColumn id="12760" xr3:uid="{AD200564-9F8A-4423-8472-647F4FE32A37}" name="Column12757"/>
    <tableColumn id="12761" xr3:uid="{3E8025B4-DB2C-478E-9CC6-AB6086A341D9}" name="Column12758"/>
    <tableColumn id="12762" xr3:uid="{D43458D1-AC0B-492B-BFE9-8296F7D0413F}" name="Column12759"/>
    <tableColumn id="12763" xr3:uid="{B502D938-F702-41F4-B65F-F5E1BE8A07B8}" name="Column12760"/>
    <tableColumn id="12764" xr3:uid="{CBC4A412-5713-45C2-BB66-47CA5F4F8F8F}" name="Column12761"/>
    <tableColumn id="12765" xr3:uid="{B2A874C8-BC1E-4C01-A343-65F25438E9BA}" name="Column12762"/>
    <tableColumn id="12766" xr3:uid="{72510A2E-6694-4F81-BE94-F79FF89A6B35}" name="Column12763"/>
    <tableColumn id="12767" xr3:uid="{3F7421BE-891E-4132-BCAC-9E41CCD23634}" name="Column12764"/>
    <tableColumn id="12768" xr3:uid="{28B6633A-540B-4616-AEEC-0141D76F073E}" name="Column12765"/>
    <tableColumn id="12769" xr3:uid="{1D0756B0-509F-4D35-BC85-7F0975271C5C}" name="Column12766"/>
    <tableColumn id="12770" xr3:uid="{64F81550-1B0A-4BD5-94F5-A15040AAED60}" name="Column12767"/>
    <tableColumn id="12771" xr3:uid="{B853B0A5-5361-4FF3-89FF-A01EE2F4C00A}" name="Column12768"/>
    <tableColumn id="12772" xr3:uid="{6472CF42-E633-4E41-AD54-EBD53F42928F}" name="Column12769"/>
    <tableColumn id="12773" xr3:uid="{64723F41-9CB3-4CE2-A2AB-AB35668E27AD}" name="Column12770"/>
    <tableColumn id="12774" xr3:uid="{761DF719-F8B7-40D6-BFDF-76A3A2A5D56B}" name="Column12771"/>
    <tableColumn id="12775" xr3:uid="{49FBC3C6-DA88-41D8-85E8-3B07BEBF93CE}" name="Column12772"/>
    <tableColumn id="12776" xr3:uid="{58D83DF7-42B3-4816-A3CE-35BF2B2266F5}" name="Column12773"/>
    <tableColumn id="12777" xr3:uid="{8FE19BB0-0026-4504-B208-257683DE8606}" name="Column12774"/>
    <tableColumn id="12778" xr3:uid="{1930C17E-47C0-42B2-8F05-D07203D11433}" name="Column12775"/>
    <tableColumn id="12779" xr3:uid="{E53FF7CE-6006-442C-A274-EA803E8DA314}" name="Column12776"/>
    <tableColumn id="12780" xr3:uid="{08D8CFF7-273B-441E-BB8D-5933574AB9AE}" name="Column12777"/>
    <tableColumn id="12781" xr3:uid="{EAD504F0-2BC5-4456-95D6-69E2CFC2340B}" name="Column12778"/>
    <tableColumn id="12782" xr3:uid="{3ECDFD8A-5715-4996-B25A-B742653F6C6D}" name="Column12779"/>
    <tableColumn id="12783" xr3:uid="{C667619B-FCDB-45F9-B2BD-F9DC3BDF0F4A}" name="Column12780"/>
    <tableColumn id="12784" xr3:uid="{8133F940-C0C5-43C4-8B45-2B429F411DD9}" name="Column12781"/>
    <tableColumn id="12785" xr3:uid="{CB65A9EE-0284-4C39-813A-9D1889277EBA}" name="Column12782"/>
    <tableColumn id="12786" xr3:uid="{455528B8-639B-4B15-BC88-10C40175F635}" name="Column12783"/>
    <tableColumn id="12787" xr3:uid="{59178DBF-68B3-4B8C-864E-61F516F03372}" name="Column12784"/>
    <tableColumn id="12788" xr3:uid="{07E466A9-083E-408C-AED3-A2EDDBD0B496}" name="Column12785"/>
    <tableColumn id="12789" xr3:uid="{75BB8F32-241C-44C7-80DC-6A9C6A90F09C}" name="Column12786"/>
    <tableColumn id="12790" xr3:uid="{70EF2359-1B18-4131-BBF3-06550D57933A}" name="Column12787"/>
    <tableColumn id="12791" xr3:uid="{337A04D5-440D-4C12-B5F3-11708AF4F38F}" name="Column12788"/>
    <tableColumn id="12792" xr3:uid="{809E5FF3-7F7E-44E9-B9E0-1E41C651F2C8}" name="Column12789"/>
    <tableColumn id="12793" xr3:uid="{18246636-65A9-4479-85B7-E0CC8CD0C2D4}" name="Column12790"/>
    <tableColumn id="12794" xr3:uid="{535117F1-930E-407B-9118-B398F4B37003}" name="Column12791"/>
    <tableColumn id="12795" xr3:uid="{839DD65E-DE18-4A7B-BF65-E23DD4E755C4}" name="Column12792"/>
    <tableColumn id="12796" xr3:uid="{E3FA2602-9BCC-4752-8C65-B7B5F7AB31CF}" name="Column12793"/>
    <tableColumn id="12797" xr3:uid="{EFB58705-EF8A-4ECF-ADAF-AA13F5E980A5}" name="Column12794"/>
    <tableColumn id="12798" xr3:uid="{F941AA70-1A40-4113-B47D-ECF6C870EDF4}" name="Column12795"/>
    <tableColumn id="12799" xr3:uid="{A763116C-40AF-4B99-B339-9F64991011B2}" name="Column12796"/>
    <tableColumn id="12800" xr3:uid="{847617AD-F4BA-478A-B19A-E2B0268F462B}" name="Column12797"/>
    <tableColumn id="12801" xr3:uid="{4F3B16F8-5CED-4808-85AF-50B09A933737}" name="Column12798"/>
    <tableColumn id="12802" xr3:uid="{41D210BF-4FBE-4A9E-8629-F04D97ACAC3D}" name="Column12799"/>
    <tableColumn id="12803" xr3:uid="{490ED8DE-4FD0-477E-926D-B8F64CA362A5}" name="Column12800"/>
    <tableColumn id="12804" xr3:uid="{139E5D0E-20E5-48A1-B617-21D7C9DD5F55}" name="Column12801"/>
    <tableColumn id="12805" xr3:uid="{17896ADC-69DE-425C-B327-CBD0C8165811}" name="Column12802"/>
    <tableColumn id="12806" xr3:uid="{7D08E951-0ABA-499E-8EC7-1BE3428F47F3}" name="Column12803"/>
    <tableColumn id="12807" xr3:uid="{6F0B52C5-305F-41BE-9C81-1E4FA9ADC7F0}" name="Column12804"/>
    <tableColumn id="12808" xr3:uid="{4CC87DC3-8216-4CC2-A50E-0D0119A6868F}" name="Column12805"/>
    <tableColumn id="12809" xr3:uid="{1E0AD475-D2FA-4762-BD61-126576AA681D}" name="Column12806"/>
    <tableColumn id="12810" xr3:uid="{EBDEF460-3F02-4812-8582-E3A67CD2F047}" name="Column12807"/>
    <tableColumn id="12811" xr3:uid="{61D9DEEE-A5AD-4F91-89FA-A8ADB6BD41B4}" name="Column12808"/>
    <tableColumn id="12812" xr3:uid="{8E356CB2-1E9B-469E-B9F7-59DD29C08C1C}" name="Column12809"/>
    <tableColumn id="12813" xr3:uid="{6180446F-C2F2-4CBD-B310-3A01392C616D}" name="Column12810"/>
    <tableColumn id="12814" xr3:uid="{415787BE-E7DA-4E2D-95A6-EBAB895A24B6}" name="Column12811"/>
    <tableColumn id="12815" xr3:uid="{CE2091B5-2D99-4615-A309-49D8C8DCD267}" name="Column12812"/>
    <tableColumn id="12816" xr3:uid="{AE1AB27E-1702-4802-B154-4EE8206AE79A}" name="Column12813"/>
    <tableColumn id="12817" xr3:uid="{F9A578A2-5F54-40E5-8E63-529BB8A8CBA6}" name="Column12814"/>
    <tableColumn id="12818" xr3:uid="{08F8D8AD-C045-4029-8854-2C810B7C841E}" name="Column12815"/>
    <tableColumn id="12819" xr3:uid="{54694860-F23D-496E-984A-EE226A67F1C0}" name="Column12816"/>
    <tableColumn id="12820" xr3:uid="{2F2FFB19-1628-4776-8CEA-BFF81088C8DC}" name="Column12817"/>
    <tableColumn id="12821" xr3:uid="{5D28E324-6704-4218-9E28-BE065E48605A}" name="Column12818"/>
    <tableColumn id="12822" xr3:uid="{8D2136E6-9AA5-4D7C-9F7D-91F28E8D4BA1}" name="Column12819"/>
    <tableColumn id="12823" xr3:uid="{DFFB40A5-16D6-48AC-99C3-66BA99F3A8A6}" name="Column12820"/>
    <tableColumn id="12824" xr3:uid="{06C9FC2B-1E86-4857-8520-255F1206C188}" name="Column12821"/>
    <tableColumn id="12825" xr3:uid="{7376137F-21BB-4AB8-B83F-1BD481907682}" name="Column12822"/>
    <tableColumn id="12826" xr3:uid="{95CE39F1-6510-434E-887C-8C520A8E72E5}" name="Column12823"/>
    <tableColumn id="12827" xr3:uid="{58B4E192-9B16-417D-81DA-D0E7410B4258}" name="Column12824"/>
    <tableColumn id="12828" xr3:uid="{33AF1634-D3B1-4FA9-BEE0-54CC729F9B7F}" name="Column12825"/>
    <tableColumn id="12829" xr3:uid="{5E4B6AA7-27E4-4B6F-AEA2-375BDCFFDFC2}" name="Column12826"/>
    <tableColumn id="12830" xr3:uid="{593877DD-9278-4702-BA9A-C68B5E2B002F}" name="Column12827"/>
    <tableColumn id="12831" xr3:uid="{0C161B5E-D3C5-46D3-ACAC-9326D44D8FAE}" name="Column12828"/>
    <tableColumn id="12832" xr3:uid="{5A121747-63AF-4F27-B3DD-3C3D2A6B78F3}" name="Column12829"/>
    <tableColumn id="12833" xr3:uid="{17B293B8-C4E5-4D7C-B7F5-C303A4ECD913}" name="Column12830"/>
    <tableColumn id="12834" xr3:uid="{8FD9D62C-2744-46C3-A976-43D426592E04}" name="Column12831"/>
    <tableColumn id="12835" xr3:uid="{DBD3E628-30F0-475D-943A-69846F46DCD8}" name="Column12832"/>
    <tableColumn id="12836" xr3:uid="{D5E28E42-DCF8-4515-9D94-A2E0A4864A19}" name="Column12833"/>
    <tableColumn id="12837" xr3:uid="{81C16920-5E11-4BB5-AA64-1589BD76A649}" name="Column12834"/>
    <tableColumn id="12838" xr3:uid="{3AC7E7BD-B342-4ADB-9D33-C7CD4BF82CBC}" name="Column12835"/>
    <tableColumn id="12839" xr3:uid="{0428D253-3237-4781-A95D-DFF057719D47}" name="Column12836"/>
    <tableColumn id="12840" xr3:uid="{C7627020-9973-4B26-AF63-A514965039D0}" name="Column12837"/>
    <tableColumn id="12841" xr3:uid="{1E81F41F-78EB-4284-8502-91A78966CEEA}" name="Column12838"/>
    <tableColumn id="12842" xr3:uid="{1C9935C5-4771-4706-80A6-4390E95F126C}" name="Column12839"/>
    <tableColumn id="12843" xr3:uid="{A1F985A2-DFCF-4F18-A148-05879D5CF737}" name="Column12840"/>
    <tableColumn id="12844" xr3:uid="{6AAB5F1B-6CBA-469A-9D9F-A8AF85949B44}" name="Column12841"/>
    <tableColumn id="12845" xr3:uid="{7CA157C1-ADC7-45C0-A786-D90D8222B037}" name="Column12842"/>
    <tableColumn id="12846" xr3:uid="{4301AE26-EC33-494D-A6C4-F0FC916D2848}" name="Column12843"/>
    <tableColumn id="12847" xr3:uid="{0341250F-1C1B-4874-A234-E1A16C168CFD}" name="Column12844"/>
    <tableColumn id="12848" xr3:uid="{008B1E9B-39E9-438F-A445-EB11C9943E86}" name="Column12845"/>
    <tableColumn id="12849" xr3:uid="{04E6B734-3AA0-488C-B2D3-E50B6B27BB79}" name="Column12846"/>
    <tableColumn id="12850" xr3:uid="{1195EE53-A9C3-482A-9A3B-9EC8B5B560CB}" name="Column12847"/>
    <tableColumn id="12851" xr3:uid="{EB4AC043-8EE7-4117-83AD-E4ABE436B33A}" name="Column12848"/>
    <tableColumn id="12852" xr3:uid="{F4692379-C32F-46F8-BDC5-0BD3A35D0EA6}" name="Column12849"/>
    <tableColumn id="12853" xr3:uid="{6A78F41B-324F-41CF-8602-E79068DB3921}" name="Column12850"/>
    <tableColumn id="12854" xr3:uid="{C6901260-8B9B-4135-A281-9D145E2ADE59}" name="Column12851"/>
    <tableColumn id="12855" xr3:uid="{6DB293C7-D01F-4500-85CC-1E83FA15257A}" name="Column12852"/>
    <tableColumn id="12856" xr3:uid="{AF61DC32-87AB-4243-90A8-75C6EA4FE266}" name="Column12853"/>
    <tableColumn id="12857" xr3:uid="{233CADDA-2D49-4BE0-A4B8-8C9DEB8CD5DE}" name="Column12854"/>
    <tableColumn id="12858" xr3:uid="{969FF8B9-1DB0-4D3F-9EBC-2556E25BB48C}" name="Column12855"/>
    <tableColumn id="12859" xr3:uid="{23C998BD-E698-4409-9CA3-870BC71D0D8E}" name="Column12856"/>
    <tableColumn id="12860" xr3:uid="{2236F76A-67B5-4F96-B7AF-0624827F4292}" name="Column12857"/>
    <tableColumn id="12861" xr3:uid="{8ADD0092-71B4-405F-A349-762543B3619B}" name="Column12858"/>
    <tableColumn id="12862" xr3:uid="{0C3787FA-FED6-4A9B-B5A9-208C63B33FD6}" name="Column12859"/>
    <tableColumn id="12863" xr3:uid="{4995D1F9-D7A6-43A8-AFAA-0437C979D9C7}" name="Column12860"/>
    <tableColumn id="12864" xr3:uid="{B8FC2154-9DF7-4C7A-8FAD-5786CCA253C5}" name="Column12861"/>
    <tableColumn id="12865" xr3:uid="{C7F7EDF2-8C58-4755-A448-D741A6C356D8}" name="Column12862"/>
    <tableColumn id="12866" xr3:uid="{8AB66984-4915-4CAD-9DC5-281EEA64DCB2}" name="Column12863"/>
    <tableColumn id="12867" xr3:uid="{822B0256-CDB3-477B-A1F9-35659014767F}" name="Column12864"/>
    <tableColumn id="12868" xr3:uid="{B4965830-3BAB-4DEE-814A-BE25C68B2555}" name="Column12865"/>
    <tableColumn id="12869" xr3:uid="{D38AA198-6A1B-42E9-8086-F727319AE5B5}" name="Column12866"/>
    <tableColumn id="12870" xr3:uid="{D1AEDF76-D36C-4012-8933-A9CC36EDA415}" name="Column12867"/>
    <tableColumn id="12871" xr3:uid="{AC686A0D-BF2C-4A93-86B6-96F20FF80EAC}" name="Column12868"/>
    <tableColumn id="12872" xr3:uid="{7C03FC7E-2742-46C2-A2BC-822F8EBE4185}" name="Column12869"/>
    <tableColumn id="12873" xr3:uid="{F094D3C6-FC69-4A4E-BEBD-CABA159BF8B4}" name="Column12870"/>
    <tableColumn id="12874" xr3:uid="{C6BE7CA4-489B-4685-BBA8-3E6EB2E612BB}" name="Column12871"/>
    <tableColumn id="12875" xr3:uid="{00B46E7D-DBD3-46CD-8F32-696892F760F7}" name="Column12872"/>
    <tableColumn id="12876" xr3:uid="{1CD5F1CB-6A11-47F6-BF2D-7BE51250752B}" name="Column12873"/>
    <tableColumn id="12877" xr3:uid="{BB66AF61-4EBC-4792-B90C-88A5BAD5931B}" name="Column12874"/>
    <tableColumn id="12878" xr3:uid="{DFFDC20B-D703-4E8C-9CDD-4EFCBCD5BB71}" name="Column12875"/>
    <tableColumn id="12879" xr3:uid="{1CD5FB3B-537A-4025-AF5E-DDD0B9CE0135}" name="Column12876"/>
    <tableColumn id="12880" xr3:uid="{8EAAEECA-5FCC-423D-8160-55A1BBAD4C25}" name="Column12877"/>
    <tableColumn id="12881" xr3:uid="{4235E62B-1BC5-4921-9AB3-E1927FCEF61F}" name="Column12878"/>
    <tableColumn id="12882" xr3:uid="{F3AB69FE-9E38-489D-A35E-244BE0978EE0}" name="Column12879"/>
    <tableColumn id="12883" xr3:uid="{6F5A9A28-AD86-469E-9FB5-2279DEC27C0E}" name="Column12880"/>
    <tableColumn id="12884" xr3:uid="{C6EB4AB2-E902-4E3C-840B-BDE336C09774}" name="Column12881"/>
    <tableColumn id="12885" xr3:uid="{C4783D41-AC31-4379-AC7F-F3C7375D6F18}" name="Column12882"/>
    <tableColumn id="12886" xr3:uid="{F3836938-0940-4D0B-A935-E19532E28256}" name="Column12883"/>
    <tableColumn id="12887" xr3:uid="{149C343A-B383-414C-8E1F-7C43BBAD0240}" name="Column12884"/>
    <tableColumn id="12888" xr3:uid="{F254B35E-4CA4-43F5-AA23-7DDD353F9586}" name="Column12885"/>
    <tableColumn id="12889" xr3:uid="{62C46ED0-6407-4537-AEFE-8747DD4280FA}" name="Column12886"/>
    <tableColumn id="12890" xr3:uid="{7CCE822F-A627-4311-85E9-1ED46DAAAA3D}" name="Column12887"/>
    <tableColumn id="12891" xr3:uid="{201A9D42-84E2-40FD-8C3E-42CC98543DA5}" name="Column12888"/>
    <tableColumn id="12892" xr3:uid="{96CE17EE-8F44-44BB-A2F2-617337D65E2F}" name="Column12889"/>
    <tableColumn id="12893" xr3:uid="{3045C24C-9AF8-42FF-AAE1-6D79D096A481}" name="Column12890"/>
    <tableColumn id="12894" xr3:uid="{124EDA5B-9E32-4432-B54F-129F7E2BBE31}" name="Column12891"/>
    <tableColumn id="12895" xr3:uid="{0C4DBB2F-59EA-4E37-9536-EBFC714BEFAE}" name="Column12892"/>
    <tableColumn id="12896" xr3:uid="{7BB95CC8-8B15-4450-BB65-DC93D5D09040}" name="Column12893"/>
    <tableColumn id="12897" xr3:uid="{B8ACB87F-7078-4621-8EB8-DB16C263A961}" name="Column12894"/>
    <tableColumn id="12898" xr3:uid="{E4419576-EE85-45FE-9594-0048BE3FD051}" name="Column12895"/>
    <tableColumn id="12899" xr3:uid="{93B365F8-48A0-4CBE-9EA6-A1FC5FBFDD0B}" name="Column12896"/>
    <tableColumn id="12900" xr3:uid="{01D53F8B-6884-4949-AF05-E7D4DA1E879A}" name="Column12897"/>
    <tableColumn id="12901" xr3:uid="{BE61585E-4FE5-4F05-B0FE-3AF86080EF02}" name="Column12898"/>
    <tableColumn id="12902" xr3:uid="{D45EEBD4-D53F-4CEE-BA26-137E30B5309A}" name="Column12899"/>
    <tableColumn id="12903" xr3:uid="{134ACAD8-F963-44B8-8F83-90F1C419F7A1}" name="Column12900"/>
    <tableColumn id="12904" xr3:uid="{A94571AB-3062-44F0-ADA3-5844DC85C0D9}" name="Column12901"/>
    <tableColumn id="12905" xr3:uid="{842C5295-B288-40A7-A4E5-BB620CE8F635}" name="Column12902"/>
    <tableColumn id="12906" xr3:uid="{6C931937-B52F-4824-898C-6B0E1A656731}" name="Column12903"/>
    <tableColumn id="12907" xr3:uid="{5769294C-280B-40F5-B46F-A669EB42D4D2}" name="Column12904"/>
    <tableColumn id="12908" xr3:uid="{011C3C68-9882-4DD2-8E2A-98B32C562A19}" name="Column12905"/>
    <tableColumn id="12909" xr3:uid="{3F493BEB-52C5-4800-AA08-86F806B7596E}" name="Column12906"/>
    <tableColumn id="12910" xr3:uid="{88EE5D93-5F89-42A1-BFBC-6EA172C72084}" name="Column12907"/>
    <tableColumn id="12911" xr3:uid="{ED40CBE5-082D-411D-B270-B4E4797A31FC}" name="Column12908"/>
    <tableColumn id="12912" xr3:uid="{AAF159BC-FDE8-490A-9B6E-C140E4C6F441}" name="Column12909"/>
    <tableColumn id="12913" xr3:uid="{ADC6BDB6-BA11-4143-8383-37A15027ABC0}" name="Column12910"/>
    <tableColumn id="12914" xr3:uid="{8DF63596-BB45-4BEB-BC6E-5755EB058F50}" name="Column12911"/>
    <tableColumn id="12915" xr3:uid="{DC2371D8-0F94-412C-B225-22B705538EA6}" name="Column12912"/>
    <tableColumn id="12916" xr3:uid="{5D3A1C14-79AB-427D-951C-FE13317817C3}" name="Column12913"/>
    <tableColumn id="12917" xr3:uid="{678BBFC9-7EA5-485A-8E71-BEE030723AF4}" name="Column12914"/>
    <tableColumn id="12918" xr3:uid="{A8F10F7D-07D1-45B9-9519-DFEECAB0FD13}" name="Column12915"/>
    <tableColumn id="12919" xr3:uid="{4C9FD9BB-CE1C-46B0-9381-6CB3A94D91B0}" name="Column12916"/>
    <tableColumn id="12920" xr3:uid="{6330855B-C6A9-45A4-8DFA-F8D2DEA1B41A}" name="Column12917"/>
    <tableColumn id="12921" xr3:uid="{1B8C0F10-3C2D-4297-9DC0-5D11D59B4993}" name="Column12918"/>
    <tableColumn id="12922" xr3:uid="{1380DFAA-71A8-4D8B-8381-91A81DC34473}" name="Column12919"/>
    <tableColumn id="12923" xr3:uid="{24334465-F22E-4C40-B752-A04AFF7BDB40}" name="Column12920"/>
    <tableColumn id="12924" xr3:uid="{EFD4470C-B187-4A51-B4F6-FFB45FFB7D3A}" name="Column12921"/>
    <tableColumn id="12925" xr3:uid="{3247685F-43C9-4956-89C6-226CDB95C066}" name="Column12922"/>
    <tableColumn id="12926" xr3:uid="{D33036C9-7A10-4BBA-BD27-E99400AAADAC}" name="Column12923"/>
    <tableColumn id="12927" xr3:uid="{780EB77B-FB69-4789-8386-E47831DAE041}" name="Column12924"/>
    <tableColumn id="12928" xr3:uid="{0DBA99CC-A82B-40E9-A3FB-EAEE5AE845CF}" name="Column12925"/>
    <tableColumn id="12929" xr3:uid="{88D5D41F-FB07-48E6-9454-24151675757A}" name="Column12926"/>
    <tableColumn id="12930" xr3:uid="{0E5F880A-D015-418A-9D1C-EB7882D84935}" name="Column12927"/>
    <tableColumn id="12931" xr3:uid="{309E9255-C2CA-4042-ABC9-AA7BDCE0476B}" name="Column12928"/>
    <tableColumn id="12932" xr3:uid="{8A4DFDBE-37A1-4C48-80DB-57B9D12D5F39}" name="Column12929"/>
    <tableColumn id="12933" xr3:uid="{8A4AD806-3272-4530-8145-3E02EDA37089}" name="Column12930"/>
    <tableColumn id="12934" xr3:uid="{B04BD8B8-9462-4A4B-A0B2-140B1A827DEF}" name="Column12931"/>
    <tableColumn id="12935" xr3:uid="{D803D0C9-BCA5-47A8-BCF2-FBBA8368DE74}" name="Column12932"/>
    <tableColumn id="12936" xr3:uid="{FFF4B706-DA64-4549-9DA1-EA6DE65FAAB0}" name="Column12933"/>
    <tableColumn id="12937" xr3:uid="{573EC4B4-0104-4482-BD6C-2C9A3C4F4735}" name="Column12934"/>
    <tableColumn id="12938" xr3:uid="{BCB70438-BB7E-4E1B-8BA5-0E998DBF9D24}" name="Column12935"/>
    <tableColumn id="12939" xr3:uid="{E959F558-690D-422D-B4CA-38098091491C}" name="Column12936"/>
    <tableColumn id="12940" xr3:uid="{F581BDB6-1A9B-491F-BEEF-069BB174807F}" name="Column12937"/>
    <tableColumn id="12941" xr3:uid="{145A1F5C-2EEE-4F2C-80FF-055606ECCE65}" name="Column12938"/>
    <tableColumn id="12942" xr3:uid="{35C9BFC1-738A-4E38-AC99-96280789D447}" name="Column12939"/>
    <tableColumn id="12943" xr3:uid="{5496D766-C460-4389-A241-E65492ECF182}" name="Column12940"/>
    <tableColumn id="12944" xr3:uid="{13BD45AB-096C-4385-B088-8F0F51321680}" name="Column12941"/>
    <tableColumn id="12945" xr3:uid="{F016C88B-C080-47CC-8EEF-DA665D393955}" name="Column12942"/>
    <tableColumn id="12946" xr3:uid="{B2EE0544-07CE-4A64-8110-158FD7439B9B}" name="Column12943"/>
    <tableColumn id="12947" xr3:uid="{80C35894-9402-4357-91D9-D72FCECD5243}" name="Column12944"/>
    <tableColumn id="12948" xr3:uid="{EFE06018-5D0B-4C68-BFE9-002D2836B4AF}" name="Column12945"/>
    <tableColumn id="12949" xr3:uid="{4DB296F7-D2BB-4F9C-8BE8-BBB362BDD1F3}" name="Column12946"/>
    <tableColumn id="12950" xr3:uid="{7D8A0E59-9F58-43D1-8210-E34EEC714021}" name="Column12947"/>
    <tableColumn id="12951" xr3:uid="{FF0371EE-9DC2-48F8-8D68-256383A2CBBA}" name="Column12948"/>
    <tableColumn id="12952" xr3:uid="{5912F598-B1E7-4CA7-8FDE-93C0591C85EF}" name="Column12949"/>
    <tableColumn id="12953" xr3:uid="{B773E4A0-0862-4FFF-8E85-7F6E7CFF4966}" name="Column12950"/>
    <tableColumn id="12954" xr3:uid="{F0817D82-9D93-4469-9C7A-3B6AB308841B}" name="Column12951"/>
    <tableColumn id="12955" xr3:uid="{A848ECDA-7DF9-4F69-8CB2-78559A721CC3}" name="Column12952"/>
    <tableColumn id="12956" xr3:uid="{D8012D26-2896-4889-9241-F0854584F65B}" name="Column12953"/>
    <tableColumn id="12957" xr3:uid="{AC5F27F6-95E3-4C9A-B1E8-DFEAE623C007}" name="Column12954"/>
    <tableColumn id="12958" xr3:uid="{727D5B24-3AAA-4E96-9B3C-58F9813B279C}" name="Column12955"/>
    <tableColumn id="12959" xr3:uid="{DBAFB969-5500-4119-BE56-E373F5CA92C4}" name="Column12956"/>
    <tableColumn id="12960" xr3:uid="{80FD3006-3A81-446E-85E3-89334B28C68F}" name="Column12957"/>
    <tableColumn id="12961" xr3:uid="{F4715D62-C272-43D6-BF20-11F90EF2EE0A}" name="Column12958"/>
    <tableColumn id="12962" xr3:uid="{509A05A8-0369-458C-9E72-01A7B6EBCE3D}" name="Column12959"/>
    <tableColumn id="12963" xr3:uid="{6C33A4B0-93E3-4A42-BCEC-17D995EE7B1B}" name="Column12960"/>
    <tableColumn id="12964" xr3:uid="{BDB9B8FA-17D6-4941-AF7B-DA21E64015E8}" name="Column12961"/>
    <tableColumn id="12965" xr3:uid="{019EDB3F-CEEF-42AA-9CB9-15ACA7251F90}" name="Column12962"/>
    <tableColumn id="12966" xr3:uid="{42C463C5-C61A-4C83-B062-E0AC1C7EB1FF}" name="Column12963"/>
    <tableColumn id="12967" xr3:uid="{96EA33CF-044B-4066-BE08-FB38AD0CAFC5}" name="Column12964"/>
    <tableColumn id="12968" xr3:uid="{FDBFAEAC-0E22-4122-B1B1-0371EE843668}" name="Column12965"/>
    <tableColumn id="12969" xr3:uid="{B9606334-3A73-474B-995C-790EF0F2DA08}" name="Column12966"/>
    <tableColumn id="12970" xr3:uid="{DC378FBB-327A-47BA-BAEC-F78651367AC2}" name="Column12967"/>
    <tableColumn id="12971" xr3:uid="{426185A1-EAA6-4FEC-BF98-759E67090B3F}" name="Column12968"/>
    <tableColumn id="12972" xr3:uid="{5268E83D-E274-4F97-AABC-44399B76E172}" name="Column12969"/>
    <tableColumn id="12973" xr3:uid="{45065A82-0FB8-4EF5-BBBD-45AE34896087}" name="Column12970"/>
    <tableColumn id="12974" xr3:uid="{3C174D6A-61E3-4B84-B466-98BADD166A8A}" name="Column12971"/>
    <tableColumn id="12975" xr3:uid="{BD4F7973-F90F-4457-A5E4-7935CF39C215}" name="Column12972"/>
    <tableColumn id="12976" xr3:uid="{93903BDF-C669-428E-8685-682CBBD32E87}" name="Column12973"/>
    <tableColumn id="12977" xr3:uid="{5E455995-B7FA-4FBB-854B-4B46472573EA}" name="Column12974"/>
    <tableColumn id="12978" xr3:uid="{64746CBD-F897-4F81-93B5-951775737905}" name="Column12975"/>
    <tableColumn id="12979" xr3:uid="{E262C529-9053-4C27-AD35-326770429023}" name="Column12976"/>
    <tableColumn id="12980" xr3:uid="{B97DC9C3-B980-4E62-B4BA-A0FBD571F3D6}" name="Column12977"/>
    <tableColumn id="12981" xr3:uid="{D701F8D9-2CE5-4321-9344-D56E5C891E2B}" name="Column12978"/>
    <tableColumn id="12982" xr3:uid="{821FEC7C-5E69-4527-9374-FF4384983150}" name="Column12979"/>
    <tableColumn id="12983" xr3:uid="{5907DB01-31CF-4219-9ECA-A36BA559E427}" name="Column12980"/>
    <tableColumn id="12984" xr3:uid="{CC3BB27F-3A6B-41C4-B448-E603CC84829E}" name="Column12981"/>
    <tableColumn id="12985" xr3:uid="{A02EC6AD-90B0-40D9-BE64-60F82ED01577}" name="Column12982"/>
    <tableColumn id="12986" xr3:uid="{3D81F454-F624-4AC8-BC69-34202ED68D01}" name="Column12983"/>
    <tableColumn id="12987" xr3:uid="{A4269FAD-EAD8-40BC-95A4-2595B617935A}" name="Column12984"/>
    <tableColumn id="12988" xr3:uid="{B740143D-7771-4A2B-B541-E0087C08A361}" name="Column12985"/>
    <tableColumn id="12989" xr3:uid="{8F2F772C-87D9-4794-96B9-970AE6FF1D2B}" name="Column12986"/>
    <tableColumn id="12990" xr3:uid="{60D83B1F-6ADC-48B2-8538-2EA1161EF21F}" name="Column12987"/>
    <tableColumn id="12991" xr3:uid="{7848D325-2A54-44E0-B75E-A430837BC6E7}" name="Column12988"/>
    <tableColumn id="12992" xr3:uid="{F7A235A5-0171-44D2-918A-CEA7AF977FB7}" name="Column12989"/>
    <tableColumn id="12993" xr3:uid="{DB1649A1-236A-4414-BC89-C9BD266F074D}" name="Column12990"/>
    <tableColumn id="12994" xr3:uid="{15A36884-76AA-45F6-AF40-9D66894C9F7E}" name="Column12991"/>
    <tableColumn id="12995" xr3:uid="{38DAD447-6284-4E7B-9DBD-8357ED319656}" name="Column12992"/>
    <tableColumn id="12996" xr3:uid="{C6DF6C99-8805-4A9B-8CAB-A61234E4648B}" name="Column12993"/>
    <tableColumn id="12997" xr3:uid="{FCD4B242-410B-433C-803E-AE3248E7777D}" name="Column12994"/>
    <tableColumn id="12998" xr3:uid="{A850321B-C903-4F4F-809D-2D832BBB4CB2}" name="Column12995"/>
    <tableColumn id="12999" xr3:uid="{9EC88F4B-82CF-4030-8B30-F654FBCE0279}" name="Column12996"/>
    <tableColumn id="13000" xr3:uid="{C08F087C-E0FC-4BF9-B2AE-B0525CB4DD35}" name="Column12997"/>
    <tableColumn id="13001" xr3:uid="{3E4E646F-E5FB-49A6-946F-25D80F6CBAE3}" name="Column12998"/>
    <tableColumn id="13002" xr3:uid="{01429549-EF7A-454C-AD92-5BE386968E25}" name="Column12999"/>
    <tableColumn id="13003" xr3:uid="{B6472D77-F95D-4814-B834-27631AA7ED93}" name="Column13000"/>
    <tableColumn id="13004" xr3:uid="{0D226622-AB52-49FB-B66B-57754440014E}" name="Column13001"/>
    <tableColumn id="13005" xr3:uid="{4ECBBAE5-60B9-481F-8E78-0F22DDDB5950}" name="Column13002"/>
    <tableColumn id="13006" xr3:uid="{48C22A91-D236-42F2-B018-F3897426DF22}" name="Column13003"/>
    <tableColumn id="13007" xr3:uid="{4FF566B9-252D-46D1-8EAF-203905B58895}" name="Column13004"/>
    <tableColumn id="13008" xr3:uid="{0139A5E8-E65A-43F5-BAE8-78E970DA0618}" name="Column13005"/>
    <tableColumn id="13009" xr3:uid="{7985A651-7A70-47F6-9122-0CD719F08214}" name="Column13006"/>
    <tableColumn id="13010" xr3:uid="{74E67875-0BF8-4B59-9A65-BAF46D239C4A}" name="Column13007"/>
    <tableColumn id="13011" xr3:uid="{BDD04374-56E3-4F6C-81C0-690E52C8DB1C}" name="Column13008"/>
    <tableColumn id="13012" xr3:uid="{2866366F-FF63-4EDF-89FF-4A24CCAB1B9F}" name="Column13009"/>
    <tableColumn id="13013" xr3:uid="{7471FC05-FF60-483F-B318-F00D76502A41}" name="Column13010"/>
    <tableColumn id="13014" xr3:uid="{C7EB290D-119F-43AE-BF2D-EAF20D82169D}" name="Column13011"/>
    <tableColumn id="13015" xr3:uid="{3F9094A8-14F4-49DD-B794-BE73AE01DC6C}" name="Column13012"/>
    <tableColumn id="13016" xr3:uid="{B2D4BC24-D340-4EE2-9C0F-0D0E2F078FA7}" name="Column13013"/>
    <tableColumn id="13017" xr3:uid="{59921C94-0532-4C58-8B7F-53F53D349AA4}" name="Column13014"/>
    <tableColumn id="13018" xr3:uid="{A5184711-CC43-42C1-9735-BA7094D6423F}" name="Column13015"/>
    <tableColumn id="13019" xr3:uid="{2EB100A8-B1DC-4008-9C63-31DE8A902D14}" name="Column13016"/>
    <tableColumn id="13020" xr3:uid="{2A39A3F4-307A-4780-86DB-8C161D0A38AC}" name="Column13017"/>
    <tableColumn id="13021" xr3:uid="{4968C870-3BA1-441B-AF2B-1AFF3621F795}" name="Column13018"/>
    <tableColumn id="13022" xr3:uid="{3BCA79ED-5F16-47A1-B046-4EB4CD95CF91}" name="Column13019"/>
    <tableColumn id="13023" xr3:uid="{54F94BF4-B0D0-4933-B447-E051E5F34EFB}" name="Column13020"/>
    <tableColumn id="13024" xr3:uid="{A7F86B79-69B7-48CB-A0BC-5B112F6FF739}" name="Column13021"/>
    <tableColumn id="13025" xr3:uid="{79FDFE60-D5F6-4550-BCBD-2D97FD2E0A3D}" name="Column13022"/>
    <tableColumn id="13026" xr3:uid="{2152DCF3-4FED-4800-AC4E-CDAB7DFF6B98}" name="Column13023"/>
    <tableColumn id="13027" xr3:uid="{F71A48AD-2A60-4F4A-8FD8-FFC82CD14370}" name="Column13024"/>
    <tableColumn id="13028" xr3:uid="{3F49406A-F5DF-4706-99C8-8091ADD55360}" name="Column13025"/>
    <tableColumn id="13029" xr3:uid="{76E62F1E-6A9E-438F-AD1F-63E04898D28C}" name="Column13026"/>
    <tableColumn id="13030" xr3:uid="{C7B54C92-01B0-4AE0-959F-4FCC92BE5B7D}" name="Column13027"/>
    <tableColumn id="13031" xr3:uid="{E3C6AA41-1ADC-4A1F-8917-0651B2396B54}" name="Column13028"/>
    <tableColumn id="13032" xr3:uid="{277375DC-33A0-442D-A98E-C6C73CA514CB}" name="Column13029"/>
    <tableColumn id="13033" xr3:uid="{364871E0-7E20-4742-AA5A-0B2C0A5DB464}" name="Column13030"/>
    <tableColumn id="13034" xr3:uid="{0C6D77E3-9A08-4065-BEB0-BB1D04F1152C}" name="Column13031"/>
    <tableColumn id="13035" xr3:uid="{A478A8A8-1A86-41C1-B0D7-C89628B68A72}" name="Column13032"/>
    <tableColumn id="13036" xr3:uid="{98F3D381-2901-471C-8922-A5784A010B7C}" name="Column13033"/>
    <tableColumn id="13037" xr3:uid="{36FD1E51-A133-4A5C-90D7-19421661B956}" name="Column13034"/>
    <tableColumn id="13038" xr3:uid="{F883A05D-8A18-4657-903B-C7681C2B9105}" name="Column13035"/>
    <tableColumn id="13039" xr3:uid="{17E38D34-EAD1-4C60-BF59-4B28C620AF90}" name="Column13036"/>
    <tableColumn id="13040" xr3:uid="{598AD5E2-45E7-4C16-8377-F525426AF2EA}" name="Column13037"/>
    <tableColumn id="13041" xr3:uid="{EEACEED0-F85F-4F5C-A656-15484B3B7C70}" name="Column13038"/>
    <tableColumn id="13042" xr3:uid="{50B641B5-D3B3-46C5-8C27-0A7029CE2D49}" name="Column13039"/>
    <tableColumn id="13043" xr3:uid="{C7216009-6734-4446-AE43-5291D36043E2}" name="Column13040"/>
    <tableColumn id="13044" xr3:uid="{4BCAE7C2-D1D5-490E-B96C-F6D52B75992E}" name="Column13041"/>
    <tableColumn id="13045" xr3:uid="{3654FF13-2B82-4882-9063-EA702EFEF6BB}" name="Column13042"/>
    <tableColumn id="13046" xr3:uid="{A9D49124-F7DF-4704-A2A2-7128145783B9}" name="Column13043"/>
    <tableColumn id="13047" xr3:uid="{17DEECE2-CD9A-4E32-996D-36E314A2C53B}" name="Column13044"/>
    <tableColumn id="13048" xr3:uid="{85D0B2FE-6AC0-43A8-A1DB-59FE73F8B646}" name="Column13045"/>
    <tableColumn id="13049" xr3:uid="{1696DAF4-29C5-41F8-BACD-6F6118FE1D56}" name="Column13046"/>
    <tableColumn id="13050" xr3:uid="{48D3FC17-70CE-4653-A141-7380D823A8D6}" name="Column13047"/>
    <tableColumn id="13051" xr3:uid="{F69C6C95-FDC9-41E8-A295-3427272F2529}" name="Column13048"/>
    <tableColumn id="13052" xr3:uid="{A47A08BC-AE8F-4E55-A27D-5543E213A7F4}" name="Column13049"/>
    <tableColumn id="13053" xr3:uid="{7173C81F-1FB3-4025-B9B5-F57E6069E2D1}" name="Column13050"/>
    <tableColumn id="13054" xr3:uid="{356753FA-0A3B-47E3-BBE0-AB87A1809E88}" name="Column13051"/>
    <tableColumn id="13055" xr3:uid="{A2D1DD70-47F9-4299-BD46-8724227A6191}" name="Column13052"/>
    <tableColumn id="13056" xr3:uid="{D153DBF6-FAA4-43BF-9A1F-D2204292E3F2}" name="Column13053"/>
    <tableColumn id="13057" xr3:uid="{501C738C-1777-4FD7-8CFF-D447B96ADA0F}" name="Column13054"/>
    <tableColumn id="13058" xr3:uid="{9FFABF1B-F024-4E2F-B409-643E3BAD9710}" name="Column13055"/>
    <tableColumn id="13059" xr3:uid="{A6173665-CDDE-4B2D-B01F-EA0E02FEFF6E}" name="Column13056"/>
    <tableColumn id="13060" xr3:uid="{FA9F7FD0-B8F0-4F24-AB2D-1AC5F3FBD898}" name="Column13057"/>
    <tableColumn id="13061" xr3:uid="{3CE2AA8E-0023-4615-9C38-4A46137C82B1}" name="Column13058"/>
    <tableColumn id="13062" xr3:uid="{68E406AC-9543-4B76-8397-07BBAA24DC0C}" name="Column13059"/>
    <tableColumn id="13063" xr3:uid="{C139F5C1-10A2-40EE-8EDE-E13748D7FB3D}" name="Column13060"/>
    <tableColumn id="13064" xr3:uid="{62025A5A-57D8-44A2-832E-B70D75D2BE7B}" name="Column13061"/>
    <tableColumn id="13065" xr3:uid="{636CF60B-B5EB-47A5-8ECB-7360434B765C}" name="Column13062"/>
    <tableColumn id="13066" xr3:uid="{A3CB74A7-75BD-4C54-B8AF-3958CB0BE4FE}" name="Column13063"/>
    <tableColumn id="13067" xr3:uid="{F6D8D431-495F-48E4-AAFD-7235A446A6A5}" name="Column13064"/>
    <tableColumn id="13068" xr3:uid="{682E507A-C472-46F6-8495-C7646C2EA82E}" name="Column13065"/>
    <tableColumn id="13069" xr3:uid="{B641E8D2-781E-4A89-9670-61A3EF7F554E}" name="Column13066"/>
    <tableColumn id="13070" xr3:uid="{C44EB3E0-DE35-49D1-A3EA-91CF7341EB0A}" name="Column13067"/>
    <tableColumn id="13071" xr3:uid="{6922AA67-9C2E-465D-BF4E-5870D7BB83A4}" name="Column13068"/>
    <tableColumn id="13072" xr3:uid="{FC128B69-76D3-4641-82AB-2A45043CBADF}" name="Column13069"/>
    <tableColumn id="13073" xr3:uid="{FB328DA0-ECAE-40F3-8407-D11B29642B1D}" name="Column13070"/>
    <tableColumn id="13074" xr3:uid="{26D38E3E-E73E-4BB1-ADAB-3C300F193725}" name="Column13071"/>
    <tableColumn id="13075" xr3:uid="{75DA9A1B-1E77-4C52-A88A-D4942CD60541}" name="Column13072"/>
    <tableColumn id="13076" xr3:uid="{7E294F1F-7B13-43DC-9F17-6B619FDF75A9}" name="Column13073"/>
    <tableColumn id="13077" xr3:uid="{B1A4E668-0A9F-4950-A981-88069C54C990}" name="Column13074"/>
    <tableColumn id="13078" xr3:uid="{9BD69006-6870-4C63-98F0-A78BE9FA6402}" name="Column13075"/>
    <tableColumn id="13079" xr3:uid="{1EAAA59A-8AE8-4EED-82E6-A8A1427F0E87}" name="Column13076"/>
    <tableColumn id="13080" xr3:uid="{A00F9754-7103-425A-B922-7B6A8A4E1988}" name="Column13077"/>
    <tableColumn id="13081" xr3:uid="{F0AEC65E-BDC5-4E00-96D7-D421151CB002}" name="Column13078"/>
    <tableColumn id="13082" xr3:uid="{4DE0DA50-98EE-41FF-874C-FC728BAF5C24}" name="Column13079"/>
    <tableColumn id="13083" xr3:uid="{3347B3B0-EF6C-4EF5-A8D5-A9710F38C5F8}" name="Column13080"/>
    <tableColumn id="13084" xr3:uid="{87F8A612-16B2-4B46-9AC4-C35AC1E2D330}" name="Column13081"/>
    <tableColumn id="13085" xr3:uid="{2AC8E4E9-6AFE-44C3-9273-9FF89C63AAF7}" name="Column13082"/>
    <tableColumn id="13086" xr3:uid="{3616C254-2745-4798-A39F-4BBE0274CCF3}" name="Column13083"/>
    <tableColumn id="13087" xr3:uid="{B5FDEAF5-FBC7-4122-B08B-6F29CCE9B036}" name="Column13084"/>
    <tableColumn id="13088" xr3:uid="{B682D376-41AD-4F41-8008-666FEE60C6F6}" name="Column13085"/>
    <tableColumn id="13089" xr3:uid="{585F842C-E66D-434D-A473-BEAF89211E90}" name="Column13086"/>
    <tableColumn id="13090" xr3:uid="{47E2E321-5135-431F-BE78-1B524F0BB166}" name="Column13087"/>
    <tableColumn id="13091" xr3:uid="{2BA4B4C3-5D33-4F46-91DE-273663E60B43}" name="Column13088"/>
    <tableColumn id="13092" xr3:uid="{292A2834-D242-43BC-B9A9-DD96B906FBCC}" name="Column13089"/>
    <tableColumn id="13093" xr3:uid="{EE315066-F820-44DE-B44F-7D3C138A132F}" name="Column13090"/>
    <tableColumn id="13094" xr3:uid="{F997C844-835E-4D98-81B2-D06077B5D2B1}" name="Column13091"/>
    <tableColumn id="13095" xr3:uid="{7825FFFE-B398-493B-8688-4F37213F9AB5}" name="Column13092"/>
    <tableColumn id="13096" xr3:uid="{81E4ACF2-3DE8-49D9-AEA6-D89A15CA8514}" name="Column13093"/>
    <tableColumn id="13097" xr3:uid="{1DF60C46-A322-4A2D-A964-804DF936E418}" name="Column13094"/>
    <tableColumn id="13098" xr3:uid="{157D40DE-BF4E-448D-AD3F-755B790007E4}" name="Column13095"/>
    <tableColumn id="13099" xr3:uid="{F5B5737D-33EA-4046-883C-89298085C945}" name="Column13096"/>
    <tableColumn id="13100" xr3:uid="{1295BABC-45BC-43D5-879E-1CA145D74E05}" name="Column13097"/>
    <tableColumn id="13101" xr3:uid="{A04AF441-9743-47B2-88FE-725F240BFD81}" name="Column13098"/>
    <tableColumn id="13102" xr3:uid="{D8B3BB7E-74A5-4AE3-9A2E-AB915A4B6F3A}" name="Column13099"/>
    <tableColumn id="13103" xr3:uid="{904DC06C-62FC-4820-9BAB-3B8470BC94B7}" name="Column13100"/>
    <tableColumn id="13104" xr3:uid="{0355C2BB-5572-45E5-A1A5-A39A3C0D5A3E}" name="Column13101"/>
    <tableColumn id="13105" xr3:uid="{9C819EB5-A4FD-46FF-BF88-90C12F7FB805}" name="Column13102"/>
    <tableColumn id="13106" xr3:uid="{788C1AE2-F31E-4DB4-8187-7B114A923955}" name="Column13103"/>
    <tableColumn id="13107" xr3:uid="{46FEF6EA-FD0C-4917-A4B6-E0BCBC4561A6}" name="Column13104"/>
    <tableColumn id="13108" xr3:uid="{CA1F33E1-DD56-410C-8A9C-943DDF55683D}" name="Column13105"/>
    <tableColumn id="13109" xr3:uid="{C70D4F9B-1E99-4B3B-A2F9-EEB742FF4DF7}" name="Column13106"/>
    <tableColumn id="13110" xr3:uid="{14BAD7AB-1C9F-471C-97B8-BD9A3AABAEE5}" name="Column13107"/>
    <tableColumn id="13111" xr3:uid="{BF6618C2-A3AF-44B7-BF55-655FDD7F722E}" name="Column13108"/>
    <tableColumn id="13112" xr3:uid="{23067EF0-84E5-46B1-B7C2-7B2FA1F69C05}" name="Column13109"/>
    <tableColumn id="13113" xr3:uid="{CFF20993-C6BB-4795-A2BA-62E18D6828DB}" name="Column13110"/>
    <tableColumn id="13114" xr3:uid="{9877A370-372A-4CC4-A9BC-22C3D4E24041}" name="Column13111"/>
    <tableColumn id="13115" xr3:uid="{2351918B-18B8-41B1-9423-4323066AC29A}" name="Column13112"/>
    <tableColumn id="13116" xr3:uid="{8F3C90F1-491A-47C0-9A83-8713EB379828}" name="Column13113"/>
    <tableColumn id="13117" xr3:uid="{D933F0A3-1989-4482-A07E-CEFA1CC5ED59}" name="Column13114"/>
    <tableColumn id="13118" xr3:uid="{E3275FC2-53F5-4F21-9369-1CC244FBF5EF}" name="Column13115"/>
    <tableColumn id="13119" xr3:uid="{8EF78B3D-10D6-4843-AA8B-AD3AB7A4499F}" name="Column13116"/>
    <tableColumn id="13120" xr3:uid="{B5C23041-7DCA-470B-9FE7-4904AF06B4D8}" name="Column13117"/>
    <tableColumn id="13121" xr3:uid="{C1287DE9-EBCE-4844-AB0A-C76D50407838}" name="Column13118"/>
    <tableColumn id="13122" xr3:uid="{67B420BF-7A4A-434D-8A32-242F60812EC8}" name="Column13119"/>
    <tableColumn id="13123" xr3:uid="{39E85273-B2B8-4D70-B1E6-315DCDBBB20C}" name="Column13120"/>
    <tableColumn id="13124" xr3:uid="{FA5ED393-09C8-4AF6-8F37-4FB8A8CC6F3C}" name="Column13121"/>
    <tableColumn id="13125" xr3:uid="{088224FB-88BA-404A-BEFF-62A6BCBA374E}" name="Column13122"/>
    <tableColumn id="13126" xr3:uid="{D2E6892B-3138-4E6E-BDBC-61CB5D71FB57}" name="Column13123"/>
    <tableColumn id="13127" xr3:uid="{7F9B51ED-4729-4CF8-9F91-B0A55A63642E}" name="Column13124"/>
    <tableColumn id="13128" xr3:uid="{A5465B46-6E87-40BD-9637-F4258B4A9B08}" name="Column13125"/>
    <tableColumn id="13129" xr3:uid="{E7858660-A085-4A73-84A3-15CDAAD94086}" name="Column13126"/>
    <tableColumn id="13130" xr3:uid="{C2DBD7A3-AF3F-4DB1-80A1-21E10305C358}" name="Column13127"/>
    <tableColumn id="13131" xr3:uid="{A0383003-3793-42B7-A224-4F042781ECEF}" name="Column13128"/>
    <tableColumn id="13132" xr3:uid="{38472979-2248-4AF0-83FC-E3031CB784C2}" name="Column13129"/>
    <tableColumn id="13133" xr3:uid="{1E2B52D7-5FA4-42D4-BF38-CFFC97A8D5FF}" name="Column13130"/>
    <tableColumn id="13134" xr3:uid="{850B2719-CEEE-4051-BC18-389E6C1BE9EB}" name="Column13131"/>
    <tableColumn id="13135" xr3:uid="{3B4706D8-FA6F-4343-92B5-32BE632C3BEC}" name="Column13132"/>
    <tableColumn id="13136" xr3:uid="{30311060-8651-438A-9627-7C4E591C7C8A}" name="Column13133"/>
    <tableColumn id="13137" xr3:uid="{5B68FDAF-0E3F-4629-9529-EB580C42F26F}" name="Column13134"/>
    <tableColumn id="13138" xr3:uid="{3888CC13-EF9A-4942-B75B-1FD0FC221F59}" name="Column13135"/>
    <tableColumn id="13139" xr3:uid="{815DE17A-BFFF-42D3-BFBB-F5281A99188E}" name="Column13136"/>
    <tableColumn id="13140" xr3:uid="{43923C5A-50C8-4D5F-BE63-38536A8C141B}" name="Column13137"/>
    <tableColumn id="13141" xr3:uid="{1D19AC21-2D09-4A9B-9985-207F171BBCA4}" name="Column13138"/>
    <tableColumn id="13142" xr3:uid="{FF6C7309-5A1E-4048-A4CD-6944DCAD38C5}" name="Column13139"/>
    <tableColumn id="13143" xr3:uid="{795496E6-BC4A-490C-B869-7881EBE8A8AD}" name="Column13140"/>
    <tableColumn id="13144" xr3:uid="{D90FCFB1-DE80-4266-8E0E-97B4AF85FA88}" name="Column13141"/>
    <tableColumn id="13145" xr3:uid="{4F18EAA4-514E-4AF5-AC80-9EE56E1D4376}" name="Column13142"/>
    <tableColumn id="13146" xr3:uid="{08411ADA-6B65-4B99-864F-499B6C3CFF7C}" name="Column13143"/>
    <tableColumn id="13147" xr3:uid="{2C256195-A204-48F7-B2E4-13F150172635}" name="Column13144"/>
    <tableColumn id="13148" xr3:uid="{78F7BB96-7D59-48AB-8C54-F16493C0F9A0}" name="Column13145"/>
    <tableColumn id="13149" xr3:uid="{2983C509-5422-4715-A586-F9204183BB88}" name="Column13146"/>
    <tableColumn id="13150" xr3:uid="{1F4B93A6-70AC-43C9-AF56-0015D23EDE5B}" name="Column13147"/>
    <tableColumn id="13151" xr3:uid="{0E355BF2-831A-4078-AAD7-CB35334B2087}" name="Column13148"/>
    <tableColumn id="13152" xr3:uid="{801B2296-3EEB-4518-96B0-0B52F6999592}" name="Column13149"/>
    <tableColumn id="13153" xr3:uid="{6536AA75-8DC5-47B0-AF5D-4BEAEEA784D8}" name="Column13150"/>
    <tableColumn id="13154" xr3:uid="{725DC922-DA00-4ABC-AD9B-5BB7D2DBCC85}" name="Column13151"/>
    <tableColumn id="13155" xr3:uid="{8065E23D-F945-4770-BB81-01515C31886A}" name="Column13152"/>
    <tableColumn id="13156" xr3:uid="{CE99352B-940A-4271-9397-8D007FF9CB4F}" name="Column13153"/>
    <tableColumn id="13157" xr3:uid="{F7C319D2-6F1C-4F2A-A046-2C995E610EE2}" name="Column13154"/>
    <tableColumn id="13158" xr3:uid="{634CAC09-30AC-493C-93E3-70AC6E16CEDC}" name="Column13155"/>
    <tableColumn id="13159" xr3:uid="{B396E519-4ACD-4475-A77B-0A9D4AE526C2}" name="Column13156"/>
    <tableColumn id="13160" xr3:uid="{FE1EE736-EB8C-48E5-BCEE-DD1132D655D8}" name="Column13157"/>
    <tableColumn id="13161" xr3:uid="{0A923343-A95E-420B-AC72-26DE109087DB}" name="Column13158"/>
    <tableColumn id="13162" xr3:uid="{684EF55D-3EFF-4A59-8607-39A7E3AAAA4B}" name="Column13159"/>
    <tableColumn id="13163" xr3:uid="{9F5481A1-1B4C-4360-99AC-D2E226B06E43}" name="Column13160"/>
    <tableColumn id="13164" xr3:uid="{9B36C5E6-E1EA-44D4-8F20-9D6F1372B484}" name="Column13161"/>
    <tableColumn id="13165" xr3:uid="{EBC806F3-B20C-4DD3-9389-6C018BC37F92}" name="Column13162"/>
    <tableColumn id="13166" xr3:uid="{A35C4859-7D85-4779-964A-A6EDC6EE2B43}" name="Column13163"/>
    <tableColumn id="13167" xr3:uid="{3DB487B1-2585-453C-A2AA-376BEA472A4C}" name="Column13164"/>
    <tableColumn id="13168" xr3:uid="{62DDABC1-E031-4231-BF49-9CEF783BC298}" name="Column13165"/>
    <tableColumn id="13169" xr3:uid="{49B9C01C-471C-4850-992C-6126A941B0E8}" name="Column13166"/>
    <tableColumn id="13170" xr3:uid="{0D0BE8CA-1D6A-477C-A920-61A667E88615}" name="Column13167"/>
    <tableColumn id="13171" xr3:uid="{0703E004-8AAA-48E3-8563-3FB085451C7E}" name="Column13168"/>
    <tableColumn id="13172" xr3:uid="{D59D923D-5A8A-4BFC-8CA3-09746DEF0C93}" name="Column13169"/>
    <tableColumn id="13173" xr3:uid="{DACAF8A1-A94C-42A5-8B80-6DE7FA662CD2}" name="Column13170"/>
    <tableColumn id="13174" xr3:uid="{6D75BD23-7542-418A-BD71-C3AFD24281B8}" name="Column13171"/>
    <tableColumn id="13175" xr3:uid="{A2ED79D5-4624-43D0-AD62-EEFDC544E6B2}" name="Column13172"/>
    <tableColumn id="13176" xr3:uid="{23BC6194-948D-4B63-864B-3DC50E0C6A18}" name="Column13173"/>
    <tableColumn id="13177" xr3:uid="{A42D358E-9EBD-43D4-968E-39A5FE22D2E7}" name="Column13174"/>
    <tableColumn id="13178" xr3:uid="{A79592B4-7D24-4A8E-9D34-626ACE145D62}" name="Column13175"/>
    <tableColumn id="13179" xr3:uid="{2B5A3D3A-2C22-4456-9E83-DB37F5D26957}" name="Column13176"/>
    <tableColumn id="13180" xr3:uid="{27C27143-274F-4B21-838B-34F2D5FBFDE1}" name="Column13177"/>
    <tableColumn id="13181" xr3:uid="{62AA048F-A629-4574-BDDD-C57D3A4EB568}" name="Column13178"/>
    <tableColumn id="13182" xr3:uid="{69D10E37-9B53-4A62-96AC-F23F01DB9C57}" name="Column13179"/>
    <tableColumn id="13183" xr3:uid="{0CED26B8-AA8B-49D8-A2A7-5B20A503DDAD}" name="Column13180"/>
    <tableColumn id="13184" xr3:uid="{648BF342-1819-4B48-B9DD-5C3E0ADF5FD0}" name="Column13181"/>
    <tableColumn id="13185" xr3:uid="{A14747AA-D194-4CFA-B36F-9640B0D50D34}" name="Column13182"/>
    <tableColumn id="13186" xr3:uid="{CE39AC1E-0DD1-4F60-8D40-3CC658660D2A}" name="Column13183"/>
    <tableColumn id="13187" xr3:uid="{39BB58C7-E215-48A6-8B8D-86661EECE986}" name="Column13184"/>
    <tableColumn id="13188" xr3:uid="{9F4D5525-3EAE-4306-AF64-5283589733D5}" name="Column13185"/>
    <tableColumn id="13189" xr3:uid="{CED915E3-69E3-48B9-BED2-3C8EA2E1D196}" name="Column13186"/>
    <tableColumn id="13190" xr3:uid="{B80145B5-A261-4ECF-81B3-D5C3D6009E14}" name="Column13187"/>
    <tableColumn id="13191" xr3:uid="{1EB68E69-285A-403F-93F2-83F9B683BD6A}" name="Column13188"/>
    <tableColumn id="13192" xr3:uid="{1CE71284-64D6-40E7-BBEB-0FED262B282A}" name="Column13189"/>
    <tableColumn id="13193" xr3:uid="{C1FFC5D2-F35B-4BA9-8DD6-710672B1D918}" name="Column13190"/>
    <tableColumn id="13194" xr3:uid="{4364BD0E-2DF0-44E1-9569-C0319CE6B660}" name="Column13191"/>
    <tableColumn id="13195" xr3:uid="{AC2CDD04-2AD6-4CE0-BFA0-51BD1DEB28DA}" name="Column13192"/>
    <tableColumn id="13196" xr3:uid="{E88698E4-FB85-4FA6-94DA-8626C10C258A}" name="Column13193"/>
    <tableColumn id="13197" xr3:uid="{0BC0A5A0-26F4-4DE1-993E-771D0C752DB0}" name="Column13194"/>
    <tableColumn id="13198" xr3:uid="{7311C3AE-5456-4183-BBAB-B8944B8CA624}" name="Column13195"/>
    <tableColumn id="13199" xr3:uid="{5FEF014B-286D-4422-A87B-C1B39B1A6113}" name="Column13196"/>
    <tableColumn id="13200" xr3:uid="{7220AD7B-F309-4ED8-92B2-25AEF17A1582}" name="Column13197"/>
    <tableColumn id="13201" xr3:uid="{ECA90068-F40A-4ED3-8E39-8105A4DF33D5}" name="Column13198"/>
    <tableColumn id="13202" xr3:uid="{B62903C7-3624-4D5D-A40C-07175FB5388E}" name="Column13199"/>
    <tableColumn id="13203" xr3:uid="{71DADA44-754F-471A-9D7F-C65154637DB3}" name="Column13200"/>
    <tableColumn id="13204" xr3:uid="{2FF8973C-BD84-4B86-97B1-EF54B7C4BBEB}" name="Column13201"/>
    <tableColumn id="13205" xr3:uid="{539444EA-A626-4AD4-9421-BE121822F818}" name="Column13202"/>
    <tableColumn id="13206" xr3:uid="{0B63AC9B-0DC1-4893-B972-8A489BF60984}" name="Column13203"/>
    <tableColumn id="13207" xr3:uid="{22AF64FE-121B-412C-BF13-845D46E81B5C}" name="Column13204"/>
    <tableColumn id="13208" xr3:uid="{F44B6F57-F2EF-4E1A-BBD8-866C372AADF3}" name="Column13205"/>
    <tableColumn id="13209" xr3:uid="{7D01392D-EDD0-424A-8143-E4BA70E1041B}" name="Column13206"/>
    <tableColumn id="13210" xr3:uid="{EB65795C-03DF-484F-8CD6-07840F77F74A}" name="Column13207"/>
    <tableColumn id="13211" xr3:uid="{E995E16C-467C-4CBF-89E7-40284158B75C}" name="Column13208"/>
    <tableColumn id="13212" xr3:uid="{9444E32F-A707-4268-8173-50D7E2F14EF0}" name="Column13209"/>
    <tableColumn id="13213" xr3:uid="{651515AD-C5BD-4732-B2E9-F3AB2DD812FF}" name="Column13210"/>
    <tableColumn id="13214" xr3:uid="{899CFCEE-2D3F-445B-B2CB-90E583F7A386}" name="Column13211"/>
    <tableColumn id="13215" xr3:uid="{D5AE0C73-D847-4DE0-B398-A1D4E28C3BE9}" name="Column13212"/>
    <tableColumn id="13216" xr3:uid="{EA41A193-B3D8-4106-A6EE-7D95AAFBE5F0}" name="Column13213"/>
    <tableColumn id="13217" xr3:uid="{AACCBFE0-BEFC-4BCE-96EF-D9952412E2BA}" name="Column13214"/>
    <tableColumn id="13218" xr3:uid="{86E38134-EA81-4C97-99A3-F02BB0F6AB69}" name="Column13215"/>
    <tableColumn id="13219" xr3:uid="{4C6AD63A-AED5-4138-B2D4-2C5ED9E63FD7}" name="Column13216"/>
    <tableColumn id="13220" xr3:uid="{456C4B10-B9CB-4988-8DD3-121A510A3DF0}" name="Column13217"/>
    <tableColumn id="13221" xr3:uid="{48738570-A9E4-498C-AFD7-3A7FE2BC50A3}" name="Column13218"/>
    <tableColumn id="13222" xr3:uid="{6BE3AFE9-8CBA-4F58-8F60-9E5D251B411F}" name="Column13219"/>
    <tableColumn id="13223" xr3:uid="{BB9BB386-DE50-4091-B887-239AA95FEA1E}" name="Column13220"/>
    <tableColumn id="13224" xr3:uid="{34E29FB9-7A37-46DD-A5AC-46CA813470F6}" name="Column13221"/>
    <tableColumn id="13225" xr3:uid="{F3AE635B-5AC3-4D1A-BB7B-E5510DFAC532}" name="Column13222"/>
    <tableColumn id="13226" xr3:uid="{5CCBBA09-6B07-4C34-A0CE-35FF86A8C0B6}" name="Column13223"/>
    <tableColumn id="13227" xr3:uid="{D26D5CE2-936D-47B8-9F82-EC55BAF2830F}" name="Column13224"/>
    <tableColumn id="13228" xr3:uid="{FC95177D-D42C-45EA-84DC-FAD13FD611C9}" name="Column13225"/>
    <tableColumn id="13229" xr3:uid="{EB42D991-30A5-4FC3-842A-F59A6F23DC8B}" name="Column13226"/>
    <tableColumn id="13230" xr3:uid="{5FEDDAFA-02CD-414D-ABEC-C6B40924D49F}" name="Column13227"/>
    <tableColumn id="13231" xr3:uid="{17D9A369-6283-4D55-9E4A-6E3DC2ED410D}" name="Column13228"/>
    <tableColumn id="13232" xr3:uid="{0B73CBAE-067D-4162-A8E0-085BF17ADC11}" name="Column13229"/>
    <tableColumn id="13233" xr3:uid="{B434A4A6-3CF3-4F30-B9E3-E84D4FCBBF34}" name="Column13230"/>
    <tableColumn id="13234" xr3:uid="{6417E721-AE6D-4664-B0E8-BA664314DA2D}" name="Column13231"/>
    <tableColumn id="13235" xr3:uid="{A633E8B5-8F46-4992-B62E-5D9A665F958F}" name="Column13232"/>
    <tableColumn id="13236" xr3:uid="{2B39B77C-99CF-4EF2-B6DA-592CD526E2B3}" name="Column13233"/>
    <tableColumn id="13237" xr3:uid="{17AE1AF0-1C7D-480C-9B5B-90E62EA45916}" name="Column13234"/>
    <tableColumn id="13238" xr3:uid="{5CDB5C31-BF71-4063-BE8A-7DEF107A6CE9}" name="Column13235"/>
    <tableColumn id="13239" xr3:uid="{B8BF96AF-4C06-42E0-995A-BDCE1A8737C7}" name="Column13236"/>
    <tableColumn id="13240" xr3:uid="{E43D4995-78B5-4225-A909-D923E12D294E}" name="Column13237"/>
    <tableColumn id="13241" xr3:uid="{8DF98237-56C7-4EB1-85EF-CC4DF16395D3}" name="Column13238"/>
    <tableColumn id="13242" xr3:uid="{BBF8354D-AC37-41D2-8D20-4E1296C9FAB5}" name="Column13239"/>
    <tableColumn id="13243" xr3:uid="{2198B409-E26C-4EDD-A488-220FB8ECAA76}" name="Column13240"/>
    <tableColumn id="13244" xr3:uid="{1E513A0B-1018-4DCB-96B7-138EEF809750}" name="Column13241"/>
    <tableColumn id="13245" xr3:uid="{3A58A23A-F0DC-4FA3-A94A-460BF1880FA4}" name="Column13242"/>
    <tableColumn id="13246" xr3:uid="{41E15BF6-B115-4304-BD9A-804C0A0A5CFB}" name="Column13243"/>
    <tableColumn id="13247" xr3:uid="{9C207223-5EBF-427D-95F9-02E193CDA399}" name="Column13244"/>
    <tableColumn id="13248" xr3:uid="{489A9E10-4F2C-459A-AB6C-65010D879D1C}" name="Column13245"/>
    <tableColumn id="13249" xr3:uid="{27E4E010-CF1C-4DCF-9772-F5061D9EFCFC}" name="Column13246"/>
    <tableColumn id="13250" xr3:uid="{72426ED7-5A14-4304-9EA2-952D796DE374}" name="Column13247"/>
    <tableColumn id="13251" xr3:uid="{B6E55F99-2C4B-40C6-A262-8BA46507805A}" name="Column13248"/>
    <tableColumn id="13252" xr3:uid="{3ED889AC-5CA2-46EB-B78D-59BB77441DA1}" name="Column13249"/>
    <tableColumn id="13253" xr3:uid="{CF546AD5-0DBC-4114-8027-F30BEE5ED49B}" name="Column13250"/>
    <tableColumn id="13254" xr3:uid="{69F42BF8-94EF-442A-AE65-D2413D70C855}" name="Column13251"/>
    <tableColumn id="13255" xr3:uid="{2D37CC46-2881-42B8-8A35-9340EC97DAEB}" name="Column13252"/>
    <tableColumn id="13256" xr3:uid="{3BD66B2C-EEE8-49E5-8300-42914A5D9CEA}" name="Column13253"/>
    <tableColumn id="13257" xr3:uid="{C1B170DA-6E8F-498E-967C-91684FFC446A}" name="Column13254"/>
    <tableColumn id="13258" xr3:uid="{B58BF62A-F14F-439B-B8A0-C39A4092A8C5}" name="Column13255"/>
    <tableColumn id="13259" xr3:uid="{4E7C3A4F-9BFB-4A79-8605-38154C1882FF}" name="Column13256"/>
    <tableColumn id="13260" xr3:uid="{18D5CFC3-8241-4855-8F96-92D58BC41E50}" name="Column13257"/>
    <tableColumn id="13261" xr3:uid="{5EB0B3C8-4504-4B19-813C-6A45C3CB0E1E}" name="Column13258"/>
    <tableColumn id="13262" xr3:uid="{7B918CFB-8068-407E-915E-9F3E9ACE3BC6}" name="Column13259"/>
    <tableColumn id="13263" xr3:uid="{F6A5B046-7059-4662-B6A4-7100C0950480}" name="Column13260"/>
    <tableColumn id="13264" xr3:uid="{D0EBB17B-E88D-488B-87FC-678CF54EBF74}" name="Column13261"/>
    <tableColumn id="13265" xr3:uid="{D4457C25-94F4-4512-9958-D44D83C0B743}" name="Column13262"/>
    <tableColumn id="13266" xr3:uid="{1C7C5F3B-B3DF-455A-AE08-694954C0ACA8}" name="Column13263"/>
    <tableColumn id="13267" xr3:uid="{E542ABD9-B926-4AF5-9A40-9B28C1BB3EA2}" name="Column13264"/>
    <tableColumn id="13268" xr3:uid="{5B6B2EB9-5DEE-4625-AC85-7D5AEE1103FA}" name="Column13265"/>
    <tableColumn id="13269" xr3:uid="{72F5A948-2412-475F-89A2-4753D58EEBD3}" name="Column13266"/>
    <tableColumn id="13270" xr3:uid="{CD2B6464-6B80-4599-A2F8-696117353965}" name="Column13267"/>
    <tableColumn id="13271" xr3:uid="{ABA7A44C-3F0B-4C75-A91A-BFFAD1169892}" name="Column13268"/>
    <tableColumn id="13272" xr3:uid="{695DF6B2-6FA7-418F-B780-1A861AF7E8E0}" name="Column13269"/>
    <tableColumn id="13273" xr3:uid="{394FF617-BF52-4627-9A56-D0656767A6D8}" name="Column13270"/>
    <tableColumn id="13274" xr3:uid="{62BB0CAD-025B-4A21-A3DC-09838E1BB5FE}" name="Column13271"/>
    <tableColumn id="13275" xr3:uid="{5896B9DE-D884-4ABB-8119-2725FEC4E4A6}" name="Column13272"/>
    <tableColumn id="13276" xr3:uid="{55F445DA-E4C1-482E-BFF2-EAF31412BDF2}" name="Column13273"/>
    <tableColumn id="13277" xr3:uid="{8B7B8E4B-5924-4E5E-875C-9750F98A8E3C}" name="Column13274"/>
    <tableColumn id="13278" xr3:uid="{8DB81167-EC17-4344-96A8-7BB8537FBBAA}" name="Column13275"/>
    <tableColumn id="13279" xr3:uid="{B4C97C24-805A-491F-963C-1BB176D156A0}" name="Column13276"/>
    <tableColumn id="13280" xr3:uid="{E7FF80EC-6879-4D0A-A62D-428317CF5FF7}" name="Column13277"/>
    <tableColumn id="13281" xr3:uid="{446D2014-4F21-4B27-A21C-9810AA967378}" name="Column13278"/>
    <tableColumn id="13282" xr3:uid="{46A611B4-A3A5-45D5-8F37-C1E8E3788B00}" name="Column13279"/>
    <tableColumn id="13283" xr3:uid="{A4AFDBAD-7551-48AE-AA34-63A64694D7E0}" name="Column13280"/>
    <tableColumn id="13284" xr3:uid="{143F8D72-C05C-4ECE-BEE3-FB0BA0FAAAD5}" name="Column13281"/>
    <tableColumn id="13285" xr3:uid="{008C55DC-28B0-4752-B8BF-0EDC219A5315}" name="Column13282"/>
    <tableColumn id="13286" xr3:uid="{B6EF4971-AF94-49CE-8169-2F5AAAA70A62}" name="Column13283"/>
    <tableColumn id="13287" xr3:uid="{E2A9817D-EFB7-4BBD-ADD2-9BC2B2CDFFF5}" name="Column13284"/>
    <tableColumn id="13288" xr3:uid="{E18BBD0D-B3B0-4FFE-8A41-EA4D6350325A}" name="Column13285"/>
    <tableColumn id="13289" xr3:uid="{E72081B2-17B9-43E1-89F1-B402067CB799}" name="Column13286"/>
    <tableColumn id="13290" xr3:uid="{302E015B-453E-412A-9E4E-F0686B8C308C}" name="Column13287"/>
    <tableColumn id="13291" xr3:uid="{1E38EA6C-D98A-4B8B-8C6D-026E6A3730A5}" name="Column13288"/>
    <tableColumn id="13292" xr3:uid="{851AFD6B-9F92-4B31-AAC9-A7847BA95B59}" name="Column13289"/>
    <tableColumn id="13293" xr3:uid="{E707EB6C-6FF4-4BF1-9568-C7BF9DA75CB1}" name="Column13290"/>
    <tableColumn id="13294" xr3:uid="{9368F198-220A-4D15-9D46-BDD279EEC3E7}" name="Column13291"/>
    <tableColumn id="13295" xr3:uid="{6E643F80-D692-4C23-8A9B-115F3E846136}" name="Column13292"/>
    <tableColumn id="13296" xr3:uid="{48917701-6C6C-4639-AE31-276457AA39A7}" name="Column13293"/>
    <tableColumn id="13297" xr3:uid="{A16E9760-B2B5-4214-AD33-A2E2B5AD3E5F}" name="Column13294"/>
    <tableColumn id="13298" xr3:uid="{64225882-CF69-4707-A5C8-93A648E43557}" name="Column13295"/>
    <tableColumn id="13299" xr3:uid="{FBDD355B-6732-4766-8739-A57E797BF363}" name="Column13296"/>
    <tableColumn id="13300" xr3:uid="{61491266-85DF-4F78-B811-980EFF703BFF}" name="Column13297"/>
    <tableColumn id="13301" xr3:uid="{A894C587-F37F-4FB2-AB17-D66C6955B751}" name="Column13298"/>
    <tableColumn id="13302" xr3:uid="{5A6A5F37-F52A-4444-94B6-B4D5950E64B2}" name="Column13299"/>
    <tableColumn id="13303" xr3:uid="{6E3E612D-AFD3-4712-A259-55766ABAE568}" name="Column13300"/>
    <tableColumn id="13304" xr3:uid="{07B7E5EE-3FBA-469A-BAF2-E88A99BD9F0A}" name="Column13301"/>
    <tableColumn id="13305" xr3:uid="{1B944B2C-615F-4A25-909A-A25E8D4E38EA}" name="Column13302"/>
    <tableColumn id="13306" xr3:uid="{5843ACF8-4594-4323-8B14-0867A8FF9AFE}" name="Column13303"/>
    <tableColumn id="13307" xr3:uid="{E60FC3C3-E709-4381-AE5F-8E1B710AEE57}" name="Column13304"/>
    <tableColumn id="13308" xr3:uid="{0A707FC8-EFA7-470F-AFF7-994B429D0548}" name="Column13305"/>
    <tableColumn id="13309" xr3:uid="{1F6FB7F2-A92C-4672-9CCE-4067682C191B}" name="Column13306"/>
    <tableColumn id="13310" xr3:uid="{1CC215CC-D301-40BC-ADA4-5541048AC4BD}" name="Column13307"/>
    <tableColumn id="13311" xr3:uid="{6E2602C1-7F16-450D-932D-DA869AF774A5}" name="Column13308"/>
    <tableColumn id="13312" xr3:uid="{40207946-0487-40EF-AD36-20667E7EBC0D}" name="Column13309"/>
    <tableColumn id="13313" xr3:uid="{880531F1-0F9D-409B-87BD-6100D28C66A8}" name="Column13310"/>
    <tableColumn id="13314" xr3:uid="{A3EA4078-3785-43C0-A773-E29F2A6391EE}" name="Column13311"/>
    <tableColumn id="13315" xr3:uid="{AC81019F-3677-4D96-8FD2-87828ECDC5F8}" name="Column13312"/>
    <tableColumn id="13316" xr3:uid="{253073CB-8456-46AF-B871-09E8543F06AF}" name="Column13313"/>
    <tableColumn id="13317" xr3:uid="{6C5871FA-A617-47C2-9165-FC124DB56384}" name="Column13314"/>
    <tableColumn id="13318" xr3:uid="{BF7E195B-11B0-4307-BBE7-0F16BED1CDF4}" name="Column13315"/>
    <tableColumn id="13319" xr3:uid="{7E50466A-4CE1-4CCF-80E3-45918640345E}" name="Column13316"/>
    <tableColumn id="13320" xr3:uid="{EBDC10A4-80A8-49D5-A2FA-9B9C253E621C}" name="Column13317"/>
    <tableColumn id="13321" xr3:uid="{D4AB163A-E4C9-481E-AF81-0E10E1597254}" name="Column13318"/>
    <tableColumn id="13322" xr3:uid="{A7DEA7D0-EBB5-47E7-829E-18FDB7D305DA}" name="Column13319"/>
    <tableColumn id="13323" xr3:uid="{139B9AFB-6669-49BB-80F2-E946FC9EF40E}" name="Column13320"/>
    <tableColumn id="13324" xr3:uid="{5F7369EB-EB25-4508-8EDB-6DBFBDD94BA0}" name="Column13321"/>
    <tableColumn id="13325" xr3:uid="{FCF226F1-141A-4386-BFF3-A86E4A627B21}" name="Column13322"/>
    <tableColumn id="13326" xr3:uid="{F73E3F78-1CD6-407F-88F6-E4E83F4215FC}" name="Column13323"/>
    <tableColumn id="13327" xr3:uid="{7CE11B10-601B-41A3-9919-6A6A36A922AE}" name="Column13324"/>
    <tableColumn id="13328" xr3:uid="{B283A1D1-5232-449B-94F1-48F1DEBE175F}" name="Column13325"/>
    <tableColumn id="13329" xr3:uid="{37962272-DD59-48F9-BB83-23B1C330ACFD}" name="Column13326"/>
    <tableColumn id="13330" xr3:uid="{8DF433F2-6EB0-4697-8737-EAAF45BCDF15}" name="Column13327"/>
    <tableColumn id="13331" xr3:uid="{EF01EAA9-5FC7-4C96-B99B-0DF8041989DE}" name="Column13328"/>
    <tableColumn id="13332" xr3:uid="{7FB719F6-C6C3-4666-BB54-71C2694151A2}" name="Column13329"/>
    <tableColumn id="13333" xr3:uid="{FA6924A4-E7A9-4622-881F-73ACEFBC6B58}" name="Column13330"/>
    <tableColumn id="13334" xr3:uid="{D399CB4C-DD4F-4C13-B6EA-9079850A83CD}" name="Column13331"/>
    <tableColumn id="13335" xr3:uid="{6917DA47-8841-4C58-B8EF-235BCBD2C217}" name="Column13332"/>
    <tableColumn id="13336" xr3:uid="{8DB5C847-3C5F-4598-9668-8944D4818927}" name="Column13333"/>
    <tableColumn id="13337" xr3:uid="{855F9A63-982C-4BFC-9FB9-5D73468726F4}" name="Column13334"/>
    <tableColumn id="13338" xr3:uid="{24D29BD8-3F94-44F9-9E7E-D46627F60D82}" name="Column13335"/>
    <tableColumn id="13339" xr3:uid="{66494EDB-F99C-4E4D-82B8-E71CDB8ABFF5}" name="Column13336"/>
    <tableColumn id="13340" xr3:uid="{24D2E258-7E91-4256-97A5-D051A18476AA}" name="Column13337"/>
    <tableColumn id="13341" xr3:uid="{BCD693E0-FAFD-425E-AF28-3133D8BC8493}" name="Column13338"/>
    <tableColumn id="13342" xr3:uid="{7D4D281C-7C83-4217-9404-C46F5A969C6A}" name="Column13339"/>
    <tableColumn id="13343" xr3:uid="{1BAE892E-2148-427C-B726-8AAB623E3992}" name="Column13340"/>
    <tableColumn id="13344" xr3:uid="{A2498F77-70B7-4D90-AB2E-868D3B21CA7B}" name="Column13341"/>
    <tableColumn id="13345" xr3:uid="{A61A0649-5710-4110-A1D9-137D0FC951F9}" name="Column13342"/>
    <tableColumn id="13346" xr3:uid="{F0BA6AED-7538-4FE2-9D6B-12A2E82E65A5}" name="Column13343"/>
    <tableColumn id="13347" xr3:uid="{266E906A-EB95-4160-B2E0-27E36ACD494D}" name="Column13344"/>
    <tableColumn id="13348" xr3:uid="{06A3D282-C92A-4D3D-BE10-2DD0076CF250}" name="Column13345"/>
    <tableColumn id="13349" xr3:uid="{D1FA096C-6B58-46EA-AE50-A27F39A8D630}" name="Column13346"/>
    <tableColumn id="13350" xr3:uid="{7F1EAEBB-9422-4105-878D-2362C9168D7D}" name="Column13347"/>
    <tableColumn id="13351" xr3:uid="{679B3023-BF92-490F-8B99-56C0459BF9BA}" name="Column13348"/>
    <tableColumn id="13352" xr3:uid="{D19CA7EA-79D5-424A-9B6D-DD985EE99B92}" name="Column13349"/>
    <tableColumn id="13353" xr3:uid="{E3D74B2A-B071-4A36-856E-1A0414D04068}" name="Column13350"/>
    <tableColumn id="13354" xr3:uid="{20ABAD0A-7C7D-4D1E-A542-7648BC442554}" name="Column13351"/>
    <tableColumn id="13355" xr3:uid="{9D653655-EE87-4001-9C9D-4C9F1079F91D}" name="Column13352"/>
    <tableColumn id="13356" xr3:uid="{C167EC9A-310C-432A-96A3-76C4DE53B2E5}" name="Column13353"/>
    <tableColumn id="13357" xr3:uid="{23DF4A4F-A479-487A-ABEA-BEE1CB320D4C}" name="Column13354"/>
    <tableColumn id="13358" xr3:uid="{C402528A-779F-4B4B-830A-982034825260}" name="Column13355"/>
    <tableColumn id="13359" xr3:uid="{047AEEB0-2722-44BD-AD66-07CA16934945}" name="Column13356"/>
    <tableColumn id="13360" xr3:uid="{DEB90374-CA4E-49DB-AD85-34022CE13DBE}" name="Column13357"/>
    <tableColumn id="13361" xr3:uid="{08CB9849-BA7B-4CC7-BD78-F85951A93663}" name="Column13358"/>
    <tableColumn id="13362" xr3:uid="{89C4A504-0D9B-4390-A9FE-522B2A646BDE}" name="Column13359"/>
    <tableColumn id="13363" xr3:uid="{50F23839-9FF9-4260-918E-11D60B948971}" name="Column13360"/>
    <tableColumn id="13364" xr3:uid="{B1E3430B-5BCD-4CD4-BA48-8C23B4445299}" name="Column13361"/>
    <tableColumn id="13365" xr3:uid="{F31CD1E9-A372-4011-8433-C031DD55A9CC}" name="Column13362"/>
    <tableColumn id="13366" xr3:uid="{9ED181EF-871E-4B33-B1A1-337B33356655}" name="Column13363"/>
    <tableColumn id="13367" xr3:uid="{881145D1-CB2F-4DC3-9D7C-12CC1FD37D9A}" name="Column13364"/>
    <tableColumn id="13368" xr3:uid="{65B83651-4918-49E2-BFD8-63A28A7D7BE5}" name="Column13365"/>
    <tableColumn id="13369" xr3:uid="{1B0B015C-0598-4C71-BC64-3835FB0C09D3}" name="Column13366"/>
    <tableColumn id="13370" xr3:uid="{A2B59E96-B36A-4C79-8F80-71092E82E7DB}" name="Column13367"/>
    <tableColumn id="13371" xr3:uid="{F8E0BF82-11FB-4197-B58A-497C6CAC3E6B}" name="Column13368"/>
    <tableColumn id="13372" xr3:uid="{7F26478E-48CB-4456-9445-4CCDCA545688}" name="Column13369"/>
    <tableColumn id="13373" xr3:uid="{06F71DEE-F91E-46D3-9514-D0A8D45F0021}" name="Column13370"/>
    <tableColumn id="13374" xr3:uid="{766BD12A-BB0C-4A37-8E4D-00C8C04013E4}" name="Column13371"/>
    <tableColumn id="13375" xr3:uid="{0EF5458E-284D-4A0F-B7E3-F435FBA058D0}" name="Column13372"/>
    <tableColumn id="13376" xr3:uid="{32D3D1AA-3C41-4610-BE12-C9CA4240B6B0}" name="Column13373"/>
    <tableColumn id="13377" xr3:uid="{2F3ADD22-0920-456A-B8F8-6D99C9C95E3A}" name="Column13374"/>
    <tableColumn id="13378" xr3:uid="{93D71DF7-E001-43D0-9486-56F7DDA8DD76}" name="Column13375"/>
    <tableColumn id="13379" xr3:uid="{A9B6A47E-65DB-4530-8379-2C51A701B18A}" name="Column13376"/>
    <tableColumn id="13380" xr3:uid="{713AFD9F-8773-41C4-883B-E2C8BAAA211B}" name="Column13377"/>
    <tableColumn id="13381" xr3:uid="{74455FC8-5E7C-4952-BBE2-9834F63212B6}" name="Column13378"/>
    <tableColumn id="13382" xr3:uid="{5CF71844-69B5-4AFD-A010-474AFD1604A8}" name="Column13379"/>
    <tableColumn id="13383" xr3:uid="{52065A4A-FCD2-443B-816A-689741E8AEDD}" name="Column13380"/>
    <tableColumn id="13384" xr3:uid="{7CBD9C39-AE34-43B0-8DD6-91B1514F7452}" name="Column13381"/>
    <tableColumn id="13385" xr3:uid="{3E3C9314-0EA7-4644-91CD-292207DAA58C}" name="Column13382"/>
    <tableColumn id="13386" xr3:uid="{DBED4EB3-E437-45A4-AD6B-795C6F0F1E9B}" name="Column13383"/>
    <tableColumn id="13387" xr3:uid="{651923B3-E725-4EB1-A2BF-AB69C986D851}" name="Column13384"/>
    <tableColumn id="13388" xr3:uid="{1224550E-7462-4F3C-B95F-E9284A76B228}" name="Column13385"/>
    <tableColumn id="13389" xr3:uid="{BB9D4462-8F17-44D0-9226-15B653EB110E}" name="Column13386"/>
    <tableColumn id="13390" xr3:uid="{4215AAC9-44A4-4B09-9A2C-7AB3B3EB4BB2}" name="Column13387"/>
    <tableColumn id="13391" xr3:uid="{F4726DBA-3A28-4312-AD0E-CCA7D7B1C7F6}" name="Column13388"/>
    <tableColumn id="13392" xr3:uid="{9548451B-C3E0-4E13-82DC-BA75A294A79E}" name="Column13389"/>
    <tableColumn id="13393" xr3:uid="{F8F0E456-B47A-4781-9CD5-9764E86EF58E}" name="Column13390"/>
    <tableColumn id="13394" xr3:uid="{DE02E9B7-AC35-40E7-8209-5031A0A30C12}" name="Column13391"/>
    <tableColumn id="13395" xr3:uid="{0EF46992-FE7E-451E-A74F-595792B8662C}" name="Column13392"/>
    <tableColumn id="13396" xr3:uid="{7FA48BF2-566C-4E14-BCB5-2785D12D0276}" name="Column13393"/>
    <tableColumn id="13397" xr3:uid="{A142AAC0-DD78-43FE-9B88-AAC5428D0ECF}" name="Column13394"/>
    <tableColumn id="13398" xr3:uid="{29DCFA69-7144-4354-92E0-DD61309980DC}" name="Column13395"/>
    <tableColumn id="13399" xr3:uid="{3C0B20E6-12BF-4BED-B1F6-1C799CA37BC1}" name="Column13396"/>
    <tableColumn id="13400" xr3:uid="{C6C3EA89-A73B-4FA9-AE66-15CD5AF5694C}" name="Column13397"/>
    <tableColumn id="13401" xr3:uid="{224A48DE-B47F-40F2-81D4-984321BCC37D}" name="Column13398"/>
    <tableColumn id="13402" xr3:uid="{B67FEBE4-6A1E-44D5-892E-2AAB6A6F4DB0}" name="Column13399"/>
    <tableColumn id="13403" xr3:uid="{98CC4BA4-66CD-4F23-B6D6-C63F6FFA8A9C}" name="Column13400"/>
    <tableColumn id="13404" xr3:uid="{53126912-CDDB-45FE-A380-54D26B0F29B8}" name="Column13401"/>
    <tableColumn id="13405" xr3:uid="{56C50C74-91E4-4C01-9584-6B49E104A94C}" name="Column13402"/>
    <tableColumn id="13406" xr3:uid="{BA311CF0-F196-4D57-9B24-AEBA36435007}" name="Column13403"/>
    <tableColumn id="13407" xr3:uid="{15FFCDC5-3283-416F-9718-6F082275B5BE}" name="Column13404"/>
    <tableColumn id="13408" xr3:uid="{A9FC7632-1A07-4D7B-8B2B-3BBCB1CD293C}" name="Column13405"/>
    <tableColumn id="13409" xr3:uid="{1BFBC7FB-797D-4461-9826-D305863444FE}" name="Column13406"/>
    <tableColumn id="13410" xr3:uid="{BCA982BD-EAB9-4711-A313-030C092E914A}" name="Column13407"/>
    <tableColumn id="13411" xr3:uid="{359EA413-AA9F-4E11-9F1E-A8D55C2E603F}" name="Column13408"/>
    <tableColumn id="13412" xr3:uid="{068243EE-66E1-4DCB-AEB6-F035F44B9F87}" name="Column13409"/>
    <tableColumn id="13413" xr3:uid="{5812CC89-44DB-4E92-A148-488DFD0370B9}" name="Column13410"/>
    <tableColumn id="13414" xr3:uid="{EE91464C-8700-4515-8087-329EAF585347}" name="Column13411"/>
    <tableColumn id="13415" xr3:uid="{A5F506AB-FE09-4E61-BF11-6E7E8CD4AD2B}" name="Column13412"/>
    <tableColumn id="13416" xr3:uid="{FC508C10-D73E-4B3F-AFF8-717293C64115}" name="Column13413"/>
    <tableColumn id="13417" xr3:uid="{70986C2C-5C1D-4771-AE20-28132061AC57}" name="Column13414"/>
    <tableColumn id="13418" xr3:uid="{CD6D8D2D-A520-446D-9B0E-F54AD6E0ED23}" name="Column13415"/>
    <tableColumn id="13419" xr3:uid="{20B7EAE8-45EA-49B9-95FB-F28D5656AA2A}" name="Column13416"/>
    <tableColumn id="13420" xr3:uid="{62313368-321C-4625-98DC-B36D10D2BC9C}" name="Column13417"/>
    <tableColumn id="13421" xr3:uid="{0EAF96DF-6973-41D8-A219-1F0F6EEE284B}" name="Column13418"/>
    <tableColumn id="13422" xr3:uid="{AD9BEA5F-C7BA-4E1A-BACA-75CDC1900B95}" name="Column13419"/>
    <tableColumn id="13423" xr3:uid="{B27761C3-6C26-4C16-8905-F09D4C356FD9}" name="Column13420"/>
    <tableColumn id="13424" xr3:uid="{EA85DC16-9F01-424A-A2A0-C5C1ACA05BFF}" name="Column13421"/>
    <tableColumn id="13425" xr3:uid="{999F15BB-E189-4661-8E66-60DF9DA0EB31}" name="Column13422"/>
    <tableColumn id="13426" xr3:uid="{AC87C514-F3C9-4B69-95A8-1E80653E6CA9}" name="Column13423"/>
    <tableColumn id="13427" xr3:uid="{458E0CFE-DA1F-4CF4-8B83-C87599CCAF8C}" name="Column13424"/>
    <tableColumn id="13428" xr3:uid="{B874F33B-9A7D-44B3-B8E3-8DC8E90DA961}" name="Column13425"/>
    <tableColumn id="13429" xr3:uid="{E9ED66FF-5933-4551-89F8-CD0FAEFD2FA0}" name="Column13426"/>
    <tableColumn id="13430" xr3:uid="{96340454-4CCC-4D44-BC2A-C020E1F73937}" name="Column13427"/>
    <tableColumn id="13431" xr3:uid="{134D1239-7951-4BC0-827E-571AABEE9330}" name="Column13428"/>
    <tableColumn id="13432" xr3:uid="{C8F5B338-2074-468A-ABEF-16A084DAD9C3}" name="Column13429"/>
    <tableColumn id="13433" xr3:uid="{8436E6A9-B209-423F-90BF-DDF9C2D184B2}" name="Column13430"/>
    <tableColumn id="13434" xr3:uid="{BBA9A097-A029-4FE7-BF9D-C01D38A9F34A}" name="Column13431"/>
    <tableColumn id="13435" xr3:uid="{C450272C-0D42-41BA-B63F-8F5D0F459A52}" name="Column13432"/>
    <tableColumn id="13436" xr3:uid="{C7A08E99-F830-4055-B02F-3361FB8D5B52}" name="Column13433"/>
    <tableColumn id="13437" xr3:uid="{EEDC400D-B4D6-4DDD-938D-AC2F7A6B7A1C}" name="Column13434"/>
    <tableColumn id="13438" xr3:uid="{43966EEE-E5A5-4F54-B004-71DB93996863}" name="Column13435"/>
    <tableColumn id="13439" xr3:uid="{117BBBCE-1224-435A-862F-DDCF72AF8635}" name="Column13436"/>
    <tableColumn id="13440" xr3:uid="{05A4C871-3671-49A0-AD88-A5484CAABB6F}" name="Column13437"/>
    <tableColumn id="13441" xr3:uid="{7DE01856-4E5F-45B9-BD1E-2AF046D476E9}" name="Column13438"/>
    <tableColumn id="13442" xr3:uid="{5DC9E7FA-9429-49B6-B4AB-4521B393240B}" name="Column13439"/>
    <tableColumn id="13443" xr3:uid="{FB1893E2-D9A7-4527-8A70-F61605A85666}" name="Column13440"/>
    <tableColumn id="13444" xr3:uid="{EEB0CCD3-A0F6-482D-87CF-B715D3340245}" name="Column13441"/>
    <tableColumn id="13445" xr3:uid="{F5F8C05F-92B9-49D9-AEF4-1003CF01B8D9}" name="Column13442"/>
    <tableColumn id="13446" xr3:uid="{ECF51A5E-1A25-4CDF-B52E-7A1EDCE72EE5}" name="Column13443"/>
    <tableColumn id="13447" xr3:uid="{7D526E71-84DB-4B4B-9215-1A6336C72E12}" name="Column13444"/>
    <tableColumn id="13448" xr3:uid="{7060F77C-C163-4109-85E4-CB5E1C82050F}" name="Column13445"/>
    <tableColumn id="13449" xr3:uid="{800B2F98-3D7B-4D29-B2F2-96296326635C}" name="Column13446"/>
    <tableColumn id="13450" xr3:uid="{BF8CC4B8-950B-448C-AED2-FF218CE6AEE0}" name="Column13447"/>
    <tableColumn id="13451" xr3:uid="{E003B2ED-BB24-4E68-8BAC-D2001CAFC103}" name="Column13448"/>
    <tableColumn id="13452" xr3:uid="{7934E166-26BB-4B05-8138-DFA9A80450B9}" name="Column13449"/>
    <tableColumn id="13453" xr3:uid="{B03BDE6D-E76F-4B12-B07E-D66A3B0FEAF8}" name="Column13450"/>
    <tableColumn id="13454" xr3:uid="{2547D4CE-0155-4656-8607-762B2B2B01CD}" name="Column13451"/>
    <tableColumn id="13455" xr3:uid="{367AA5F7-7607-440F-BC47-2C8C51C25CAA}" name="Column13452"/>
    <tableColumn id="13456" xr3:uid="{5F9BDF3A-F7DA-4C3A-90F8-21EB18CD5EB2}" name="Column13453"/>
    <tableColumn id="13457" xr3:uid="{C5EB10E1-D1E4-43DF-812A-3CB5FA9B22CF}" name="Column13454"/>
    <tableColumn id="13458" xr3:uid="{BAA61F48-E69B-4722-BB59-CB94B42BDBAA}" name="Column13455"/>
    <tableColumn id="13459" xr3:uid="{5F4E3525-AFC9-462D-9468-426AC6C20B2A}" name="Column13456"/>
    <tableColumn id="13460" xr3:uid="{8505D256-0D80-4E62-9513-086DF303FFFF}" name="Column13457"/>
    <tableColumn id="13461" xr3:uid="{8E1B6C32-8070-46EA-8CDD-CA2ABAE6C4D4}" name="Column13458"/>
    <tableColumn id="13462" xr3:uid="{2A165969-4E08-41D2-A9DB-82C1E3FABD95}" name="Column13459"/>
    <tableColumn id="13463" xr3:uid="{2E3654EF-C123-410E-BA45-374928080C41}" name="Column13460"/>
    <tableColumn id="13464" xr3:uid="{A20D10B2-AE05-4486-B472-884A16233225}" name="Column13461"/>
    <tableColumn id="13465" xr3:uid="{F11526EE-8F24-4B62-803C-282CA9F26614}" name="Column13462"/>
    <tableColumn id="13466" xr3:uid="{E385F402-52AD-4B88-94AC-E0BF6A1696A3}" name="Column13463"/>
    <tableColumn id="13467" xr3:uid="{742306A5-D8B1-447E-95C6-2E413D5172B5}" name="Column13464"/>
    <tableColumn id="13468" xr3:uid="{517173BE-2478-46CB-B3AC-29FB38CECDB6}" name="Column13465"/>
    <tableColumn id="13469" xr3:uid="{DCE1CEF7-0AE0-4036-B63B-989889595092}" name="Column13466"/>
    <tableColumn id="13470" xr3:uid="{D0401201-D012-485F-8421-E37815AACF69}" name="Column13467"/>
    <tableColumn id="13471" xr3:uid="{B276206C-530F-4355-A37E-CBB5D9AB9742}" name="Column13468"/>
    <tableColumn id="13472" xr3:uid="{426242D0-0A4A-432D-9B61-5B822A79D6D4}" name="Column13469"/>
    <tableColumn id="13473" xr3:uid="{16FA1AC2-A3E9-4B6F-8D7A-0013228DAB9F}" name="Column13470"/>
    <tableColumn id="13474" xr3:uid="{CA905E72-5370-4D55-ACEC-F45EFC66BB70}" name="Column13471"/>
    <tableColumn id="13475" xr3:uid="{5600AE68-F219-4C14-8D17-5E38F41A5088}" name="Column13472"/>
    <tableColumn id="13476" xr3:uid="{D0D50D79-DF74-4CCF-A22D-DB2C0413AAAA}" name="Column13473"/>
    <tableColumn id="13477" xr3:uid="{299779B0-9F20-4257-86C3-CAEDF7C8920D}" name="Column13474"/>
    <tableColumn id="13478" xr3:uid="{1475A6BC-53B5-4B03-8AF0-420441415A2F}" name="Column13475"/>
    <tableColumn id="13479" xr3:uid="{1EFFEC53-F8AF-4D3F-87A7-B68251F757DD}" name="Column13476"/>
    <tableColumn id="13480" xr3:uid="{46DE6391-1074-4777-B360-24715D80B71D}" name="Column13477"/>
    <tableColumn id="13481" xr3:uid="{E762804F-0241-43CA-B8EA-EB3C3152E8D4}" name="Column13478"/>
    <tableColumn id="13482" xr3:uid="{CFFAED9B-3503-4685-AB54-6FDFFD963A8A}" name="Column13479"/>
    <tableColumn id="13483" xr3:uid="{F77F6433-32D7-47F0-9BCC-F0991CEEBC18}" name="Column13480"/>
    <tableColumn id="13484" xr3:uid="{8A94DAE6-3F07-4089-9330-748EEED4666A}" name="Column13481"/>
    <tableColumn id="13485" xr3:uid="{E6CD74BD-BD57-43B2-8039-C7087484D259}" name="Column13482"/>
    <tableColumn id="13486" xr3:uid="{63DD4940-A0F5-42E3-BB1F-75F6FD63177A}" name="Column13483"/>
    <tableColumn id="13487" xr3:uid="{A04C4292-88C6-4ACC-9A5F-484B2AC101B8}" name="Column13484"/>
    <tableColumn id="13488" xr3:uid="{6731274F-7C6C-411E-9CE6-CB6C99685582}" name="Column13485"/>
    <tableColumn id="13489" xr3:uid="{98F1C779-CDD3-4F4C-9F71-DD952CA2F30F}" name="Column13486"/>
    <tableColumn id="13490" xr3:uid="{9FF96695-AF7A-49C5-B2B7-28B678F3EB62}" name="Column13487"/>
    <tableColumn id="13491" xr3:uid="{FC6615E2-8EA4-4D1A-B374-DD68A770EEE1}" name="Column13488"/>
    <tableColumn id="13492" xr3:uid="{F244E38B-E590-4880-9002-1C636C9FA916}" name="Column13489"/>
    <tableColumn id="13493" xr3:uid="{FCA5E4E9-18E0-4094-88FC-8731F6833F29}" name="Column13490"/>
    <tableColumn id="13494" xr3:uid="{60BE2E08-7C26-4872-9DA4-A936035A0B82}" name="Column13491"/>
    <tableColumn id="13495" xr3:uid="{1D362673-A30E-4498-926E-9F31AC2428DB}" name="Column13492"/>
    <tableColumn id="13496" xr3:uid="{38C6E621-5DBC-4F9B-A42E-02888B1A389B}" name="Column13493"/>
    <tableColumn id="13497" xr3:uid="{E23EAF5D-82E8-4C96-A04F-37E22BB63330}" name="Column13494"/>
    <tableColumn id="13498" xr3:uid="{43292266-632B-404F-963B-682FFEE0E173}" name="Column13495"/>
    <tableColumn id="13499" xr3:uid="{91114F25-0F2A-48A9-8B04-B3C8B2104669}" name="Column13496"/>
    <tableColumn id="13500" xr3:uid="{7F20AF71-C936-4017-A688-843B69A2824B}" name="Column13497"/>
    <tableColumn id="13501" xr3:uid="{801CDC5D-831B-4BFD-A3F9-DB7E7B97E192}" name="Column13498"/>
    <tableColumn id="13502" xr3:uid="{9D4C2F0F-88B9-4745-BEFB-16F3FDC41796}" name="Column13499"/>
    <tableColumn id="13503" xr3:uid="{2773058A-BAF4-4F8B-9E3A-C5EDF7A12CAC}" name="Column13500"/>
    <tableColumn id="13504" xr3:uid="{71147483-AA51-4A0B-92D6-84F1C8724CEB}" name="Column13501"/>
    <tableColumn id="13505" xr3:uid="{D7FB7FFD-FD3E-4472-A1BD-2E8F300EA75B}" name="Column13502"/>
    <tableColumn id="13506" xr3:uid="{D2065C24-D063-4C8E-8D96-F76F3638C033}" name="Column13503"/>
    <tableColumn id="13507" xr3:uid="{4E137CFF-4A0B-4C7E-B3CA-9BDFE6C2B93D}" name="Column13504"/>
    <tableColumn id="13508" xr3:uid="{3C3E55D0-DE63-43ED-8C08-1818ECFDA32A}" name="Column13505"/>
    <tableColumn id="13509" xr3:uid="{5D96CC2E-186F-48C9-9237-36CEC10606DB}" name="Column13506"/>
    <tableColumn id="13510" xr3:uid="{DF8467CC-F523-4AA8-A92D-C58DD8918792}" name="Column13507"/>
    <tableColumn id="13511" xr3:uid="{1A88ED23-EDD7-4523-99FB-EF598AEB7135}" name="Column13508"/>
    <tableColumn id="13512" xr3:uid="{ABD9F758-1785-4681-B16B-B8E8BF921FD1}" name="Column13509"/>
    <tableColumn id="13513" xr3:uid="{DDE4EE0A-9B8F-4064-B399-8F8F0636768A}" name="Column13510"/>
    <tableColumn id="13514" xr3:uid="{03E8A114-3BFC-475D-9400-55183497EE48}" name="Column13511"/>
    <tableColumn id="13515" xr3:uid="{C32BC4FA-97FF-4BF1-8E3A-7F9A789DC81B}" name="Column13512"/>
    <tableColumn id="13516" xr3:uid="{0F1303D8-90AC-430F-999D-F253D12AD308}" name="Column13513"/>
    <tableColumn id="13517" xr3:uid="{CBE62D92-624F-4D78-B9A7-FF2D14AC68F1}" name="Column13514"/>
    <tableColumn id="13518" xr3:uid="{F2EFEA78-C66D-4317-B8E9-CA5DADC2AAEE}" name="Column13515"/>
    <tableColumn id="13519" xr3:uid="{BDE7EAE9-E536-4553-A7F9-6931D8E03345}" name="Column13516"/>
    <tableColumn id="13520" xr3:uid="{4F4BD64C-CF39-4971-A432-D492BE2410DC}" name="Column13517"/>
    <tableColumn id="13521" xr3:uid="{9BE5941B-8C24-45ED-A0FA-C41F28AA777F}" name="Column13518"/>
    <tableColumn id="13522" xr3:uid="{476BF753-91BE-44EB-9DC8-FE25259F5255}" name="Column13519"/>
    <tableColumn id="13523" xr3:uid="{BB5DD617-4121-4818-A1DF-5648E598D718}" name="Column13520"/>
    <tableColumn id="13524" xr3:uid="{FB766060-CBF8-4352-8C19-DB29227CFE83}" name="Column13521"/>
    <tableColumn id="13525" xr3:uid="{43401829-C718-443F-AA71-06F7EE5F2CBA}" name="Column13522"/>
    <tableColumn id="13526" xr3:uid="{FFF3D574-98FC-4500-855A-649C2D2FE452}" name="Column13523"/>
    <tableColumn id="13527" xr3:uid="{2F88B119-0E6D-4A6F-9D46-CE1D68DD97D1}" name="Column13524"/>
    <tableColumn id="13528" xr3:uid="{9FEBADC8-7964-4C36-B81E-04C6210F5969}" name="Column13525"/>
    <tableColumn id="13529" xr3:uid="{68FD66B4-068B-46F3-B0D1-E67F907914CB}" name="Column13526"/>
    <tableColumn id="13530" xr3:uid="{5E242D70-CFFC-42BD-BC42-DE96648ACE59}" name="Column13527"/>
    <tableColumn id="13531" xr3:uid="{CB827C7E-6240-4B9E-B022-C64360BD7C29}" name="Column13528"/>
    <tableColumn id="13532" xr3:uid="{73BB90A4-9D51-4DBC-BC48-47E14E880266}" name="Column13529"/>
    <tableColumn id="13533" xr3:uid="{5A0E6B4E-1B67-45F9-A2C6-6D8E5915F51D}" name="Column13530"/>
    <tableColumn id="13534" xr3:uid="{07150DCA-D9BC-43A5-B6A7-B03C638FA19D}" name="Column13531"/>
    <tableColumn id="13535" xr3:uid="{151C29E8-DC06-41C3-B8D2-F51DB1B163F2}" name="Column13532"/>
    <tableColumn id="13536" xr3:uid="{347B4D74-0174-4EA6-B753-80225264972E}" name="Column13533"/>
    <tableColumn id="13537" xr3:uid="{6FCC55F0-138D-4B8A-B7E1-FE936134B274}" name="Column13534"/>
    <tableColumn id="13538" xr3:uid="{F867F5AA-2046-4B64-BD15-3FE6D33DA093}" name="Column13535"/>
    <tableColumn id="13539" xr3:uid="{3C1915DF-252A-433F-B7EB-4C9798D270C4}" name="Column13536"/>
    <tableColumn id="13540" xr3:uid="{7ACFF7DD-16C8-4F99-9817-77FDFDE776DD}" name="Column13537"/>
    <tableColumn id="13541" xr3:uid="{DAB30AF7-AA0B-431F-89E8-E707CCBAE160}" name="Column13538"/>
    <tableColumn id="13542" xr3:uid="{E9213FE5-9E17-4046-A2C9-71FD2A2404AC}" name="Column13539"/>
    <tableColumn id="13543" xr3:uid="{63721BF3-88AC-4061-A9C6-ADD3B03602BE}" name="Column13540"/>
    <tableColumn id="13544" xr3:uid="{B495D5CE-98C5-48BC-B0F2-C9336EA880EA}" name="Column13541"/>
    <tableColumn id="13545" xr3:uid="{1EDDFE48-FE9D-4823-B997-229ADA5BB387}" name="Column13542"/>
    <tableColumn id="13546" xr3:uid="{1DC2E868-9FF8-4190-A580-660FFC12F148}" name="Column13543"/>
    <tableColumn id="13547" xr3:uid="{1C61BC28-A50D-4010-8B0B-17E19AAB7912}" name="Column13544"/>
    <tableColumn id="13548" xr3:uid="{CB78C7B9-B758-40A0-A8E1-1126D88B7C11}" name="Column13545"/>
    <tableColumn id="13549" xr3:uid="{016138BE-811A-4F29-9662-41BF0AB83BF7}" name="Column13546"/>
    <tableColumn id="13550" xr3:uid="{6FE093EE-3B2A-47C2-9122-60FA815A5AC2}" name="Column13547"/>
    <tableColumn id="13551" xr3:uid="{62BE9907-0AE0-435B-A79B-0C98FFC646C0}" name="Column13548"/>
    <tableColumn id="13552" xr3:uid="{0521C25B-45A1-41C8-A6BA-7F4722B62E0A}" name="Column13549"/>
    <tableColumn id="13553" xr3:uid="{2D3A8869-404C-4308-B883-BA20B3DD7C78}" name="Column13550"/>
    <tableColumn id="13554" xr3:uid="{92CF21FE-D650-4E37-964F-82DC913C9738}" name="Column13551"/>
    <tableColumn id="13555" xr3:uid="{9000CAF3-6770-40C5-997A-D6253C08A1BA}" name="Column13552"/>
    <tableColumn id="13556" xr3:uid="{07DCFE39-84F9-4B17-AB47-1D8D0130DEB9}" name="Column13553"/>
    <tableColumn id="13557" xr3:uid="{CB44A5E9-6E96-498A-A371-CD14D3E442A6}" name="Column13554"/>
    <tableColumn id="13558" xr3:uid="{F25311C5-B776-4D5A-A5B7-A982B0264587}" name="Column13555"/>
    <tableColumn id="13559" xr3:uid="{2BADD6E1-7D0C-419E-B9E2-7C1F976DD240}" name="Column13556"/>
    <tableColumn id="13560" xr3:uid="{C3099D7D-5B33-4B95-9A9E-7CE3B97C3CDD}" name="Column13557"/>
    <tableColumn id="13561" xr3:uid="{1B1919F0-E020-40FC-8E17-BD2D3EBF3AC8}" name="Column13558"/>
    <tableColumn id="13562" xr3:uid="{35DC01D1-1851-4294-8D6B-291459FE2D16}" name="Column13559"/>
    <tableColumn id="13563" xr3:uid="{9DEA5AFB-F287-460B-925C-84E3B5186C97}" name="Column13560"/>
    <tableColumn id="13564" xr3:uid="{32E13B42-6556-4578-A183-C78598F75668}" name="Column13561"/>
    <tableColumn id="13565" xr3:uid="{3AD4F8EB-4600-40C1-A649-E2A6E12CB95E}" name="Column13562"/>
    <tableColumn id="13566" xr3:uid="{AFD7D3F7-230F-479E-B756-0442D7216EA1}" name="Column13563"/>
    <tableColumn id="13567" xr3:uid="{3993FFFF-2AE0-487F-8ED4-15B2C917522D}" name="Column13564"/>
    <tableColumn id="13568" xr3:uid="{D64554F3-BE0D-4A26-AE82-C6DE7371F543}" name="Column13565"/>
    <tableColumn id="13569" xr3:uid="{D60C2D0F-CCC7-4616-9A48-857EB26184AF}" name="Column13566"/>
    <tableColumn id="13570" xr3:uid="{A463B391-D42F-439A-ADA9-CBBBD0A3C99F}" name="Column13567"/>
    <tableColumn id="13571" xr3:uid="{A098C464-33C3-4AB9-991C-CC2337CED07E}" name="Column13568"/>
    <tableColumn id="13572" xr3:uid="{3E1AC099-AB57-43D9-AF8D-E8B4E49DE12B}" name="Column13569"/>
    <tableColumn id="13573" xr3:uid="{BBED3614-79CC-41D7-B9F7-39CB04AEF241}" name="Column13570"/>
    <tableColumn id="13574" xr3:uid="{C970F219-722D-440B-852F-FE430386D24B}" name="Column13571"/>
    <tableColumn id="13575" xr3:uid="{3FCED6BE-D064-45B6-A7BE-AB95C698FFF2}" name="Column13572"/>
    <tableColumn id="13576" xr3:uid="{DB1FCFDE-D0D8-4A6C-9689-16F2A9AAE47B}" name="Column13573"/>
    <tableColumn id="13577" xr3:uid="{33B6A844-0056-43AC-B3A4-75C8C0524327}" name="Column13574"/>
    <tableColumn id="13578" xr3:uid="{EDE82A63-7D03-4EAE-977C-DE8194A4B59E}" name="Column13575"/>
    <tableColumn id="13579" xr3:uid="{D9D7CAB0-610A-498F-B5E3-D2DC6FEC10BB}" name="Column13576"/>
    <tableColumn id="13580" xr3:uid="{1D04027B-BA28-4CAD-A3D2-8C504D7963F5}" name="Column13577"/>
    <tableColumn id="13581" xr3:uid="{E818C74D-AD6C-4169-816B-F7D3472F2A70}" name="Column13578"/>
    <tableColumn id="13582" xr3:uid="{0230EB0E-7F72-43CD-BFA5-BF9987E48F84}" name="Column13579"/>
    <tableColumn id="13583" xr3:uid="{2C3303B2-570A-42C3-B997-4326A8B0332F}" name="Column13580"/>
    <tableColumn id="13584" xr3:uid="{E4C2BFB9-4587-4DED-9A5B-EAEAD5B8C946}" name="Column13581"/>
    <tableColumn id="13585" xr3:uid="{4613CC74-0BAF-4036-A17A-D909208C3543}" name="Column13582"/>
    <tableColumn id="13586" xr3:uid="{A4686380-8CE8-4292-BFA0-783C92460B55}" name="Column13583"/>
    <tableColumn id="13587" xr3:uid="{A385731A-6C21-45C4-8D7B-257116091B52}" name="Column13584"/>
    <tableColumn id="13588" xr3:uid="{BB089001-75F3-4A8F-8E72-B84930A92285}" name="Column13585"/>
    <tableColumn id="13589" xr3:uid="{F86833E4-905E-4D38-BCE4-1AF5C2BFAB91}" name="Column13586"/>
    <tableColumn id="13590" xr3:uid="{B605B811-2D9A-4D10-A417-8269683BD6F9}" name="Column13587"/>
    <tableColumn id="13591" xr3:uid="{3D0D2EB8-262D-4651-8E41-BC76A861CAE9}" name="Column13588"/>
    <tableColumn id="13592" xr3:uid="{08DF4752-2FCF-430C-9C26-8F11E3832D8A}" name="Column13589"/>
    <tableColumn id="13593" xr3:uid="{7CB221AC-C519-4181-82ED-FC3A2FDC37DC}" name="Column13590"/>
    <tableColumn id="13594" xr3:uid="{B14F9A12-C2C7-4CB2-A09C-94F9C7893D30}" name="Column13591"/>
    <tableColumn id="13595" xr3:uid="{D1F3F42A-836C-4251-B652-7CC050A1902B}" name="Column13592"/>
    <tableColumn id="13596" xr3:uid="{F5B4522E-F14A-49E9-8D2C-4CF80DBB18FB}" name="Column13593"/>
    <tableColumn id="13597" xr3:uid="{43DC2893-46C0-43C1-9BEA-4C21F5F88F88}" name="Column13594"/>
    <tableColumn id="13598" xr3:uid="{060E0A14-AAF5-4F78-A170-939D87DCCE77}" name="Column13595"/>
    <tableColumn id="13599" xr3:uid="{877F6AEB-D2F6-4915-B068-CE123F625C2F}" name="Column13596"/>
    <tableColumn id="13600" xr3:uid="{24D32691-27A4-456F-8F58-4C737C44581D}" name="Column13597"/>
    <tableColumn id="13601" xr3:uid="{625209D4-E82B-49A1-9326-39FD30C19BAC}" name="Column13598"/>
    <tableColumn id="13602" xr3:uid="{40948024-441F-4BCA-99CB-0AD74D7614DC}" name="Column13599"/>
    <tableColumn id="13603" xr3:uid="{B734C9EC-8921-46FB-8FD6-760D95EC46BD}" name="Column13600"/>
    <tableColumn id="13604" xr3:uid="{76B90309-090F-4D56-AB36-386CF540AC37}" name="Column13601"/>
    <tableColumn id="13605" xr3:uid="{984A381E-9AF0-4854-A620-3FE2C21D0E50}" name="Column13602"/>
    <tableColumn id="13606" xr3:uid="{1E8406BB-DBBF-4593-9A80-FA2C07CBD885}" name="Column13603"/>
    <tableColumn id="13607" xr3:uid="{9D96DA10-6EEF-4C94-8DE9-C463F707E5BD}" name="Column13604"/>
    <tableColumn id="13608" xr3:uid="{08E7F764-2BF5-4FB8-8F01-60881DD33979}" name="Column13605"/>
    <tableColumn id="13609" xr3:uid="{CBD69CC8-DE02-4B10-BF35-D0ED833CCFEC}" name="Column13606"/>
    <tableColumn id="13610" xr3:uid="{8DCFA9B8-CF0C-4791-86C0-7BBF4FA0592F}" name="Column13607"/>
    <tableColumn id="13611" xr3:uid="{80972846-1D1F-4D90-8620-C521FACA3BAC}" name="Column13608"/>
    <tableColumn id="13612" xr3:uid="{7BA11651-8922-4C1E-8439-D4460BD71B90}" name="Column13609"/>
    <tableColumn id="13613" xr3:uid="{07FB80E3-E4D1-451D-999B-23D5BC5DF968}" name="Column13610"/>
    <tableColumn id="13614" xr3:uid="{D9CCA6C6-0A70-4273-945B-81D71C691D10}" name="Column13611"/>
    <tableColumn id="13615" xr3:uid="{7E4736D3-3C1E-42A1-B7B8-025B35F64281}" name="Column13612"/>
    <tableColumn id="13616" xr3:uid="{990D200F-39F3-40A5-9B6F-3A2DEDFF2A91}" name="Column13613"/>
    <tableColumn id="13617" xr3:uid="{7663EB4D-65FA-45B1-934F-F1D6B5261A23}" name="Column13614"/>
    <tableColumn id="13618" xr3:uid="{3DF988A4-0A31-48F2-A2F1-B9B318D4F344}" name="Column13615"/>
    <tableColumn id="13619" xr3:uid="{FF520B90-59F0-44D9-A285-BFF4404010E0}" name="Column13616"/>
    <tableColumn id="13620" xr3:uid="{FF4ABBFE-E70F-466F-AC9F-94F4616E7043}" name="Column13617"/>
    <tableColumn id="13621" xr3:uid="{0103B27A-14B7-4B11-BA89-DC2CA64D98D3}" name="Column13618"/>
    <tableColumn id="13622" xr3:uid="{C06E3CCF-474D-4CE2-84E5-28D773FFB577}" name="Column13619"/>
    <tableColumn id="13623" xr3:uid="{001EBD22-9E90-46A0-B3A8-28836ECC778E}" name="Column13620"/>
    <tableColumn id="13624" xr3:uid="{2C44F428-7F9B-44AE-839F-39597D67B5A6}" name="Column13621"/>
    <tableColumn id="13625" xr3:uid="{807A602B-2C88-4C86-8D7F-0D436EF18824}" name="Column13622"/>
    <tableColumn id="13626" xr3:uid="{FD912470-0B11-4FC1-ACAB-FC32086D5761}" name="Column13623"/>
    <tableColumn id="13627" xr3:uid="{522F33F9-D918-49A2-8196-D382CA6C9BA3}" name="Column13624"/>
    <tableColumn id="13628" xr3:uid="{4D798CC7-1EB9-48D8-8369-39984EDA5537}" name="Column13625"/>
    <tableColumn id="13629" xr3:uid="{E50CF984-DB89-4C08-9245-624F07EAF21C}" name="Column13626"/>
    <tableColumn id="13630" xr3:uid="{947B35DF-DC6D-423B-B96F-9700C98BA6E0}" name="Column13627"/>
    <tableColumn id="13631" xr3:uid="{5198FA76-0B99-4B8D-AC3C-29779AF961AF}" name="Column13628"/>
    <tableColumn id="13632" xr3:uid="{F2C29B3E-F05D-40B0-9F86-3AA09397E2B5}" name="Column13629"/>
    <tableColumn id="13633" xr3:uid="{C9A9F092-E72E-4C7B-868F-B90A7AAD1B50}" name="Column13630"/>
    <tableColumn id="13634" xr3:uid="{E2C56CE0-3E33-4B4C-BD3D-37E1A54CDB38}" name="Column13631"/>
    <tableColumn id="13635" xr3:uid="{09C0DCD5-AE11-46EF-84BC-0BF3F55CB64E}" name="Column13632"/>
    <tableColumn id="13636" xr3:uid="{0A86CBBB-9778-4E25-A5F5-23BB6E0AEA34}" name="Column13633"/>
    <tableColumn id="13637" xr3:uid="{3CDC450C-868E-4669-8FA0-4DF7BF4D2B6F}" name="Column13634"/>
    <tableColumn id="13638" xr3:uid="{95F1CFD5-89DE-4B1C-B859-AB0B54A39C33}" name="Column13635"/>
    <tableColumn id="13639" xr3:uid="{0B133540-9875-4C19-BD8A-1F37723D4C37}" name="Column13636"/>
    <tableColumn id="13640" xr3:uid="{A137D2ED-41F3-4B68-9795-F3E1B1E4A1BF}" name="Column13637"/>
    <tableColumn id="13641" xr3:uid="{5F12C062-013F-4444-8553-E5C09A9FC101}" name="Column13638"/>
    <tableColumn id="13642" xr3:uid="{36F61103-C71A-4A2D-B3AF-A5E8ACA2CD1E}" name="Column13639"/>
    <tableColumn id="13643" xr3:uid="{D719FE87-F19F-4222-81F5-89D9F02A6D1E}" name="Column13640"/>
    <tableColumn id="13644" xr3:uid="{3381705A-2943-4AED-9FB2-94C099206609}" name="Column13641"/>
    <tableColumn id="13645" xr3:uid="{BBFBF945-B154-4C59-8014-25634E3DFE91}" name="Column13642"/>
    <tableColumn id="13646" xr3:uid="{EF2AA3A5-981B-4BCB-94FD-C750B280EDC4}" name="Column13643"/>
    <tableColumn id="13647" xr3:uid="{CC143B3E-1849-4CCE-8AD6-3AF0E4CF1034}" name="Column13644"/>
    <tableColumn id="13648" xr3:uid="{F6FD9790-5B97-4C1C-8D67-6E7D3958690D}" name="Column13645"/>
    <tableColumn id="13649" xr3:uid="{61339BF2-4A30-4BB5-9594-6DCE21B092D5}" name="Column13646"/>
    <tableColumn id="13650" xr3:uid="{7566C7EC-6738-4474-A57C-2C1A9F78EC62}" name="Column13647"/>
    <tableColumn id="13651" xr3:uid="{10019869-F799-4C5A-8874-42555E81B65B}" name="Column13648"/>
    <tableColumn id="13652" xr3:uid="{081224B7-6914-4914-9037-345F3128C875}" name="Column13649"/>
    <tableColumn id="13653" xr3:uid="{A81F9E44-59BB-45E4-9C16-40FC45CDC21D}" name="Column13650"/>
    <tableColumn id="13654" xr3:uid="{7ADEBC27-3D90-49D5-BA4F-A1D7B8F479EE}" name="Column13651"/>
    <tableColumn id="13655" xr3:uid="{FA13C1C4-39C9-4FDF-BE8A-5C3E9C02BBC3}" name="Column13652"/>
    <tableColumn id="13656" xr3:uid="{A5E2DC21-46B2-4ACB-BD72-F4B887BF54AA}" name="Column13653"/>
    <tableColumn id="13657" xr3:uid="{B1BED826-1E5E-42EF-B383-7A5250E79FAB}" name="Column13654"/>
    <tableColumn id="13658" xr3:uid="{7EE8BBE4-171F-4BF9-8CFD-8875D6FE6D79}" name="Column13655"/>
    <tableColumn id="13659" xr3:uid="{F17DCD84-30C0-4A54-BC08-6854AE0BD21A}" name="Column13656"/>
    <tableColumn id="13660" xr3:uid="{BB59B17E-9FCA-471E-A8EB-550C7DFDAB3C}" name="Column13657"/>
    <tableColumn id="13661" xr3:uid="{914DD7A9-BC90-4A91-9D59-CF834632159F}" name="Column13658"/>
    <tableColumn id="13662" xr3:uid="{5CD2050F-F465-46C1-BA00-69DDACB4A3CA}" name="Column13659"/>
    <tableColumn id="13663" xr3:uid="{B3115CAD-C36E-4285-B420-D1983742155A}" name="Column13660"/>
    <tableColumn id="13664" xr3:uid="{B3CE5FC4-CCB3-4A17-AF4F-85A80F023528}" name="Column13661"/>
    <tableColumn id="13665" xr3:uid="{3CAB6188-6D64-4075-8047-FB28F3A8CA00}" name="Column13662"/>
    <tableColumn id="13666" xr3:uid="{319FF808-ECC8-4B61-98A3-7D6D9C39BEDF}" name="Column13663"/>
    <tableColumn id="13667" xr3:uid="{04441AB6-FEE5-46A2-8169-8F788ED832CF}" name="Column13664"/>
    <tableColumn id="13668" xr3:uid="{56BC7750-FBCD-46CD-B273-7F4EDC63869D}" name="Column13665"/>
    <tableColumn id="13669" xr3:uid="{2E3FE4F7-5FCB-474D-8440-D34D377E2D19}" name="Column13666"/>
    <tableColumn id="13670" xr3:uid="{CC370824-8DD2-4D4B-B428-94B92C2A5A6C}" name="Column13667"/>
    <tableColumn id="13671" xr3:uid="{5003B32F-A1BB-42E7-A8AA-40C5FD9CF253}" name="Column13668"/>
    <tableColumn id="13672" xr3:uid="{17A215A3-FF3E-4B3C-8663-C88478643CDD}" name="Column13669"/>
    <tableColumn id="13673" xr3:uid="{6103BFB7-CA16-4781-B8BE-7B3351513557}" name="Column13670"/>
    <tableColumn id="13674" xr3:uid="{B9FF513D-358D-4DC8-97CF-75078C2C411A}" name="Column13671"/>
    <tableColumn id="13675" xr3:uid="{D3E13AD5-32B6-45C2-9B12-B82A8C7CE354}" name="Column13672"/>
    <tableColumn id="13676" xr3:uid="{C7842DAC-8301-4B6F-92BA-68FCAC297D81}" name="Column13673"/>
    <tableColumn id="13677" xr3:uid="{0F9CF229-5A30-4FF8-9104-4B5A4F000EBF}" name="Column13674"/>
    <tableColumn id="13678" xr3:uid="{60F9F9AC-2E4F-470D-AD8C-437C95352495}" name="Column13675"/>
    <tableColumn id="13679" xr3:uid="{A253E884-1253-42FC-A858-BFD388FF8DFB}" name="Column13676"/>
    <tableColumn id="13680" xr3:uid="{47623DBF-85CA-4496-B8DF-BCD2E6B8AE15}" name="Column13677"/>
    <tableColumn id="13681" xr3:uid="{87D29343-CC64-4110-A6C2-3E7F621D6863}" name="Column13678"/>
    <tableColumn id="13682" xr3:uid="{4D50586D-0885-4AF3-8774-F45A3B2D8F53}" name="Column13679"/>
    <tableColumn id="13683" xr3:uid="{914E195C-DCC2-4041-88BB-534F09614EBC}" name="Column13680"/>
    <tableColumn id="13684" xr3:uid="{77DD723D-37FB-4096-A9F0-BC530D7E40F3}" name="Column13681"/>
    <tableColumn id="13685" xr3:uid="{B01544C0-AB94-459A-B83E-15F6B92B2745}" name="Column13682"/>
    <tableColumn id="13686" xr3:uid="{D7FED1A7-2615-433F-A84A-AFC3EA841472}" name="Column13683"/>
    <tableColumn id="13687" xr3:uid="{3884492F-1DCA-474B-94D9-38B0EA3E8FC8}" name="Column13684"/>
    <tableColumn id="13688" xr3:uid="{331432B7-FF7B-4B7B-B7D2-ACE79278492F}" name="Column13685"/>
    <tableColumn id="13689" xr3:uid="{D4A04F4E-7DE0-40D0-AF34-85901AACF1F8}" name="Column13686"/>
    <tableColumn id="13690" xr3:uid="{984ACF08-DD82-44D9-869C-CD5C53E0B04D}" name="Column13687"/>
    <tableColumn id="13691" xr3:uid="{7AAB1DE5-0FB4-4680-B66B-BF0BFD292B26}" name="Column13688"/>
    <tableColumn id="13692" xr3:uid="{516971C2-9A41-454A-882A-E40EA57EAEA9}" name="Column13689"/>
    <tableColumn id="13693" xr3:uid="{E60FAE59-4FB6-4DD1-8556-A0509B4EAAE1}" name="Column13690"/>
    <tableColumn id="13694" xr3:uid="{303654EE-BFA5-4222-87C4-7979A73F1BB6}" name="Column13691"/>
    <tableColumn id="13695" xr3:uid="{A1439335-7F19-41E9-8209-99A362A1C26E}" name="Column13692"/>
    <tableColumn id="13696" xr3:uid="{9A5A0C0E-3E43-4B3E-B8D3-860F824A5265}" name="Column13693"/>
    <tableColumn id="13697" xr3:uid="{CDCD6FA1-5B1D-42E6-8A12-CD6C2189446E}" name="Column13694"/>
    <tableColumn id="13698" xr3:uid="{25D9F74E-0ECA-4A0E-8798-FBD0441B440A}" name="Column13695"/>
    <tableColumn id="13699" xr3:uid="{FFDD53F7-FD37-444A-BE87-6A2563F4CAF2}" name="Column13696"/>
    <tableColumn id="13700" xr3:uid="{5B03C036-7F41-4FDC-8AE5-CCED776DCE76}" name="Column13697"/>
    <tableColumn id="13701" xr3:uid="{CBE6147A-A744-494F-B543-CEFF856E365C}" name="Column13698"/>
    <tableColumn id="13702" xr3:uid="{FAEF9301-F33F-4883-B47B-1D88C802C891}" name="Column13699"/>
    <tableColumn id="13703" xr3:uid="{19B20065-8B52-401D-89C6-44F30130631C}" name="Column13700"/>
    <tableColumn id="13704" xr3:uid="{E39958AE-6813-4C89-B883-79D925540790}" name="Column13701"/>
    <tableColumn id="13705" xr3:uid="{CD3D1B3A-EB95-4C8B-BC01-DAC9BDB65BC7}" name="Column13702"/>
    <tableColumn id="13706" xr3:uid="{038B483D-75E5-45F9-A6C3-535FAF453C99}" name="Column13703"/>
    <tableColumn id="13707" xr3:uid="{A485A6C6-1625-4800-A1F3-08B28DA49985}" name="Column13704"/>
    <tableColumn id="13708" xr3:uid="{EE9E56D5-AD8E-41BB-A6A4-D2BA458C4376}" name="Column13705"/>
    <tableColumn id="13709" xr3:uid="{59B7927E-BAF1-43CF-BE74-7956E43D1CDC}" name="Column13706"/>
    <tableColumn id="13710" xr3:uid="{1BC7C5C7-4134-4415-A9CF-23DBDE61BCEB}" name="Column13707"/>
    <tableColumn id="13711" xr3:uid="{DE58F34D-539B-4000-AFA4-B67DFB3D0895}" name="Column13708"/>
    <tableColumn id="13712" xr3:uid="{37334412-C4E4-4E7E-8C23-DD7E1452170F}" name="Column13709"/>
    <tableColumn id="13713" xr3:uid="{30404186-BC3A-46F4-8218-C9B55B8CDCA0}" name="Column13710"/>
    <tableColumn id="13714" xr3:uid="{E868C391-C5B3-4596-9862-3968DF04AEB8}" name="Column13711"/>
    <tableColumn id="13715" xr3:uid="{37447E8F-87DD-4F98-ABB4-0BF2C818BF96}" name="Column13712"/>
    <tableColumn id="13716" xr3:uid="{5225C31C-74FC-455A-A2A5-AA364EC75FB0}" name="Column13713"/>
    <tableColumn id="13717" xr3:uid="{74F219C2-DF0E-45D3-872E-F56088730F9D}" name="Column13714"/>
    <tableColumn id="13718" xr3:uid="{DB422F3C-9DED-4F07-A48F-A069B3D886A6}" name="Column13715"/>
    <tableColumn id="13719" xr3:uid="{4C1299D6-610F-4B5D-9AB7-DA16F8B5D407}" name="Column13716"/>
    <tableColumn id="13720" xr3:uid="{AE7586B8-99AB-48AD-839C-A3AF03842363}" name="Column13717"/>
    <tableColumn id="13721" xr3:uid="{A13CD4C9-D02B-446F-B1AC-4CA282D8A8BB}" name="Column13718"/>
    <tableColumn id="13722" xr3:uid="{2EEB59D4-2739-4553-8ADD-A26C25E1776D}" name="Column13719"/>
    <tableColumn id="13723" xr3:uid="{0650E724-7B5B-4254-BD0C-E0254D122DCB}" name="Column13720"/>
    <tableColumn id="13724" xr3:uid="{29F96B47-1FC1-447F-A75D-76E04496B218}" name="Column13721"/>
    <tableColumn id="13725" xr3:uid="{A2DD2366-4286-4F32-B3E7-F175B331A07F}" name="Column13722"/>
    <tableColumn id="13726" xr3:uid="{44DDCC0F-F9C8-4638-9D45-20E94E1F5EA2}" name="Column13723"/>
    <tableColumn id="13727" xr3:uid="{7BB4E66F-E4F8-4B37-AB0A-B18710188EAA}" name="Column13724"/>
    <tableColumn id="13728" xr3:uid="{DE174C8C-4E80-474F-99C2-7F871BC7421F}" name="Column13725"/>
    <tableColumn id="13729" xr3:uid="{BE3E0FF6-8346-4229-BB32-3CD848B03168}" name="Column13726"/>
    <tableColumn id="13730" xr3:uid="{3BE595B3-C6A5-47A5-9DAC-6CB21ED90282}" name="Column13727"/>
    <tableColumn id="13731" xr3:uid="{FC767D42-4C34-4232-80D8-BE81910A8C45}" name="Column13728"/>
    <tableColumn id="13732" xr3:uid="{DB9EF055-917C-40F5-812A-A2047619DD0E}" name="Column13729"/>
    <tableColumn id="13733" xr3:uid="{6234AF97-3ED9-4DAA-A2C7-2BC9DA3BED2A}" name="Column13730"/>
    <tableColumn id="13734" xr3:uid="{F1052A1A-C040-4B1C-A2E1-14D174B0999D}" name="Column13731"/>
    <tableColumn id="13735" xr3:uid="{B53E0268-DB58-42B0-9F18-AB8CCB64E3CF}" name="Column13732"/>
    <tableColumn id="13736" xr3:uid="{07770727-86AD-473A-A8D6-388AE5B77FAC}" name="Column13733"/>
    <tableColumn id="13737" xr3:uid="{005F946F-11A4-4D2C-ABF1-ECDE30C1A367}" name="Column13734"/>
    <tableColumn id="13738" xr3:uid="{1CD30D68-FB91-4E99-9895-BFD691C7F381}" name="Column13735"/>
    <tableColumn id="13739" xr3:uid="{0BC2EF70-26F6-4F41-8F3D-1915EF2055FA}" name="Column13736"/>
    <tableColumn id="13740" xr3:uid="{1D466113-E6B8-4DB4-8A95-FC6707D744DB}" name="Column13737"/>
    <tableColumn id="13741" xr3:uid="{36891041-C988-40D3-881B-7AFCB4B52117}" name="Column13738"/>
    <tableColumn id="13742" xr3:uid="{C67FB549-2798-4C65-A369-2D4C327EFE55}" name="Column13739"/>
    <tableColumn id="13743" xr3:uid="{66C04E17-15BD-4D10-8A92-DC403DE7E720}" name="Column13740"/>
    <tableColumn id="13744" xr3:uid="{D9DEF37F-D659-495B-BDF9-5EED293FFF67}" name="Column13741"/>
    <tableColumn id="13745" xr3:uid="{5BCDCD95-1488-4A9A-BE93-B2D7B35CD9CE}" name="Column13742"/>
    <tableColumn id="13746" xr3:uid="{F42FD39E-79D7-4703-9CEC-B1BC452E4432}" name="Column13743"/>
    <tableColumn id="13747" xr3:uid="{3B151531-5E27-4C6E-9703-D2B23CC1AC44}" name="Column13744"/>
    <tableColumn id="13748" xr3:uid="{CD442F7F-F45E-4502-8578-07B7B3C028E7}" name="Column13745"/>
    <tableColumn id="13749" xr3:uid="{3BE19EB1-7E53-4E73-8A5C-DD8EA3DAF93B}" name="Column13746"/>
    <tableColumn id="13750" xr3:uid="{DFB11868-2AFC-4038-8C9D-282763B9B94F}" name="Column13747"/>
    <tableColumn id="13751" xr3:uid="{B689E949-E4DD-43C5-B56C-A5A5EFBAE6FE}" name="Column13748"/>
    <tableColumn id="13752" xr3:uid="{C0523BCF-9561-4556-8634-4775A04B5812}" name="Column13749"/>
    <tableColumn id="13753" xr3:uid="{59FE5A18-DFCE-4944-85D7-D1EDE1F933E2}" name="Column13750"/>
    <tableColumn id="13754" xr3:uid="{A42FB16B-EB01-421F-8C60-55B14D9813FA}" name="Column13751"/>
    <tableColumn id="13755" xr3:uid="{5700714C-82C0-4D56-A484-A239C0F5729A}" name="Column13752"/>
    <tableColumn id="13756" xr3:uid="{49986125-0AD0-4EFE-B0C7-511A96DD58B2}" name="Column13753"/>
    <tableColumn id="13757" xr3:uid="{A36C5AC3-CDEF-41F6-8170-2318FA214C4A}" name="Column13754"/>
    <tableColumn id="13758" xr3:uid="{A283A67D-7960-4681-9887-2DACCE6ABBE6}" name="Column13755"/>
    <tableColumn id="13759" xr3:uid="{6F8018E8-F556-449E-95E7-092648A173B2}" name="Column13756"/>
    <tableColumn id="13760" xr3:uid="{DDC20DC3-6E8E-4DCB-9937-1965C95991C5}" name="Column13757"/>
    <tableColumn id="13761" xr3:uid="{7F591EAD-F8F2-4172-931C-4C6F2CEBDF9B}" name="Column13758"/>
    <tableColumn id="13762" xr3:uid="{9C6D8AB3-A226-4B43-9478-8194AE71530C}" name="Column13759"/>
    <tableColumn id="13763" xr3:uid="{021A0D87-2E9A-4F65-96F2-4B451F218369}" name="Column13760"/>
    <tableColumn id="13764" xr3:uid="{257F9318-0715-46CE-9840-532178D23990}" name="Column13761"/>
    <tableColumn id="13765" xr3:uid="{B04AB66D-B72B-4CAB-BC85-8236EFD03459}" name="Column13762"/>
    <tableColumn id="13766" xr3:uid="{DB177A13-784C-4CFF-A80C-8CA73E8E60DD}" name="Column13763"/>
    <tableColumn id="13767" xr3:uid="{B4177D19-4DC1-443D-9387-0EAF1B02BF1A}" name="Column13764"/>
    <tableColumn id="13768" xr3:uid="{C0FBF806-C6A0-4620-A0B9-113CF7E57C60}" name="Column13765"/>
    <tableColumn id="13769" xr3:uid="{CDD434D7-DC32-4BE1-AD36-966D7971EFD6}" name="Column13766"/>
    <tableColumn id="13770" xr3:uid="{F777E4D9-C535-4056-BF93-E6CCE1516154}" name="Column13767"/>
    <tableColumn id="13771" xr3:uid="{4E9A3D38-D4BB-4EDE-9D66-F53C379995E4}" name="Column13768"/>
    <tableColumn id="13772" xr3:uid="{6DB28B3E-7F6D-4D39-8C20-E1DD08BE02DA}" name="Column13769"/>
    <tableColumn id="13773" xr3:uid="{C00D269F-FEA5-4C51-9170-DCFF1A85097B}" name="Column13770"/>
    <tableColumn id="13774" xr3:uid="{0CF217F9-E9EE-4AB7-AF03-BE488898CFE5}" name="Column13771"/>
    <tableColumn id="13775" xr3:uid="{E33E8420-9525-4EE9-AAF0-F883DB081BCA}" name="Column13772"/>
    <tableColumn id="13776" xr3:uid="{4E700DDB-32F4-4B87-B891-C25912281E92}" name="Column13773"/>
    <tableColumn id="13777" xr3:uid="{E4A8B5D1-0829-49D5-BFD4-95B79DE65761}" name="Column13774"/>
    <tableColumn id="13778" xr3:uid="{A913F02C-CFE1-4AE8-911B-916A61D78282}" name="Column13775"/>
    <tableColumn id="13779" xr3:uid="{345C0333-14A8-4EED-A060-7361350A48AE}" name="Column13776"/>
    <tableColumn id="13780" xr3:uid="{432FF1BE-B75D-4279-A5BF-1D84DD6F2E61}" name="Column13777"/>
    <tableColumn id="13781" xr3:uid="{7F35C8A0-38FF-4068-883B-345395DA89F1}" name="Column13778"/>
    <tableColumn id="13782" xr3:uid="{C1089442-2B26-459A-98C8-4A0547048302}" name="Column13779"/>
    <tableColumn id="13783" xr3:uid="{DE2A2AFF-F714-4EB9-97F4-90DEDCC22896}" name="Column13780"/>
    <tableColumn id="13784" xr3:uid="{C6E7ABE7-8B13-4CE4-87AD-D1B328292C46}" name="Column13781"/>
    <tableColumn id="13785" xr3:uid="{93D4DDBC-3913-4D76-929A-41005C161CF8}" name="Column13782"/>
    <tableColumn id="13786" xr3:uid="{07470901-955D-403C-8CD7-CB1705B66A44}" name="Column13783"/>
    <tableColumn id="13787" xr3:uid="{693F2667-ECBF-46AD-8512-16250A7BE44F}" name="Column13784"/>
    <tableColumn id="13788" xr3:uid="{54DBC04C-083A-40B0-A94D-1F26AA842917}" name="Column13785"/>
    <tableColumn id="13789" xr3:uid="{49E11BE1-0C06-4428-AD51-DE612A8C9C8D}" name="Column13786"/>
    <tableColumn id="13790" xr3:uid="{3891F82E-2B2D-466B-87C6-88D86EB95353}" name="Column13787"/>
    <tableColumn id="13791" xr3:uid="{77ABCA76-E6B5-41B6-8217-E6766A962449}" name="Column13788"/>
    <tableColumn id="13792" xr3:uid="{383AD345-6F28-4237-9E24-4FB8BDB52657}" name="Column13789"/>
    <tableColumn id="13793" xr3:uid="{7B1FB28E-4CC9-4D69-B096-89327C4D6AD4}" name="Column13790"/>
    <tableColumn id="13794" xr3:uid="{BA0A8494-5CF8-4A64-9FD3-DA32B16C98C0}" name="Column13791"/>
    <tableColumn id="13795" xr3:uid="{7C2CAB16-EBA9-42AA-95D0-955F8EA6375E}" name="Column13792"/>
    <tableColumn id="13796" xr3:uid="{2507518B-066C-4D19-8A2F-1179912C10A8}" name="Column13793"/>
    <tableColumn id="13797" xr3:uid="{71D142E5-089B-4F24-9BE6-5A29E98197EB}" name="Column13794"/>
    <tableColumn id="13798" xr3:uid="{F35EAA3E-EE4C-4E97-9CF2-51EC897AE542}" name="Column13795"/>
    <tableColumn id="13799" xr3:uid="{F79ED07D-EE5F-400D-AF50-8B43491100D3}" name="Column13796"/>
    <tableColumn id="13800" xr3:uid="{D04181E9-BADD-4319-890C-5D68F8FFF3DA}" name="Column13797"/>
    <tableColumn id="13801" xr3:uid="{B340F983-B388-4841-90C2-C1EBF2A2767F}" name="Column13798"/>
    <tableColumn id="13802" xr3:uid="{DDED02FB-D04D-4F9B-8EA7-3829F784F001}" name="Column13799"/>
    <tableColumn id="13803" xr3:uid="{E2AACDDB-1052-4984-B8C0-F22C4B8C5CD2}" name="Column13800"/>
    <tableColumn id="13804" xr3:uid="{A7A8D7B9-0E3A-47C6-99FA-4F0FB720B027}" name="Column13801"/>
    <tableColumn id="13805" xr3:uid="{1787F9C0-17AF-4B8B-88BF-4DEDCEBBC40B}" name="Column13802"/>
    <tableColumn id="13806" xr3:uid="{4B1434C0-3111-4CF9-8B6A-8955F57C3AA5}" name="Column13803"/>
    <tableColumn id="13807" xr3:uid="{49F4FD12-3B08-49B1-ABD5-35DE1CBB08CF}" name="Column13804"/>
    <tableColumn id="13808" xr3:uid="{C0963D73-617B-4624-8177-85AE5F19AEC4}" name="Column13805"/>
    <tableColumn id="13809" xr3:uid="{671242E6-D41D-4477-B2F3-30DC03AAC727}" name="Column13806"/>
    <tableColumn id="13810" xr3:uid="{524C1461-E92B-4EA5-988E-F450A39E2498}" name="Column13807"/>
    <tableColumn id="13811" xr3:uid="{4D2C3C23-09D8-48F9-8685-F2E9C6798E01}" name="Column13808"/>
    <tableColumn id="13812" xr3:uid="{CB5C34C6-EFF7-4C85-AEE4-6637C903EA44}" name="Column13809"/>
    <tableColumn id="13813" xr3:uid="{6DD5CDA0-3B23-4148-9263-4B2A0BF514CF}" name="Column13810"/>
    <tableColumn id="13814" xr3:uid="{9A6F7CE3-E19D-4574-9831-C8B48DC0776C}" name="Column13811"/>
    <tableColumn id="13815" xr3:uid="{2DACA0D7-E112-4871-ADF5-D24BBE4B9724}" name="Column13812"/>
    <tableColumn id="13816" xr3:uid="{EE972A0F-C9F9-4178-A4B1-C014649119F9}" name="Column13813"/>
    <tableColumn id="13817" xr3:uid="{9EB9EF32-E811-4D18-A79A-1744B2DA3FA6}" name="Column13814"/>
    <tableColumn id="13818" xr3:uid="{665FE5DF-A7A4-4E83-A803-C64AB3F2D0E5}" name="Column13815"/>
    <tableColumn id="13819" xr3:uid="{8D12C158-7B9E-4E43-9638-8EC1877C04B8}" name="Column13816"/>
    <tableColumn id="13820" xr3:uid="{01A05C31-4A3B-43AB-8A1A-EF163BF5F980}" name="Column13817"/>
    <tableColumn id="13821" xr3:uid="{A6667563-BF5D-403A-A07C-6DDDA4721119}" name="Column13818"/>
    <tableColumn id="13822" xr3:uid="{7442B06D-4ECF-4D0F-B95D-49C47676F438}" name="Column13819"/>
    <tableColumn id="13823" xr3:uid="{9630715D-B8D1-4553-AA72-12DC1C0F8EF9}" name="Column13820"/>
    <tableColumn id="13824" xr3:uid="{64EB8E86-0FA2-4E6B-B232-4AE8E0016A05}" name="Column13821"/>
    <tableColumn id="13825" xr3:uid="{E1343552-DA53-4894-B2A9-C09D05324CA5}" name="Column13822"/>
    <tableColumn id="13826" xr3:uid="{BFFCC3A7-C388-4132-98A6-75E53D341C49}" name="Column13823"/>
    <tableColumn id="13827" xr3:uid="{6C2699A3-C2FB-44B6-8D75-65656F7F0821}" name="Column13824"/>
    <tableColumn id="13828" xr3:uid="{23E588A2-7336-44B2-B71B-0E04956B21E4}" name="Column13825"/>
    <tableColumn id="13829" xr3:uid="{20F0D5CB-9D0A-485C-8AA5-C74A1DA46CA1}" name="Column13826"/>
    <tableColumn id="13830" xr3:uid="{49E7933D-05D5-434F-A170-4491FDB447A8}" name="Column13827"/>
    <tableColumn id="13831" xr3:uid="{540423B4-0B9C-434B-9567-C519FE0DEEC3}" name="Column13828"/>
    <tableColumn id="13832" xr3:uid="{F37549DB-3952-4D4A-B8F7-AD1BD2317B47}" name="Column13829"/>
    <tableColumn id="13833" xr3:uid="{3198F5E0-B7C6-4155-BD19-BBD56ADDDA88}" name="Column13830"/>
    <tableColumn id="13834" xr3:uid="{7E3D5888-6AAA-43BC-B5B5-DEDA15973006}" name="Column13831"/>
    <tableColumn id="13835" xr3:uid="{83D3E385-A24E-429E-9653-F2830865E1D6}" name="Column13832"/>
    <tableColumn id="13836" xr3:uid="{DE42E8E5-4BE1-42B2-AD84-63C715CDB395}" name="Column13833"/>
    <tableColumn id="13837" xr3:uid="{E6F47628-1C00-4B03-A7B2-1A8AC135AEFB}" name="Column13834"/>
    <tableColumn id="13838" xr3:uid="{46EE0DAA-1BFA-49DA-B7C0-C670B5F1123D}" name="Column13835"/>
    <tableColumn id="13839" xr3:uid="{9EF6A06D-A6F2-4482-B07D-BDD5763E14F5}" name="Column13836"/>
    <tableColumn id="13840" xr3:uid="{63EB8E58-ADBB-4492-AB5C-5F6F1A316BDE}" name="Column13837"/>
    <tableColumn id="13841" xr3:uid="{A209CAFF-A7CB-48EF-A1AB-F411CB9E4F8A}" name="Column13838"/>
    <tableColumn id="13842" xr3:uid="{B2638542-8ADF-41A3-9EF0-D7152D2D46F5}" name="Column13839"/>
    <tableColumn id="13843" xr3:uid="{64F76BDB-D61A-4457-ACB0-9736172B0745}" name="Column13840"/>
    <tableColumn id="13844" xr3:uid="{537DE2A9-488C-430A-9EE7-409958230EAA}" name="Column13841"/>
    <tableColumn id="13845" xr3:uid="{D83F46BA-BF32-42A5-A63A-F59A2F20D411}" name="Column13842"/>
    <tableColumn id="13846" xr3:uid="{87500206-044A-4AF7-B0B6-8324BD494945}" name="Column13843"/>
    <tableColumn id="13847" xr3:uid="{6F7D439D-0E19-4FD5-A322-2BAC594EC3CD}" name="Column13844"/>
    <tableColumn id="13848" xr3:uid="{0534D2C3-FDC8-4873-8499-F0EE8EAD9F9F}" name="Column13845"/>
    <tableColumn id="13849" xr3:uid="{1D3EB072-EB30-445A-A5B0-EDE1190F9203}" name="Column13846"/>
    <tableColumn id="13850" xr3:uid="{E482FA7D-26B0-4A7F-B7E1-579168FF5C65}" name="Column13847"/>
    <tableColumn id="13851" xr3:uid="{52203453-390B-47EB-9267-AA694B932B95}" name="Column13848"/>
    <tableColumn id="13852" xr3:uid="{1A6C6523-CF4C-4C73-912D-BF383CC74561}" name="Column13849"/>
    <tableColumn id="13853" xr3:uid="{58DBDF33-894F-48E5-A0BA-42FD1FB2641F}" name="Column13850"/>
    <tableColumn id="13854" xr3:uid="{EE8A0AD3-5F5F-41F6-AFFC-D6F5EF61A07C}" name="Column13851"/>
    <tableColumn id="13855" xr3:uid="{256BDE61-A3AD-4538-860F-E3697251932A}" name="Column13852"/>
    <tableColumn id="13856" xr3:uid="{DE73C879-45AF-4334-9806-445E7DE6716A}" name="Column13853"/>
    <tableColumn id="13857" xr3:uid="{D04E661A-007B-4544-8CB5-FD8E62D05AB2}" name="Column13854"/>
    <tableColumn id="13858" xr3:uid="{3D1BC828-722B-4F76-85C4-C095CD86A156}" name="Column13855"/>
    <tableColumn id="13859" xr3:uid="{DF33AC6A-0D58-4AD6-8FE2-EF4889C56ACC}" name="Column13856"/>
    <tableColumn id="13860" xr3:uid="{6AFCB116-AEEF-42A4-BC92-6B3D526417B1}" name="Column13857"/>
    <tableColumn id="13861" xr3:uid="{657EFE7E-1F67-46A3-9CBD-D7C8476634E5}" name="Column13858"/>
    <tableColumn id="13862" xr3:uid="{4329C8A4-7A28-409E-B57D-374150E6CD93}" name="Column13859"/>
    <tableColumn id="13863" xr3:uid="{7BA978C1-FC35-46F9-B295-E00384BB6E94}" name="Column13860"/>
    <tableColumn id="13864" xr3:uid="{1F232869-A93E-428E-85CB-5862833398E4}" name="Column13861"/>
    <tableColumn id="13865" xr3:uid="{052FEF70-4F66-439D-A44C-AAC10EC9B013}" name="Column13862"/>
    <tableColumn id="13866" xr3:uid="{5176192A-0DF5-4FAE-962D-B42E79A3F6F3}" name="Column13863"/>
    <tableColumn id="13867" xr3:uid="{51125D7F-5AAB-4284-A65B-415EF346BF79}" name="Column13864"/>
    <tableColumn id="13868" xr3:uid="{8C3E7981-03E0-4597-9175-A2C47483890D}" name="Column13865"/>
    <tableColumn id="13869" xr3:uid="{37DC9BF4-8ED3-4821-90A5-28CBB24BCF09}" name="Column13866"/>
    <tableColumn id="13870" xr3:uid="{24447957-9E67-4138-8CAA-4F00A2C72EE7}" name="Column13867"/>
    <tableColumn id="13871" xr3:uid="{0CE4A00D-B003-4896-B234-81F5590A624F}" name="Column13868"/>
    <tableColumn id="13872" xr3:uid="{97B2BD90-8080-4E4F-9729-2293A8BDE9E3}" name="Column13869"/>
    <tableColumn id="13873" xr3:uid="{84DE5969-FDBC-4BA9-A90B-37B2C533F6FB}" name="Column13870"/>
    <tableColumn id="13874" xr3:uid="{7DA928E9-34FA-41DE-9AAB-81084F730387}" name="Column13871"/>
    <tableColumn id="13875" xr3:uid="{78254A4A-CF16-4280-AC3F-5BC84872BCC7}" name="Column13872"/>
    <tableColumn id="13876" xr3:uid="{99B06ABA-0822-45FF-B616-C5C4C9342F61}" name="Column13873"/>
    <tableColumn id="13877" xr3:uid="{3AE494FA-73B3-481B-AFB5-4BE41193E72B}" name="Column13874"/>
    <tableColumn id="13878" xr3:uid="{4EE02D44-CE45-4B53-854F-A0AF13156210}" name="Column13875"/>
    <tableColumn id="13879" xr3:uid="{4D59E227-0B35-45ED-8374-3535FBDDE1F1}" name="Column13876"/>
    <tableColumn id="13880" xr3:uid="{789763EC-4D1B-4F72-A0CE-5D31C22A4497}" name="Column13877"/>
    <tableColumn id="13881" xr3:uid="{7812FDAA-B499-4623-9A55-2E1050D6B298}" name="Column13878"/>
    <tableColumn id="13882" xr3:uid="{879131B3-4B9C-4BB0-A535-2291A1CED199}" name="Column13879"/>
    <tableColumn id="13883" xr3:uid="{ACB295B7-775B-459A-B61D-09E2A476597D}" name="Column13880"/>
    <tableColumn id="13884" xr3:uid="{1768DF2C-CBBB-434C-AD02-54A03EDD4F9B}" name="Column13881"/>
    <tableColumn id="13885" xr3:uid="{AC7408D5-29E1-45CE-B22E-6FD21054E1B3}" name="Column13882"/>
    <tableColumn id="13886" xr3:uid="{3A33E560-4213-44C9-A27D-C14A8E047F52}" name="Column13883"/>
    <tableColumn id="13887" xr3:uid="{8DC345FD-93F7-4663-94DA-B4D16623A2AF}" name="Column13884"/>
    <tableColumn id="13888" xr3:uid="{6702CCF3-C37A-4745-A195-0ECACDE551F9}" name="Column13885"/>
    <tableColumn id="13889" xr3:uid="{188D3E99-7691-419C-B79F-F75CADC15DE9}" name="Column13886"/>
    <tableColumn id="13890" xr3:uid="{459E270B-8A33-453F-82D2-CD81E7915E1C}" name="Column13887"/>
    <tableColumn id="13891" xr3:uid="{78A72341-4716-44AB-B13A-ECCC5A57B47B}" name="Column13888"/>
    <tableColumn id="13892" xr3:uid="{BA37CFC8-3EA7-4710-81EB-8D4A56CFCB47}" name="Column13889"/>
    <tableColumn id="13893" xr3:uid="{A68CAAB7-431B-46CD-A9CD-5D8ED2175D2C}" name="Column13890"/>
    <tableColumn id="13894" xr3:uid="{84D412E0-01FF-4587-9AC8-1C251007ED60}" name="Column13891"/>
    <tableColumn id="13895" xr3:uid="{E4E83D6A-E644-428B-A36D-00D737934B15}" name="Column13892"/>
    <tableColumn id="13896" xr3:uid="{3735F71D-83C9-4ACE-935E-38912D71D863}" name="Column13893"/>
    <tableColumn id="13897" xr3:uid="{719335C8-2F52-4CC7-A4A5-F5FF45514AE0}" name="Column13894"/>
    <tableColumn id="13898" xr3:uid="{C41B0505-6DBD-49B4-9DD3-7F3774B8F0C6}" name="Column13895"/>
    <tableColumn id="13899" xr3:uid="{8B388A99-3464-446A-8667-6D381756D01E}" name="Column13896"/>
    <tableColumn id="13900" xr3:uid="{435EBBEE-0D86-4413-B844-2B9BD4F521D2}" name="Column13897"/>
    <tableColumn id="13901" xr3:uid="{F0EFFC54-EA0D-429C-A50D-D0282FADDD34}" name="Column13898"/>
    <tableColumn id="13902" xr3:uid="{0DEE2FB2-73A0-4268-BE75-5008F441D34B}" name="Column13899"/>
    <tableColumn id="13903" xr3:uid="{869FA658-D66D-4BB4-A45F-99ABE8097EC5}" name="Column13900"/>
    <tableColumn id="13904" xr3:uid="{3210BCA9-A709-4F39-B639-A79F320DF4EB}" name="Column13901"/>
    <tableColumn id="13905" xr3:uid="{A42E81B5-62A0-4C86-A638-AE39EB4F30BF}" name="Column13902"/>
    <tableColumn id="13906" xr3:uid="{2670CF16-B793-4A37-B67E-11D786CB8653}" name="Column13903"/>
    <tableColumn id="13907" xr3:uid="{1889C160-6E26-44F6-AC82-6BD337743996}" name="Column13904"/>
    <tableColumn id="13908" xr3:uid="{D726CC6E-567F-4648-8F84-FC87D167F184}" name="Column13905"/>
    <tableColumn id="13909" xr3:uid="{B6DAEE41-C5CC-4494-96D6-2F070D5FDB4D}" name="Column13906"/>
    <tableColumn id="13910" xr3:uid="{7A057DFC-615F-4457-8FEA-A9EB2108B300}" name="Column13907"/>
    <tableColumn id="13911" xr3:uid="{BEB010E3-7C38-4004-A6BB-4645407DC082}" name="Column13908"/>
    <tableColumn id="13912" xr3:uid="{A8C03AC9-896F-48AA-8A79-FD044774684F}" name="Column13909"/>
    <tableColumn id="13913" xr3:uid="{01EF1C43-55B2-4D64-A3BD-C7A74F5567EB}" name="Column13910"/>
    <tableColumn id="13914" xr3:uid="{5ACECD1B-355B-42A0-A40B-41086F949831}" name="Column13911"/>
    <tableColumn id="13915" xr3:uid="{298DADC4-B872-4FAD-A392-5612347A8BC1}" name="Column13912"/>
    <tableColumn id="13916" xr3:uid="{C1A177A5-941D-4EB0-861B-13D97BF5910B}" name="Column13913"/>
    <tableColumn id="13917" xr3:uid="{2BEEECC8-3AC3-4B32-82A3-B6CE8EAEA224}" name="Column13914"/>
    <tableColumn id="13918" xr3:uid="{D5C05A9B-D632-4D22-B0BE-1A7ABB446DF9}" name="Column13915"/>
    <tableColumn id="13919" xr3:uid="{95C6FAD3-F7C9-485F-9E9E-4513513E1D31}" name="Column13916"/>
    <tableColumn id="13920" xr3:uid="{6270131A-EDE9-4BE1-B140-CBB3ACF63DCD}" name="Column13917"/>
    <tableColumn id="13921" xr3:uid="{FDE9A7F5-FE4A-49B3-B870-3D6CD72EB6A6}" name="Column13918"/>
    <tableColumn id="13922" xr3:uid="{558648B2-E835-413A-8E76-D2CE98632659}" name="Column13919"/>
    <tableColumn id="13923" xr3:uid="{4E5B6B46-3936-4707-ADC3-B5C914DE74B4}" name="Column13920"/>
    <tableColumn id="13924" xr3:uid="{DED2C99B-952C-4F60-AE90-2585CBCFFAAA}" name="Column13921"/>
    <tableColumn id="13925" xr3:uid="{D2C6550A-D7EB-430B-9556-1A99E0F8B52A}" name="Column13922"/>
    <tableColumn id="13926" xr3:uid="{7E9D30B2-B812-42AC-BC8B-745F7B6A8D92}" name="Column13923"/>
    <tableColumn id="13927" xr3:uid="{C378E170-A584-40C4-BCB9-D1E898C8AB0E}" name="Column13924"/>
    <tableColumn id="13928" xr3:uid="{C1B5F1E9-7B32-42C9-B59D-3113B62C3A59}" name="Column13925"/>
    <tableColumn id="13929" xr3:uid="{8569F502-1D55-4A43-9938-E0DAA1B2EC1C}" name="Column13926"/>
    <tableColumn id="13930" xr3:uid="{3F738C11-E690-491C-9B4A-982617DF6CAC}" name="Column13927"/>
    <tableColumn id="13931" xr3:uid="{B9460239-7944-40E5-A15D-E171FA2B3202}" name="Column13928"/>
    <tableColumn id="13932" xr3:uid="{5C1871EC-0787-47EE-9119-A755BC5ACDAA}" name="Column13929"/>
    <tableColumn id="13933" xr3:uid="{AA3FF85E-27D1-4738-B8D8-FDB72D71138F}" name="Column13930"/>
    <tableColumn id="13934" xr3:uid="{FF7769F6-9282-4941-9B8F-EF8257DE9D1E}" name="Column13931"/>
    <tableColumn id="13935" xr3:uid="{2519CC10-4846-4711-B628-F7C60275DFBA}" name="Column13932"/>
    <tableColumn id="13936" xr3:uid="{C229F76A-D8DE-4D86-90BA-5D898773BBEA}" name="Column13933"/>
    <tableColumn id="13937" xr3:uid="{C1453952-1BC8-49EE-AE4C-95E1D7FB28E5}" name="Column13934"/>
    <tableColumn id="13938" xr3:uid="{DDB3B736-F01F-4EF6-8FEC-F8BF9FA655A1}" name="Column13935"/>
    <tableColumn id="13939" xr3:uid="{1C4880DC-4EE9-4326-9842-0FBD47F532DA}" name="Column13936"/>
    <tableColumn id="13940" xr3:uid="{026EB13D-7A3A-4553-9E5E-1FB4F8B845E8}" name="Column13937"/>
    <tableColumn id="13941" xr3:uid="{AAD685D3-4C70-4202-B6EC-C1D4A5396FF7}" name="Column13938"/>
    <tableColumn id="13942" xr3:uid="{4DB1EA4C-E0A4-4A38-9FC0-49F294567C89}" name="Column13939"/>
    <tableColumn id="13943" xr3:uid="{18FEE7A3-B55F-4B98-A797-4413C36F85D7}" name="Column13940"/>
    <tableColumn id="13944" xr3:uid="{E556EE5F-A4A8-4BFE-87D1-9AC9B00B224D}" name="Column13941"/>
    <tableColumn id="13945" xr3:uid="{29438E84-F160-4D0B-9423-E1D035A8272C}" name="Column13942"/>
    <tableColumn id="13946" xr3:uid="{A31ACF0E-2E0A-403D-B4F6-B3024E97C171}" name="Column13943"/>
    <tableColumn id="13947" xr3:uid="{A4F9A819-0586-41C6-B97F-9080D4FD61B0}" name="Column13944"/>
    <tableColumn id="13948" xr3:uid="{48A4C5C1-C4CE-4337-B2DB-11B645F49872}" name="Column13945"/>
    <tableColumn id="13949" xr3:uid="{EF2FC082-23F7-419A-9F7E-61E117AC020A}" name="Column13946"/>
    <tableColumn id="13950" xr3:uid="{795F0B91-4630-47D8-9243-DECD603E9F5C}" name="Column13947"/>
    <tableColumn id="13951" xr3:uid="{24FD2F13-2DC4-4A90-9611-4A063CEEA892}" name="Column13948"/>
    <tableColumn id="13952" xr3:uid="{18A7C23A-FC96-4C2C-8187-97F19D049D58}" name="Column13949"/>
    <tableColumn id="13953" xr3:uid="{6BC092BE-13D4-48F8-B0C2-3A5DDA0B8E3B}" name="Column13950"/>
    <tableColumn id="13954" xr3:uid="{447C16CA-B208-4F12-B75F-129240B19DF0}" name="Column13951"/>
    <tableColumn id="13955" xr3:uid="{68F79DF1-9692-46A8-B8A0-65602607E9E6}" name="Column13952"/>
    <tableColumn id="13956" xr3:uid="{917BC562-C33E-4F2A-96D9-85E1614C82C6}" name="Column13953"/>
    <tableColumn id="13957" xr3:uid="{7136B663-5F0D-4740-A7D9-1B138B50B907}" name="Column13954"/>
    <tableColumn id="13958" xr3:uid="{A15A7589-40AC-4849-964D-517781AADC41}" name="Column13955"/>
    <tableColumn id="13959" xr3:uid="{3D3FB5B1-B1B2-4CD2-B152-8D658C01E5F8}" name="Column13956"/>
    <tableColumn id="13960" xr3:uid="{7AA60278-1189-4523-9ABE-59E00F1DE9BD}" name="Column13957"/>
    <tableColumn id="13961" xr3:uid="{AFE9707E-176C-4218-80E9-A2F81DF82EA6}" name="Column13958"/>
    <tableColumn id="13962" xr3:uid="{549CF8B5-1907-4FB1-939D-303B1AD76C2B}" name="Column13959"/>
    <tableColumn id="13963" xr3:uid="{9E7EDE0C-06FB-4B5C-82B3-236452328842}" name="Column13960"/>
    <tableColumn id="13964" xr3:uid="{8D85765F-DA21-4073-871F-370C3C8DB9FF}" name="Column13961"/>
    <tableColumn id="13965" xr3:uid="{98991A33-2C4A-4DAF-96F4-237117920E35}" name="Column13962"/>
    <tableColumn id="13966" xr3:uid="{63F1B3AF-FCD7-44DF-B275-EE61F02710D4}" name="Column13963"/>
    <tableColumn id="13967" xr3:uid="{F0AE8A16-3E48-4A12-83A1-1DAD03F84A83}" name="Column13964"/>
    <tableColumn id="13968" xr3:uid="{E52EEA9D-081A-4FD7-AD80-9FEC550B0A46}" name="Column13965"/>
    <tableColumn id="13969" xr3:uid="{75C34F58-5960-400F-95AB-8C9F3252298F}" name="Column13966"/>
    <tableColumn id="13970" xr3:uid="{265A5A41-7E43-4D2A-8ACD-D12F220DA770}" name="Column13967"/>
    <tableColumn id="13971" xr3:uid="{2D09138C-A9DC-4706-8748-D60D8AF8CE5F}" name="Column13968"/>
    <tableColumn id="13972" xr3:uid="{96EA635F-6595-4F6A-BDB7-EFFDF6D9E3CE}" name="Column13969"/>
    <tableColumn id="13973" xr3:uid="{8C23813A-255A-462E-93A9-B54C549633CF}" name="Column13970"/>
    <tableColumn id="13974" xr3:uid="{697A61C3-8C4C-4412-8D65-FEF2A9252E54}" name="Column13971"/>
    <tableColumn id="13975" xr3:uid="{C1A28001-7CC4-4A66-8055-8034C6EB4F84}" name="Column13972"/>
    <tableColumn id="13976" xr3:uid="{59D2F818-8F6C-4710-AB3F-E1F3D0C778AD}" name="Column13973"/>
    <tableColumn id="13977" xr3:uid="{FA2A3685-4864-489E-87C6-73926D7335AB}" name="Column13974"/>
    <tableColumn id="13978" xr3:uid="{47869B7E-47C7-4849-BE32-1B7BAFBE5516}" name="Column13975"/>
    <tableColumn id="13979" xr3:uid="{2C0D6C81-F894-44A5-973A-69BB6F30158A}" name="Column13976"/>
    <tableColumn id="13980" xr3:uid="{E05E1488-959D-4148-B659-B7FE1C998738}" name="Column13977"/>
    <tableColumn id="13981" xr3:uid="{134DC448-8C55-45F7-A736-04D74F0AB0E7}" name="Column13978"/>
    <tableColumn id="13982" xr3:uid="{9F2B9CCD-D6E4-499F-BD9C-C3BA2E20C5BD}" name="Column13979"/>
    <tableColumn id="13983" xr3:uid="{A76E7048-2C91-4A5A-8B12-9DECCB4E41ED}" name="Column13980"/>
    <tableColumn id="13984" xr3:uid="{63262021-5DF5-4893-A8A4-019DE2461E8A}" name="Column13981"/>
    <tableColumn id="13985" xr3:uid="{1888B151-B1F4-4BC3-AC0D-C31DF5386EA3}" name="Column13982"/>
    <tableColumn id="13986" xr3:uid="{A2381814-AD23-4C9F-8633-D4F534E7C087}" name="Column13983"/>
    <tableColumn id="13987" xr3:uid="{A51FDBBE-94C0-4240-89D3-A0D1B57A5C91}" name="Column13984"/>
    <tableColumn id="13988" xr3:uid="{36E21F92-B09B-43DD-8A73-856AE7D91E5B}" name="Column13985"/>
    <tableColumn id="13989" xr3:uid="{97A72CDA-A037-49BB-A48A-05B41078EC9F}" name="Column13986"/>
    <tableColumn id="13990" xr3:uid="{213AC5CE-18C4-476C-A8BB-810F0E18A93C}" name="Column13987"/>
    <tableColumn id="13991" xr3:uid="{B450F1B3-9542-4366-8863-96EB185C98AB}" name="Column13988"/>
    <tableColumn id="13992" xr3:uid="{D2B568B8-6611-472B-82B6-11E36619511B}" name="Column13989"/>
    <tableColumn id="13993" xr3:uid="{BA56644C-7E11-4BD2-8127-0CD7B60C4088}" name="Column13990"/>
    <tableColumn id="13994" xr3:uid="{93E0201F-6D89-4CE1-8078-F8769C7059CE}" name="Column13991"/>
    <tableColumn id="13995" xr3:uid="{D65A2E4D-1EFB-4063-86AA-8DA9FADA4A72}" name="Column13992"/>
    <tableColumn id="13996" xr3:uid="{26B15F4A-66F9-428C-8787-0DFD781CF215}" name="Column13993"/>
    <tableColumn id="13997" xr3:uid="{644CB017-F4B2-40F8-BDC9-5BF2601485D7}" name="Column13994"/>
    <tableColumn id="13998" xr3:uid="{355A7198-E1BA-417B-A6B0-60082F1E3773}" name="Column13995"/>
    <tableColumn id="13999" xr3:uid="{6698208D-C132-4464-9333-B0F82CDCCDD6}" name="Column13996"/>
    <tableColumn id="14000" xr3:uid="{4DAA820E-347F-4206-9423-230A80134765}" name="Column13997"/>
    <tableColumn id="14001" xr3:uid="{DBC829DC-DFF7-4260-BEC3-196C51AC8E7F}" name="Column13998"/>
    <tableColumn id="14002" xr3:uid="{4D460BBB-E652-49F1-A035-882CC95B024E}" name="Column13999"/>
    <tableColumn id="14003" xr3:uid="{C7A0B3BF-8ADD-43E2-A385-98EF41B82165}" name="Column14000"/>
    <tableColumn id="14004" xr3:uid="{83140E10-B7BE-4D34-97AE-8A08D8E12DFD}" name="Column14001"/>
    <tableColumn id="14005" xr3:uid="{0C7AB8F4-6B28-43EF-A2E0-876936F5A25A}" name="Column14002"/>
    <tableColumn id="14006" xr3:uid="{37EEF59D-6242-47CA-94C3-3A3DDCED93DB}" name="Column14003"/>
    <tableColumn id="14007" xr3:uid="{AC9501CC-AD99-4385-A7FD-7622D57EAC36}" name="Column14004"/>
    <tableColumn id="14008" xr3:uid="{4638076F-2E8D-4345-AC33-69E40088856A}" name="Column14005"/>
    <tableColumn id="14009" xr3:uid="{31301E57-5348-404E-A43D-4654FA3297FB}" name="Column14006"/>
    <tableColumn id="14010" xr3:uid="{86866A29-6E33-4842-A974-3B2D012782A8}" name="Column14007"/>
    <tableColumn id="14011" xr3:uid="{6AA4BCB0-E64F-4462-BD5B-F8979617A3DA}" name="Column14008"/>
    <tableColumn id="14012" xr3:uid="{6A8A5207-1CA7-4E98-885D-338081B3C0E8}" name="Column14009"/>
    <tableColumn id="14013" xr3:uid="{50C0C2CA-ED3A-4802-9E2C-A077F60A6117}" name="Column14010"/>
    <tableColumn id="14014" xr3:uid="{C85F4479-38E5-467D-A58A-A9A717801406}" name="Column14011"/>
    <tableColumn id="14015" xr3:uid="{BBB6A3A1-1AE9-470A-AEEB-8BE2BB8796B4}" name="Column14012"/>
    <tableColumn id="14016" xr3:uid="{846C4A40-A394-4F8B-8F75-FAA88B0DA242}" name="Column14013"/>
    <tableColumn id="14017" xr3:uid="{63F52DFC-7464-48FB-B5E8-FE69925F01CC}" name="Column14014"/>
    <tableColumn id="14018" xr3:uid="{638D939A-CD83-4265-BD46-921AEBE966D8}" name="Column14015"/>
    <tableColumn id="14019" xr3:uid="{3AF6B0B4-45E8-4D8F-AC32-EF2C7386AAE5}" name="Column14016"/>
    <tableColumn id="14020" xr3:uid="{A4F24045-A88A-47F2-9201-7840F07D6ED4}" name="Column14017"/>
    <tableColumn id="14021" xr3:uid="{1A001688-D206-48F0-B5D9-F2BC95DB4C9C}" name="Column14018"/>
    <tableColumn id="14022" xr3:uid="{3ED66AAC-62B3-4A3C-B642-3A40793DFBD2}" name="Column14019"/>
    <tableColumn id="14023" xr3:uid="{1164CC63-1776-422C-8565-8B71CB9CAB93}" name="Column14020"/>
    <tableColumn id="14024" xr3:uid="{AC847037-2156-4F03-B2E1-D7F852B1AA5C}" name="Column14021"/>
    <tableColumn id="14025" xr3:uid="{AD0B6CA2-13D5-41BA-AFED-AE56F846A118}" name="Column14022"/>
    <tableColumn id="14026" xr3:uid="{294BDAAC-F45B-4549-9EE5-591A1BB80197}" name="Column14023"/>
    <tableColumn id="14027" xr3:uid="{04632179-3412-427B-B43A-CA9363E4E767}" name="Column14024"/>
    <tableColumn id="14028" xr3:uid="{BBB723F2-4D81-420C-928B-65657E45D9DD}" name="Column14025"/>
    <tableColumn id="14029" xr3:uid="{8CC96367-B26D-4291-BFAA-18EBFBCA4259}" name="Column14026"/>
    <tableColumn id="14030" xr3:uid="{5F4FF4CA-B100-4440-ABA0-A9A86A52B2CE}" name="Column14027"/>
    <tableColumn id="14031" xr3:uid="{789FA13F-2FDB-40F4-83AC-6BA91C63024C}" name="Column14028"/>
    <tableColumn id="14032" xr3:uid="{D1BEE974-2B5D-40BB-BAF7-AA33A7A6B9E0}" name="Column14029"/>
    <tableColumn id="14033" xr3:uid="{B3CFFBA0-6B38-4708-8C5F-22BFB5A67506}" name="Column14030"/>
    <tableColumn id="14034" xr3:uid="{82B2E3C4-53E9-48F2-B58B-7EA027973FB4}" name="Column14031"/>
    <tableColumn id="14035" xr3:uid="{774B4BC6-008E-4A57-A853-525A6A00E9B0}" name="Column14032"/>
    <tableColumn id="14036" xr3:uid="{A5CC6822-9DF1-4F89-8BC5-A850FE826765}" name="Column14033"/>
    <tableColumn id="14037" xr3:uid="{7820CD14-B2B7-47A1-86F0-3B229DD741BA}" name="Column14034"/>
    <tableColumn id="14038" xr3:uid="{EF386A1D-9D00-48E0-84C1-1569B74C2FFF}" name="Column14035"/>
    <tableColumn id="14039" xr3:uid="{3443BBB2-4605-478E-AAF6-9369E53C3348}" name="Column14036"/>
    <tableColumn id="14040" xr3:uid="{5F1F5E3A-958B-47ED-8ABE-06E204755447}" name="Column14037"/>
    <tableColumn id="14041" xr3:uid="{D0AABB7D-0116-4AF1-B340-712238FCF2E7}" name="Column14038"/>
    <tableColumn id="14042" xr3:uid="{89672EA7-3F43-4959-97B2-42014AF5515C}" name="Column14039"/>
    <tableColumn id="14043" xr3:uid="{D481817F-5295-48D2-A24D-466D5EEB2512}" name="Column14040"/>
    <tableColumn id="14044" xr3:uid="{E0216C18-D9B9-47E0-A1E9-C358E7346721}" name="Column14041"/>
    <tableColumn id="14045" xr3:uid="{176FC1F9-65A7-4EB8-9113-A07B09921ABD}" name="Column14042"/>
    <tableColumn id="14046" xr3:uid="{C02DAFB3-4EA4-48B6-B5F1-E7AB8DC6022D}" name="Column14043"/>
    <tableColumn id="14047" xr3:uid="{FFAA499A-795A-4F21-902C-18F77222927D}" name="Column14044"/>
    <tableColumn id="14048" xr3:uid="{6A2A2DCC-F2DF-4A3D-A78B-DA0CBEE43702}" name="Column14045"/>
    <tableColumn id="14049" xr3:uid="{A02E10C3-6211-4DD9-9B65-3BA2A5147B9C}" name="Column14046"/>
    <tableColumn id="14050" xr3:uid="{FEC8D4BE-F102-4571-ABAD-A10BA14BFF51}" name="Column14047"/>
    <tableColumn id="14051" xr3:uid="{1A6B0600-25C3-419F-98F0-C66E521BF1C6}" name="Column14048"/>
    <tableColumn id="14052" xr3:uid="{F0297349-EF1E-47A0-A613-4280E3D394A0}" name="Column14049"/>
    <tableColumn id="14053" xr3:uid="{C63ADD01-BA4D-4530-8729-3221CBFB8F36}" name="Column14050"/>
    <tableColumn id="14054" xr3:uid="{2734A57F-C6BA-446F-A016-F9CB4F090C76}" name="Column14051"/>
    <tableColumn id="14055" xr3:uid="{8300732C-76B2-41B3-8021-E8207D48646D}" name="Column14052"/>
    <tableColumn id="14056" xr3:uid="{AAF919FA-E0DF-44DB-99C0-D8351A4D5CE2}" name="Column14053"/>
    <tableColumn id="14057" xr3:uid="{B987EA25-4A1F-45D0-8CB9-B0270FAFE54C}" name="Column14054"/>
    <tableColumn id="14058" xr3:uid="{AAEFF58C-E02F-4D7D-894F-CF2AF84562DF}" name="Column14055"/>
    <tableColumn id="14059" xr3:uid="{682F1532-C543-465B-998A-AAC511BC4C0F}" name="Column14056"/>
    <tableColumn id="14060" xr3:uid="{AF267665-BB84-44A1-B6E8-974679758E64}" name="Column14057"/>
    <tableColumn id="14061" xr3:uid="{70DE6E88-6067-4F1D-A328-50534023BBE0}" name="Column14058"/>
    <tableColumn id="14062" xr3:uid="{2F2698DA-E3F4-4589-8C65-EC52DABDA648}" name="Column14059"/>
    <tableColumn id="14063" xr3:uid="{CBC8BDF1-202C-47BC-84E2-272569F2C044}" name="Column14060"/>
    <tableColumn id="14064" xr3:uid="{5C7DE1C9-4549-41D1-BAD5-68CF27B1FFB7}" name="Column14061"/>
    <tableColumn id="14065" xr3:uid="{65DA36E2-D7C3-4E63-8310-FB61B58E8534}" name="Column14062"/>
    <tableColumn id="14066" xr3:uid="{CCA42FD9-2458-43D7-8EA5-CF1F1B43A1D8}" name="Column14063"/>
    <tableColumn id="14067" xr3:uid="{5872AD7B-D0CA-49C3-A711-3C2B08513836}" name="Column14064"/>
    <tableColumn id="14068" xr3:uid="{95377682-6C96-47FB-B954-B0D738722BBC}" name="Column14065"/>
    <tableColumn id="14069" xr3:uid="{4322566A-1E67-4A69-9D85-57481D1CC7CE}" name="Column14066"/>
    <tableColumn id="14070" xr3:uid="{105C0282-9F84-40FA-849E-5035372F52AD}" name="Column14067"/>
    <tableColumn id="14071" xr3:uid="{3945DBA3-B358-49C8-8FEF-1971550204B6}" name="Column14068"/>
    <tableColumn id="14072" xr3:uid="{798DDBED-4CFD-4285-83C1-407C60EB50D5}" name="Column14069"/>
    <tableColumn id="14073" xr3:uid="{5BD3EE84-FE08-4025-9FF8-A4F1F42D99EC}" name="Column14070"/>
    <tableColumn id="14074" xr3:uid="{996FBD60-17E6-4548-B986-7EE3EAEBE4AD}" name="Column14071"/>
    <tableColumn id="14075" xr3:uid="{43D6732B-18D9-4DE7-88B0-F3212776C827}" name="Column14072"/>
    <tableColumn id="14076" xr3:uid="{77DF4C38-F00A-42F8-9101-D335DFC46E51}" name="Column14073"/>
    <tableColumn id="14077" xr3:uid="{F331C761-61DD-4125-AA2E-A8D51F1B2A43}" name="Column14074"/>
    <tableColumn id="14078" xr3:uid="{C291880D-DE58-40A2-B8BE-CFABA620E315}" name="Column14075"/>
    <tableColumn id="14079" xr3:uid="{48D67310-FBCA-4FF6-ABED-58A4ACFAE4DD}" name="Column14076"/>
    <tableColumn id="14080" xr3:uid="{D083152D-E06C-4826-93C8-3933388EEEC6}" name="Column14077"/>
    <tableColumn id="14081" xr3:uid="{93321E16-6FED-430D-8C2A-E292D69DD122}" name="Column14078"/>
    <tableColumn id="14082" xr3:uid="{19D88F34-CE6E-4711-A2BC-F602E92583DF}" name="Column14079"/>
    <tableColumn id="14083" xr3:uid="{BE3CF7D9-1CE7-45F4-932E-BFF833E4B913}" name="Column14080"/>
    <tableColumn id="14084" xr3:uid="{27A02EE3-FD27-4E3C-B71F-4411A541F74E}" name="Column14081"/>
    <tableColumn id="14085" xr3:uid="{1B1AFD93-D413-4DA3-B2FB-F6BA673F4851}" name="Column14082"/>
    <tableColumn id="14086" xr3:uid="{E237AA21-3C14-4A06-89E3-AD6958F35851}" name="Column14083"/>
    <tableColumn id="14087" xr3:uid="{B286A724-1ADD-48F0-BCAA-09DF71D358E9}" name="Column14084"/>
    <tableColumn id="14088" xr3:uid="{3733AB80-43C0-482F-8AEC-7A1FA376B2B5}" name="Column14085"/>
    <tableColumn id="14089" xr3:uid="{4F8C8B8B-C790-4BA8-8F20-CD52E364DEF5}" name="Column14086"/>
    <tableColumn id="14090" xr3:uid="{53BD7D3C-5187-4695-994B-570894E21C56}" name="Column14087"/>
    <tableColumn id="14091" xr3:uid="{F809E79E-9901-4A10-AABC-564EA9C57E33}" name="Column14088"/>
    <tableColumn id="14092" xr3:uid="{9FF5FC1B-CFCE-4DAF-AFBC-774801A62976}" name="Column14089"/>
    <tableColumn id="14093" xr3:uid="{CED28BCF-7CC1-4A93-83B6-E2E9EF88E64D}" name="Column14090"/>
    <tableColumn id="14094" xr3:uid="{85388936-F905-49EE-82EC-4B51246F2885}" name="Column14091"/>
    <tableColumn id="14095" xr3:uid="{F180C4C4-87BA-407E-B862-8DCD9379AB9E}" name="Column14092"/>
    <tableColumn id="14096" xr3:uid="{431CD1BA-B66B-4666-95B7-C1A01A84EBD2}" name="Column14093"/>
    <tableColumn id="14097" xr3:uid="{AA0D5903-1B8F-4A26-A278-F7D5BF3ACDB6}" name="Column14094"/>
    <tableColumn id="14098" xr3:uid="{EA57D809-2F1C-4004-8C43-9BBE5751C0A0}" name="Column14095"/>
    <tableColumn id="14099" xr3:uid="{48F9A376-08D7-4667-8263-F38DD0BB757A}" name="Column14096"/>
    <tableColumn id="14100" xr3:uid="{6784AB00-DC52-4A97-A7F9-BE346E1DE57A}" name="Column14097"/>
    <tableColumn id="14101" xr3:uid="{36610567-11E6-495A-A15B-E843659FC180}" name="Column14098"/>
    <tableColumn id="14102" xr3:uid="{5A8A92E7-2A7C-4330-B426-60E34A73888D}" name="Column14099"/>
    <tableColumn id="14103" xr3:uid="{F409A2C1-6F43-44A0-9FD2-298F5AC7417B}" name="Column14100"/>
    <tableColumn id="14104" xr3:uid="{DF0B601F-12AB-4F84-9321-00A54800CF0C}" name="Column14101"/>
    <tableColumn id="14105" xr3:uid="{341CEFFE-9C75-443E-87CD-2D74ABA219B6}" name="Column14102"/>
    <tableColumn id="14106" xr3:uid="{B00CB724-8063-4D78-A854-3729F5FCC783}" name="Column14103"/>
    <tableColumn id="14107" xr3:uid="{AF0FFC1C-F806-40A6-B6BE-47B8A686FBB3}" name="Column14104"/>
    <tableColumn id="14108" xr3:uid="{E56B5D16-39E5-4D99-AB19-AC601FC23D05}" name="Column14105"/>
    <tableColumn id="14109" xr3:uid="{07C3D18B-8C2E-4D87-AF52-8366FCED84B2}" name="Column14106"/>
    <tableColumn id="14110" xr3:uid="{BD0FE467-0331-4702-9619-F95B17FC2E2C}" name="Column14107"/>
    <tableColumn id="14111" xr3:uid="{28BD9FDC-89C4-423A-9C9F-5FE1CFA97A6E}" name="Column14108"/>
    <tableColumn id="14112" xr3:uid="{AFD58A51-57F2-4C44-A69D-C60EA629015A}" name="Column14109"/>
    <tableColumn id="14113" xr3:uid="{6B4D7E15-2CDA-4545-9369-C252BF19DE31}" name="Column14110"/>
    <tableColumn id="14114" xr3:uid="{85A1B474-6732-401B-AEEE-616AAB314F36}" name="Column14111"/>
    <tableColumn id="14115" xr3:uid="{3E740E0D-256D-44E8-B8A8-49D4E663B41A}" name="Column14112"/>
    <tableColumn id="14116" xr3:uid="{90A1F453-BB30-44BA-98CE-142216D06833}" name="Column14113"/>
    <tableColumn id="14117" xr3:uid="{94E4AA2E-D347-484E-A879-75B63DEA2251}" name="Column14114"/>
    <tableColumn id="14118" xr3:uid="{B75AD0B6-94EF-40A1-A204-7D908192B6AA}" name="Column14115"/>
    <tableColumn id="14119" xr3:uid="{B4373EC9-98CD-40B4-8FEA-E5ECBE97BB22}" name="Column14116"/>
    <tableColumn id="14120" xr3:uid="{4FA8AAFE-A9CE-4532-9ED9-D6CAF05BBB7E}" name="Column14117"/>
    <tableColumn id="14121" xr3:uid="{D6034BC1-17C3-4BD6-9D40-3C68E41692A4}" name="Column14118"/>
    <tableColumn id="14122" xr3:uid="{8ED05FC3-221A-4D71-B8EC-2A0307A82F11}" name="Column14119"/>
    <tableColumn id="14123" xr3:uid="{8EFE7992-34F8-4BB7-9E37-3BCDD5BFA389}" name="Column14120"/>
    <tableColumn id="14124" xr3:uid="{C5CA91D5-F27F-44B9-A3A3-E98E5F74A758}" name="Column14121"/>
    <tableColumn id="14125" xr3:uid="{B64F4DF9-711C-4AB0-9C6D-81C64F30D26E}" name="Column14122"/>
    <tableColumn id="14126" xr3:uid="{B95C7268-F121-4A81-8932-6C778EE81632}" name="Column14123"/>
    <tableColumn id="14127" xr3:uid="{4883DCD9-DDE6-4791-B209-685E0C628DE5}" name="Column14124"/>
    <tableColumn id="14128" xr3:uid="{775EEDB0-8A28-4C28-8DA3-B4CA99F49BF9}" name="Column14125"/>
    <tableColumn id="14129" xr3:uid="{767D98EC-A8FD-4E58-B48D-61C9BFF6B65C}" name="Column14126"/>
    <tableColumn id="14130" xr3:uid="{AE152FE6-4DBD-48DE-9C00-94A51BC910CB}" name="Column14127"/>
    <tableColumn id="14131" xr3:uid="{70B0B482-2C13-4094-BBE5-A78E11611BD9}" name="Column14128"/>
    <tableColumn id="14132" xr3:uid="{03BD0A1B-2EB5-4256-9A61-B51DBFFB3FA0}" name="Column14129"/>
    <tableColumn id="14133" xr3:uid="{51D4AC5D-8F3F-42A3-9B22-5BD08963A8DF}" name="Column14130"/>
    <tableColumn id="14134" xr3:uid="{798B2E6C-AF2E-45C3-AC2C-767C30DA2F39}" name="Column14131"/>
    <tableColumn id="14135" xr3:uid="{CE51A161-87A4-4570-B136-4EB56D992FBD}" name="Column14132"/>
    <tableColumn id="14136" xr3:uid="{1C648D78-1A2C-47C7-854C-0DD0422F0AD7}" name="Column14133"/>
    <tableColumn id="14137" xr3:uid="{791D974C-9C03-4459-B8CB-B735CF67E618}" name="Column14134"/>
    <tableColumn id="14138" xr3:uid="{CA2F86F9-3960-4BD9-AEB2-F3641E4FFE0C}" name="Column14135"/>
    <tableColumn id="14139" xr3:uid="{21460D6D-64E5-469C-BC37-67F266293F38}" name="Column14136"/>
    <tableColumn id="14140" xr3:uid="{44F12EE7-529F-454B-A65C-A23CC1663A44}" name="Column14137"/>
    <tableColumn id="14141" xr3:uid="{67324F84-4725-4A01-9793-AEBA52230897}" name="Column14138"/>
    <tableColumn id="14142" xr3:uid="{FA76E85B-9538-43F6-A3FD-40917FA6ADD6}" name="Column14139"/>
    <tableColumn id="14143" xr3:uid="{112FA173-9BB9-4F24-A0CD-33BFE7887E9F}" name="Column14140"/>
    <tableColumn id="14144" xr3:uid="{58595BA2-701E-40F3-B429-291047597847}" name="Column14141"/>
    <tableColumn id="14145" xr3:uid="{E05AE16E-4F44-47AE-8071-C869B5913C3F}" name="Column14142"/>
    <tableColumn id="14146" xr3:uid="{DC81688B-5F34-423A-87FC-4886AF793A5E}" name="Column14143"/>
    <tableColumn id="14147" xr3:uid="{E23EAA85-E912-4565-9226-6FFBA5247B6C}" name="Column14144"/>
    <tableColumn id="14148" xr3:uid="{8E7AD3A6-4CBE-4C4E-8B96-07F85A5BFA65}" name="Column14145"/>
    <tableColumn id="14149" xr3:uid="{F1D42D93-47BA-4CF1-B783-DB223243E786}" name="Column14146"/>
    <tableColumn id="14150" xr3:uid="{4600E357-2AFD-4704-9E30-027E597210CA}" name="Column14147"/>
    <tableColumn id="14151" xr3:uid="{B9ECA9FA-BCB9-4FEF-AFE8-286E098CC4C3}" name="Column14148"/>
    <tableColumn id="14152" xr3:uid="{28190302-B499-426E-B472-E8E82F497E6B}" name="Column14149"/>
    <tableColumn id="14153" xr3:uid="{53018F9A-1066-4E2B-8243-0D300F95BCCF}" name="Column14150"/>
    <tableColumn id="14154" xr3:uid="{54D5D4CE-7946-4F03-AC50-07C0942D6AD2}" name="Column14151"/>
    <tableColumn id="14155" xr3:uid="{851D15E5-0C83-48CE-9D90-302D2D215974}" name="Column14152"/>
    <tableColumn id="14156" xr3:uid="{5C1158D6-F9D7-4C78-8F53-055CF751A346}" name="Column14153"/>
    <tableColumn id="14157" xr3:uid="{D9583C4C-12F6-4730-80D4-E2A862BB2148}" name="Column14154"/>
    <tableColumn id="14158" xr3:uid="{4A7154B3-4E23-43AC-B895-DE6C8BDD23B1}" name="Column14155"/>
    <tableColumn id="14159" xr3:uid="{9EA4F1CB-B6EF-436B-8135-DD34EDA21229}" name="Column14156"/>
    <tableColumn id="14160" xr3:uid="{DBD5F472-86E2-43DB-9896-B7C51F9031C4}" name="Column14157"/>
    <tableColumn id="14161" xr3:uid="{38EEF167-04C1-4BC4-8096-A978AF011AC4}" name="Column14158"/>
    <tableColumn id="14162" xr3:uid="{952D43B1-1BC3-4981-8BF0-D9E346FD1137}" name="Column14159"/>
    <tableColumn id="14163" xr3:uid="{BDA49273-F957-4818-A0FC-0C096189439C}" name="Column14160"/>
    <tableColumn id="14164" xr3:uid="{B043AC3B-35F6-4A7C-BBE6-3A34E373EEFC}" name="Column14161"/>
    <tableColumn id="14165" xr3:uid="{BEC3B53A-DBF0-4D35-9150-6F540D05A328}" name="Column14162"/>
    <tableColumn id="14166" xr3:uid="{F9030326-8B87-472C-93EF-AC7448BBD761}" name="Column14163"/>
    <tableColumn id="14167" xr3:uid="{6DE41AAC-BCFA-4FF3-A62C-46AD92D9A419}" name="Column14164"/>
    <tableColumn id="14168" xr3:uid="{27843E44-11C9-4AA4-8D99-B3DE0CCB13B3}" name="Column14165"/>
    <tableColumn id="14169" xr3:uid="{C3D4F5F9-BFFF-4EAB-A8D0-93C23B26D555}" name="Column14166"/>
    <tableColumn id="14170" xr3:uid="{625C56AC-047B-47EF-AFA2-446A1982D95E}" name="Column14167"/>
    <tableColumn id="14171" xr3:uid="{5888E58A-8EE7-4430-A69C-8F6F2A454C51}" name="Column14168"/>
    <tableColumn id="14172" xr3:uid="{10437DBF-0AE2-4D0D-971B-E529DD1D7436}" name="Column14169"/>
    <tableColumn id="14173" xr3:uid="{FB3FF0F3-2D59-4591-84F8-E8EC5F1CBA3C}" name="Column14170"/>
    <tableColumn id="14174" xr3:uid="{99D53B79-7D40-40EA-B8A5-1D674C470D9C}" name="Column14171"/>
    <tableColumn id="14175" xr3:uid="{EF9BE119-6F6C-4119-A379-6AB151D44787}" name="Column14172"/>
    <tableColumn id="14176" xr3:uid="{50F597E4-0E7F-4230-A74C-0D7185A5A376}" name="Column14173"/>
    <tableColumn id="14177" xr3:uid="{634E9DBC-DA4A-4734-AFC9-6E9F01536341}" name="Column14174"/>
    <tableColumn id="14178" xr3:uid="{5009902C-9757-4F4D-9F01-C382A1DD795C}" name="Column14175"/>
    <tableColumn id="14179" xr3:uid="{6661AD16-A085-47FE-8A93-3BEB913DDA83}" name="Column14176"/>
    <tableColumn id="14180" xr3:uid="{E48DC40F-254A-4DC6-B45E-95622D19369C}" name="Column14177"/>
    <tableColumn id="14181" xr3:uid="{35D4F7C0-D230-466E-B8F3-3BC06D5B6784}" name="Column14178"/>
    <tableColumn id="14182" xr3:uid="{99CF037B-8010-45B7-B2DB-D406F3D4C0B3}" name="Column14179"/>
    <tableColumn id="14183" xr3:uid="{3E8DC1A7-B99D-4AA3-8B1F-76135938BD2D}" name="Column14180"/>
    <tableColumn id="14184" xr3:uid="{9F273DA4-83D9-43AD-A875-2D805F87C2F3}" name="Column14181"/>
    <tableColumn id="14185" xr3:uid="{73B640E0-4802-4DB7-B6F0-F34BF8594468}" name="Column14182"/>
    <tableColumn id="14186" xr3:uid="{B90EFC61-3F98-4079-8A77-C501D2CE8FD2}" name="Column14183"/>
    <tableColumn id="14187" xr3:uid="{AAB3370E-B6C0-4883-9156-18C7282C1A1A}" name="Column14184"/>
    <tableColumn id="14188" xr3:uid="{C8731E88-188E-4A7E-B7ED-9E2FFDF058EA}" name="Column14185"/>
    <tableColumn id="14189" xr3:uid="{96E88EB4-5172-4A5E-8189-1F6BB2BE9A07}" name="Column14186"/>
    <tableColumn id="14190" xr3:uid="{8D3AE2D4-4269-450E-9109-456DACB7AE4A}" name="Column14187"/>
    <tableColumn id="14191" xr3:uid="{80AB786D-CB0B-4461-B862-BC8C8AC599B0}" name="Column14188"/>
    <tableColumn id="14192" xr3:uid="{CF1DB7F7-BC61-460E-B1B6-6F7C8531B8E5}" name="Column14189"/>
    <tableColumn id="14193" xr3:uid="{19FBE827-E55D-4A87-8234-10D377DC51E0}" name="Column14190"/>
    <tableColumn id="14194" xr3:uid="{6FD12D94-E74A-43F7-842A-F99688F79EBE}" name="Column14191"/>
    <tableColumn id="14195" xr3:uid="{BF7A7450-544B-4B64-B2B2-817C9AB93C3B}" name="Column14192"/>
    <tableColumn id="14196" xr3:uid="{7700791F-C296-41B2-8F55-8B63A107D682}" name="Column14193"/>
    <tableColumn id="14197" xr3:uid="{059E1B2C-C894-4105-A423-578A9AE66C23}" name="Column14194"/>
    <tableColumn id="14198" xr3:uid="{34F9F2EB-3CA4-496C-A19E-FA7C58D7CF54}" name="Column14195"/>
    <tableColumn id="14199" xr3:uid="{A86CC11C-BD6F-4EEF-AFC9-3FB8B9A3C440}" name="Column14196"/>
    <tableColumn id="14200" xr3:uid="{12009811-315B-4699-B3E3-B71785138ECD}" name="Column14197"/>
    <tableColumn id="14201" xr3:uid="{E18BF472-3908-4759-A8FB-E573527D24F9}" name="Column14198"/>
    <tableColumn id="14202" xr3:uid="{7745AB7C-3E0D-47A0-9CC6-8E62C201B5B3}" name="Column14199"/>
    <tableColumn id="14203" xr3:uid="{2F2931CF-9753-44B5-9D14-231A02F5EA15}" name="Column14200"/>
    <tableColumn id="14204" xr3:uid="{B38B6C64-928A-425A-9C3B-12F2E704717D}" name="Column14201"/>
    <tableColumn id="14205" xr3:uid="{978EE116-D160-4D16-B47F-9ADECF05C844}" name="Column14202"/>
    <tableColumn id="14206" xr3:uid="{1E109D5D-1163-48C8-8FDF-3FD7396CEE62}" name="Column14203"/>
    <tableColumn id="14207" xr3:uid="{6EC68C66-44E6-4346-BAB0-226738CA4BC3}" name="Column14204"/>
    <tableColumn id="14208" xr3:uid="{563020C7-D707-404D-A40B-9E8DF755FC46}" name="Column14205"/>
    <tableColumn id="14209" xr3:uid="{6106E4A6-9F9A-42BE-B5B1-53D6124F5D6F}" name="Column14206"/>
    <tableColumn id="14210" xr3:uid="{D5900830-3979-4A86-AC15-7589FA659804}" name="Column14207"/>
    <tableColumn id="14211" xr3:uid="{154E9EC7-0D63-4447-919E-7B6026E90014}" name="Column14208"/>
    <tableColumn id="14212" xr3:uid="{B820D585-2725-4354-835E-0C3511605939}" name="Column14209"/>
    <tableColumn id="14213" xr3:uid="{A24D0C67-BFB7-4B9E-BFA9-FDB9E9D54AFE}" name="Column14210"/>
    <tableColumn id="14214" xr3:uid="{E30B994A-F663-45AD-84BA-0DB1C7A21692}" name="Column14211"/>
    <tableColumn id="14215" xr3:uid="{2F8F6B5F-FD11-4262-B186-0BCF3925D8F2}" name="Column14212"/>
    <tableColumn id="14216" xr3:uid="{A4D7AA07-30B0-475D-B44A-B682A323BC4F}" name="Column14213"/>
    <tableColumn id="14217" xr3:uid="{2D0A13E2-20A9-40A8-9478-42367F846DAB}" name="Column14214"/>
    <tableColumn id="14218" xr3:uid="{6AF80A76-6A53-42CA-B671-F195DB698F1B}" name="Column14215"/>
    <tableColumn id="14219" xr3:uid="{9316F404-EAA2-4D2B-A5FE-0988C3FE4341}" name="Column14216"/>
    <tableColumn id="14220" xr3:uid="{B1B7C49F-5380-42D1-A987-71BDDCC72826}" name="Column14217"/>
    <tableColumn id="14221" xr3:uid="{2EED7D7A-8B5D-4000-9719-77B076550BA2}" name="Column14218"/>
    <tableColumn id="14222" xr3:uid="{F1416409-9CED-42F8-A057-1EE2773DD08F}" name="Column14219"/>
    <tableColumn id="14223" xr3:uid="{D829AFFA-6EE5-4B12-9DD7-C93666D19C9A}" name="Column14220"/>
    <tableColumn id="14224" xr3:uid="{4B8CD8FC-C1AB-48CC-B9A9-9B42D55AC5CE}" name="Column14221"/>
    <tableColumn id="14225" xr3:uid="{7B0CEAE3-5CD0-4F5F-A543-C2805867AC3B}" name="Column14222"/>
    <tableColumn id="14226" xr3:uid="{34B8B4C3-8ED1-42DF-B71D-3D85DDCB3798}" name="Column14223"/>
    <tableColumn id="14227" xr3:uid="{CCF55EA5-8C5B-4105-A982-592C1B70E062}" name="Column14224"/>
    <tableColumn id="14228" xr3:uid="{5F49940E-F910-4B1F-A5E5-BAD1533B3C3F}" name="Column14225"/>
    <tableColumn id="14229" xr3:uid="{132980D7-F379-42F6-9A98-AD6C003E0ADD}" name="Column14226"/>
    <tableColumn id="14230" xr3:uid="{B1CCB7A6-3C1C-471C-877D-7BFA097DEF7E}" name="Column14227"/>
    <tableColumn id="14231" xr3:uid="{F8847F99-820A-479D-921B-92CF3AFED7F3}" name="Column14228"/>
    <tableColumn id="14232" xr3:uid="{2F7A0A75-7B59-4A31-B41F-760700231004}" name="Column14229"/>
    <tableColumn id="14233" xr3:uid="{719A2095-453B-44D4-B5DC-A5B53FAF4AB5}" name="Column14230"/>
    <tableColumn id="14234" xr3:uid="{8099CCCE-3FB9-4962-B149-78B751E21788}" name="Column14231"/>
    <tableColumn id="14235" xr3:uid="{282EF6A6-3738-45F8-ACEF-33E31FC53F5F}" name="Column14232"/>
    <tableColumn id="14236" xr3:uid="{375DB259-D190-4389-8ABA-CB3C71C9E047}" name="Column14233"/>
    <tableColumn id="14237" xr3:uid="{0F641C08-7CB4-44D3-9A18-76F0A90C679D}" name="Column14234"/>
    <tableColumn id="14238" xr3:uid="{5323F78B-D1E9-47E9-A837-F55EF72A65BF}" name="Column14235"/>
    <tableColumn id="14239" xr3:uid="{FFAE4A05-FE31-4147-9A2B-98E54E4E41AD}" name="Column14236"/>
    <tableColumn id="14240" xr3:uid="{34EFECEA-2898-4E3B-A3D7-1D98912874E9}" name="Column14237"/>
    <tableColumn id="14241" xr3:uid="{920907A0-6906-46F1-9932-5F1A35AD90A1}" name="Column14238"/>
    <tableColumn id="14242" xr3:uid="{5069B791-D9B7-47A4-90A1-12E2A9CE7EA8}" name="Column14239"/>
    <tableColumn id="14243" xr3:uid="{3A2D7DC1-6FC1-45D2-B92A-B3EBCA5D413B}" name="Column14240"/>
    <tableColumn id="14244" xr3:uid="{91E224B5-49C5-408A-8723-122AD09E9DD2}" name="Column14241"/>
    <tableColumn id="14245" xr3:uid="{44EEFD8E-1CF4-4CFD-B48F-3522DC80D2BD}" name="Column14242"/>
    <tableColumn id="14246" xr3:uid="{71E2F52F-311D-450B-BD71-AB0A706403FA}" name="Column14243"/>
    <tableColumn id="14247" xr3:uid="{5155AA90-F62C-42F8-9A68-3226C36B0DE7}" name="Column14244"/>
    <tableColumn id="14248" xr3:uid="{69B7348B-D300-4435-BBB8-416046B8A95C}" name="Column14245"/>
    <tableColumn id="14249" xr3:uid="{8707901F-5EC5-4C8D-9140-370A57E6374D}" name="Column14246"/>
    <tableColumn id="14250" xr3:uid="{E6772549-313C-42D8-8698-F475B6A299CC}" name="Column14247"/>
    <tableColumn id="14251" xr3:uid="{AFC6ACD8-EAB7-4C27-A3A9-2662CA8B4867}" name="Column14248"/>
    <tableColumn id="14252" xr3:uid="{2DD053BA-24BB-4BB8-AD60-0FDF46AFDD79}" name="Column14249"/>
    <tableColumn id="14253" xr3:uid="{0AE3B109-7829-4F19-9E2E-F19ACAB89AB9}" name="Column14250"/>
    <tableColumn id="14254" xr3:uid="{942396DC-D44D-461C-8776-148BBB77F8C4}" name="Column14251"/>
    <tableColumn id="14255" xr3:uid="{5904BA84-8393-4B3F-A3EB-C605130BC1E0}" name="Column14252"/>
    <tableColumn id="14256" xr3:uid="{0674C083-B525-411A-B673-8B3E3802A0E4}" name="Column14253"/>
    <tableColumn id="14257" xr3:uid="{C92B2367-4B44-4933-B0D9-87164AC51F28}" name="Column14254"/>
    <tableColumn id="14258" xr3:uid="{6FAFB1F1-0545-4FEF-B1C5-8E5C82FA683C}" name="Column14255"/>
    <tableColumn id="14259" xr3:uid="{EE8BC6F3-310D-49A6-96FC-709C6BF075E2}" name="Column14256"/>
    <tableColumn id="14260" xr3:uid="{5F120E7F-97B8-4486-8E8A-7C9F707FC4D5}" name="Column14257"/>
    <tableColumn id="14261" xr3:uid="{BEFE2F08-97C2-4027-9531-9A042A292D6A}" name="Column14258"/>
    <tableColumn id="14262" xr3:uid="{3C50F0C2-E787-4C8B-B5E3-02FF7E856E0B}" name="Column14259"/>
    <tableColumn id="14263" xr3:uid="{897FA3CC-7379-4FCA-B85B-0F074B5A2136}" name="Column14260"/>
    <tableColumn id="14264" xr3:uid="{13120B79-28BF-4F3F-8E1A-0061B3A87966}" name="Column14261"/>
    <tableColumn id="14265" xr3:uid="{C8B4EAFE-6EAA-435E-933E-16D715860158}" name="Column14262"/>
    <tableColumn id="14266" xr3:uid="{586EDE6C-843C-4D5D-85BB-16EE3C0EA49C}" name="Column14263"/>
    <tableColumn id="14267" xr3:uid="{CF2054B6-17B6-4B3F-A4E8-589620C6FFA1}" name="Column14264"/>
    <tableColumn id="14268" xr3:uid="{0B17B545-5578-4A3E-BF7A-451A6521A0FE}" name="Column14265"/>
    <tableColumn id="14269" xr3:uid="{26787E24-919B-4B4A-B422-89CBFE07E03E}" name="Column14266"/>
    <tableColumn id="14270" xr3:uid="{C8F52F6C-660A-4253-9F13-D73FA06E1C90}" name="Column14267"/>
    <tableColumn id="14271" xr3:uid="{614C68E3-A07B-4903-8FA2-313F6D6F7CC7}" name="Column14268"/>
    <tableColumn id="14272" xr3:uid="{AD617B05-F823-442B-9DEE-7A7A44199671}" name="Column14269"/>
    <tableColumn id="14273" xr3:uid="{E742E850-7F71-4645-A74E-0F4210C5C2D9}" name="Column14270"/>
    <tableColumn id="14274" xr3:uid="{D97C1033-1721-46AD-B04C-6D143BBC87D9}" name="Column14271"/>
    <tableColumn id="14275" xr3:uid="{9B8B52E5-003B-4106-B6DF-6DBEF1DBB2DB}" name="Column14272"/>
    <tableColumn id="14276" xr3:uid="{B5B22CCF-38E0-4511-9B67-CBEF4D77B2C9}" name="Column14273"/>
    <tableColumn id="14277" xr3:uid="{040D94AE-1763-4908-A8C3-4FDC88167280}" name="Column14274"/>
    <tableColumn id="14278" xr3:uid="{A4D96C55-88D9-4363-91E6-DDA8E46BE5F7}" name="Column14275"/>
    <tableColumn id="14279" xr3:uid="{E9B37726-F1CB-4F74-BA5E-12654E05CB36}" name="Column14276"/>
    <tableColumn id="14280" xr3:uid="{1ADD1CAD-C5B1-411A-B4F0-51D8B181F0B4}" name="Column14277"/>
    <tableColumn id="14281" xr3:uid="{7AA72712-06B5-41E9-815E-DDA8DBED797E}" name="Column14278"/>
    <tableColumn id="14282" xr3:uid="{74A904EE-E0A6-4EB5-8BA6-0D71BE17DCD7}" name="Column14279"/>
    <tableColumn id="14283" xr3:uid="{9FB12141-10DE-4784-9F7F-D748AA238666}" name="Column14280"/>
    <tableColumn id="14284" xr3:uid="{939D1BB9-8AE5-4D64-9A64-D3E2A9EE4AD1}" name="Column14281"/>
    <tableColumn id="14285" xr3:uid="{0554AF62-658E-4C1B-87DC-92EEAFADC892}" name="Column14282"/>
    <tableColumn id="14286" xr3:uid="{5E253EF0-A8C8-4825-97D4-285120081905}" name="Column14283"/>
    <tableColumn id="14287" xr3:uid="{13D817EB-78C6-4A6C-8E98-A94C89D069F0}" name="Column14284"/>
    <tableColumn id="14288" xr3:uid="{A0B09F7F-ED0E-40A5-B98E-99AF4403C2C4}" name="Column14285"/>
    <tableColumn id="14289" xr3:uid="{2A17BF01-8F77-4D1D-AC00-284FF20F2FB0}" name="Column14286"/>
    <tableColumn id="14290" xr3:uid="{331E1A90-4EBE-40D5-A54D-C933490B2DDA}" name="Column14287"/>
    <tableColumn id="14291" xr3:uid="{CDA58A1F-8413-4E84-96DF-1E62B4084D0B}" name="Column14288"/>
    <tableColumn id="14292" xr3:uid="{C239E56F-ED9E-448E-868A-81244A11E190}" name="Column14289"/>
    <tableColumn id="14293" xr3:uid="{36D06011-9780-4B0E-8C40-554F1038BCD3}" name="Column14290"/>
    <tableColumn id="14294" xr3:uid="{C8EFFA6D-1421-4682-B185-B7773B4F343A}" name="Column14291"/>
    <tableColumn id="14295" xr3:uid="{C653C2F5-3FB9-4436-AC7A-E7A208591BEA}" name="Column14292"/>
    <tableColumn id="14296" xr3:uid="{C37CCCA0-647F-42A0-93EC-453245D1AE02}" name="Column14293"/>
    <tableColumn id="14297" xr3:uid="{6AD86EC3-0498-4AA0-9A50-550EA038BDA6}" name="Column14294"/>
    <tableColumn id="14298" xr3:uid="{9606C5C3-454F-4955-9F41-C65815605975}" name="Column14295"/>
    <tableColumn id="14299" xr3:uid="{FF84BADF-2A69-487E-9DC2-3A8F0F25C9DB}" name="Column14296"/>
    <tableColumn id="14300" xr3:uid="{B460C559-B59B-4A27-9DB8-253D13FD4E80}" name="Column14297"/>
    <tableColumn id="14301" xr3:uid="{94841C42-3531-4A1E-A886-C418DB5C28B1}" name="Column14298"/>
    <tableColumn id="14302" xr3:uid="{8A97B88D-1C6B-4B95-92DD-FB9B7DDF89D6}" name="Column14299"/>
    <tableColumn id="14303" xr3:uid="{A27C2C90-605F-48CA-A404-499BC720B685}" name="Column14300"/>
    <tableColumn id="14304" xr3:uid="{09D7249A-7AEE-43B3-82D3-607A2153F013}" name="Column14301"/>
    <tableColumn id="14305" xr3:uid="{F0B3C105-E48B-4FDB-B315-3918048CC6F7}" name="Column14302"/>
    <tableColumn id="14306" xr3:uid="{DEEAB971-5F6D-4297-8E77-F1057F8A15B7}" name="Column14303"/>
    <tableColumn id="14307" xr3:uid="{02A68342-579A-47F1-BAA4-5FCD0C67F63A}" name="Column14304"/>
    <tableColumn id="14308" xr3:uid="{66DD45C1-1945-4196-B1A7-F9C4B8D1E3B1}" name="Column14305"/>
    <tableColumn id="14309" xr3:uid="{42C3F1DF-890F-46DD-84D1-2C70FE7A0F11}" name="Column14306"/>
    <tableColumn id="14310" xr3:uid="{45E9B5B5-E554-477F-8B68-51D49F5CA5D3}" name="Column14307"/>
    <tableColumn id="14311" xr3:uid="{6D2A6C32-D3B5-4CE8-9756-4C42DFB9499C}" name="Column14308"/>
    <tableColumn id="14312" xr3:uid="{75260461-FB6E-4891-80B6-1AD85017A2C3}" name="Column14309"/>
    <tableColumn id="14313" xr3:uid="{41BC5C38-62EC-4E49-9422-27B0FFD79EC4}" name="Column14310"/>
    <tableColumn id="14314" xr3:uid="{5A197E59-8071-4075-AF85-022AA601AE76}" name="Column14311"/>
    <tableColumn id="14315" xr3:uid="{C292146B-49A6-4582-A901-3A6EA6A03C45}" name="Column14312"/>
    <tableColumn id="14316" xr3:uid="{645D0700-7D88-4265-8480-5EBD47445DAF}" name="Column14313"/>
    <tableColumn id="14317" xr3:uid="{B8CE0D68-42B8-4C3C-BC18-F1A2EC77A1D7}" name="Column14314"/>
    <tableColumn id="14318" xr3:uid="{04E9B341-D5A4-4499-BBC8-A7015A4A3E26}" name="Column14315"/>
    <tableColumn id="14319" xr3:uid="{B81A0170-FA4E-4120-9616-F3118C05A57C}" name="Column14316"/>
    <tableColumn id="14320" xr3:uid="{EA2C64D7-DBEF-43F9-A300-A1EF6E2AC2B6}" name="Column14317"/>
    <tableColumn id="14321" xr3:uid="{95F40699-5DA6-4DB8-88D9-92C4932AFB59}" name="Column14318"/>
    <tableColumn id="14322" xr3:uid="{E731B489-70B2-4314-88E3-7BF0007BEAA2}" name="Column14319"/>
    <tableColumn id="14323" xr3:uid="{EEFF5729-FC11-454E-A240-9899F646133E}" name="Column14320"/>
    <tableColumn id="14324" xr3:uid="{2FB38787-28B5-4D06-9138-8B73FB4C9578}" name="Column14321"/>
    <tableColumn id="14325" xr3:uid="{2857E8A1-9CD6-4D11-B892-B960BCE953F7}" name="Column14322"/>
    <tableColumn id="14326" xr3:uid="{011C7243-BF2D-46DF-8DBA-A2D76CEF1AAD}" name="Column14323"/>
    <tableColumn id="14327" xr3:uid="{C12A0D42-B655-4B93-A57E-60E1B79C2118}" name="Column14324"/>
    <tableColumn id="14328" xr3:uid="{BA8CAEE7-92F7-4BFE-BFD9-0D522D0DAECF}" name="Column14325"/>
    <tableColumn id="14329" xr3:uid="{92FAF6B5-12CD-43FC-9A36-93C48AE69425}" name="Column14326"/>
    <tableColumn id="14330" xr3:uid="{032DB04E-5BAE-4A89-A9D6-F773C113FA18}" name="Column14327"/>
    <tableColumn id="14331" xr3:uid="{11DF0A1E-7B58-42EC-90DD-4C2F676EF700}" name="Column14328"/>
    <tableColumn id="14332" xr3:uid="{E817F72E-83CA-4017-819C-93E4B58A0D95}" name="Column14329"/>
    <tableColumn id="14333" xr3:uid="{9CE194E0-C029-4AA2-BAE6-3BC9D523B02A}" name="Column14330"/>
    <tableColumn id="14334" xr3:uid="{2DF3FC2D-7FCA-43A2-A60E-07788CA83D67}" name="Column14331"/>
    <tableColumn id="14335" xr3:uid="{88242D83-CF47-4C8A-A6EA-0C19611535FC}" name="Column14332"/>
    <tableColumn id="14336" xr3:uid="{78471860-C8DA-456F-9139-64B569A5A09F}" name="Column14333"/>
    <tableColumn id="14337" xr3:uid="{3D371C47-C606-474A-A62D-627F7B3076ED}" name="Column14334"/>
    <tableColumn id="14338" xr3:uid="{69FE4641-BA2A-4F19-9627-26806D42C621}" name="Column14335"/>
    <tableColumn id="14339" xr3:uid="{D6ACB9E6-F4C0-4805-8117-EB9E65A27FEA}" name="Column14336"/>
    <tableColumn id="14340" xr3:uid="{A4459078-113D-4B88-B651-5B29D919B8DC}" name="Column14337"/>
    <tableColumn id="14341" xr3:uid="{37CB7842-7649-4F2C-B290-6A4AA9942124}" name="Column14338"/>
    <tableColumn id="14342" xr3:uid="{FDD36AD2-E561-4317-AEDA-DAAA5432531B}" name="Column14339"/>
    <tableColumn id="14343" xr3:uid="{97CEEE4A-8F71-4BAA-8C1B-5FC4FB895981}" name="Column14340"/>
    <tableColumn id="14344" xr3:uid="{B713BF23-55C5-45E2-A9DB-20413D184817}" name="Column14341"/>
    <tableColumn id="14345" xr3:uid="{144E1E47-407C-4856-AC61-AA1D63337595}" name="Column14342"/>
    <tableColumn id="14346" xr3:uid="{2FB829F7-00F4-4817-B915-07CD9B28BD97}" name="Column14343"/>
    <tableColumn id="14347" xr3:uid="{96A3D973-C5BE-45E2-8214-52422926EE2B}" name="Column14344"/>
    <tableColumn id="14348" xr3:uid="{6E2E2B69-0118-4AC6-8F7E-6894D6566375}" name="Column14345"/>
    <tableColumn id="14349" xr3:uid="{5DE7297A-B3AF-4795-AE1B-45BA6C5897F4}" name="Column14346"/>
    <tableColumn id="14350" xr3:uid="{042B99A4-AE17-4A25-B1C4-64292A5E30F4}" name="Column14347"/>
    <tableColumn id="14351" xr3:uid="{24CDA2AA-4658-4A42-B571-463DF72CCE75}" name="Column14348"/>
    <tableColumn id="14352" xr3:uid="{60578FB9-EC7A-4E84-876C-D4A3D3B7DA73}" name="Column14349"/>
    <tableColumn id="14353" xr3:uid="{9CAAFF25-9B4A-4C60-B499-2E10F6D07388}" name="Column14350"/>
    <tableColumn id="14354" xr3:uid="{10F70391-BC11-4977-8B84-6137B9D40F56}" name="Column14351"/>
    <tableColumn id="14355" xr3:uid="{4943B1C1-FC6B-4793-8531-3EA0A53C7C0A}" name="Column14352"/>
    <tableColumn id="14356" xr3:uid="{8F884B93-E464-4710-A85B-49C7F8277BA9}" name="Column14353"/>
    <tableColumn id="14357" xr3:uid="{80D0CC9C-130C-4243-954D-0521C38F6B7B}" name="Column14354"/>
    <tableColumn id="14358" xr3:uid="{96BAEF21-FB0C-44C0-BDEF-9449DB11B5E2}" name="Column14355"/>
    <tableColumn id="14359" xr3:uid="{5A7E6B13-8158-4906-B040-0A041B65E3FC}" name="Column14356"/>
    <tableColumn id="14360" xr3:uid="{05008E24-AF37-418F-9B62-31F533B4132C}" name="Column14357"/>
    <tableColumn id="14361" xr3:uid="{1C12E45A-F68B-44C2-941F-2E06FC348AE8}" name="Column14358"/>
    <tableColumn id="14362" xr3:uid="{02249DFA-7A49-4571-ABA2-BDCF1CEBB1BA}" name="Column14359"/>
    <tableColumn id="14363" xr3:uid="{F42CA180-53BA-40DD-9749-C1900AA82A98}" name="Column14360"/>
    <tableColumn id="14364" xr3:uid="{122B34AD-1863-4DC3-85B7-B076AD2984BE}" name="Column14361"/>
    <tableColumn id="14365" xr3:uid="{7EA7F3F8-9209-4C99-BD5E-0968E1CD39C9}" name="Column14362"/>
    <tableColumn id="14366" xr3:uid="{67354702-82EB-42C4-B27E-5D7FD39188E7}" name="Column14363"/>
    <tableColumn id="14367" xr3:uid="{F2E8920B-4981-498B-AF4E-14E3FA520936}" name="Column14364"/>
    <tableColumn id="14368" xr3:uid="{0EFD46B0-D397-4A69-B42B-4C366F3AC000}" name="Column14365"/>
    <tableColumn id="14369" xr3:uid="{C3248394-CBF7-4304-AC65-AD7A7873D2A7}" name="Column14366"/>
    <tableColumn id="14370" xr3:uid="{FBD5A933-83C7-4AA4-878E-3CFA57F3E6D7}" name="Column14367"/>
    <tableColumn id="14371" xr3:uid="{149B761F-DC20-43CB-8A31-C2F7721CA22D}" name="Column14368"/>
    <tableColumn id="14372" xr3:uid="{F768749F-67FA-4841-AC97-80ECA9B8DA8E}" name="Column14369"/>
    <tableColumn id="14373" xr3:uid="{D1AB7E4E-0F58-45F9-8FC0-01DEA3F012C7}" name="Column14370"/>
    <tableColumn id="14374" xr3:uid="{6EBDD606-0042-4702-BABE-88DC21643F72}" name="Column14371"/>
    <tableColumn id="14375" xr3:uid="{97F1E762-57D3-4233-9763-DA5A9021FEB1}" name="Column14372"/>
    <tableColumn id="14376" xr3:uid="{6739598D-054F-4EDD-B616-306DA2965548}" name="Column14373"/>
    <tableColumn id="14377" xr3:uid="{526AE23B-38FC-4CC8-A658-04135CE3E7C2}" name="Column14374"/>
    <tableColumn id="14378" xr3:uid="{C83D06A1-EDE6-475C-9034-543CDCCE42E4}" name="Column14375"/>
    <tableColumn id="14379" xr3:uid="{58636605-6EE1-45F6-8A61-949D693BE77C}" name="Column14376"/>
    <tableColumn id="14380" xr3:uid="{48FB212B-78D2-4197-98DE-BBA224634AE8}" name="Column14377"/>
    <tableColumn id="14381" xr3:uid="{714BD952-CDC5-44FE-8E47-DC83877CC32A}" name="Column14378"/>
    <tableColumn id="14382" xr3:uid="{B4F23834-F2D2-4887-978D-4B3FA8A3EFA0}" name="Column14379"/>
    <tableColumn id="14383" xr3:uid="{A1D4FAB0-E290-4E24-9368-84802D18984B}" name="Column14380"/>
    <tableColumn id="14384" xr3:uid="{D506BBD8-9BFD-4B9E-948A-0AAF1B47E665}" name="Column14381"/>
    <tableColumn id="14385" xr3:uid="{06319942-F5C8-4463-B915-129B48CC99CF}" name="Column14382"/>
    <tableColumn id="14386" xr3:uid="{872024E8-DCC0-4414-A6B4-8C0D9D632BF5}" name="Column14383"/>
    <tableColumn id="14387" xr3:uid="{85F63D54-7341-46B1-935A-468C713CA420}" name="Column14384"/>
    <tableColumn id="14388" xr3:uid="{D40DE003-C87C-4DDD-B676-020FDFDD961F}" name="Column14385"/>
    <tableColumn id="14389" xr3:uid="{C8F9B3BC-4488-4EF7-9830-310F95BAD54B}" name="Column14386"/>
    <tableColumn id="14390" xr3:uid="{6A448E51-01A3-470A-9331-D246F61374EC}" name="Column14387"/>
    <tableColumn id="14391" xr3:uid="{4B43BA66-CCDF-4D5E-8660-BC589450D5B2}" name="Column14388"/>
    <tableColumn id="14392" xr3:uid="{367D3E1C-4852-43C9-ABD9-FE004257F582}" name="Column14389"/>
    <tableColumn id="14393" xr3:uid="{2E76CFBB-FC36-4C46-852E-F8D6E4B7DBF3}" name="Column14390"/>
    <tableColumn id="14394" xr3:uid="{CC960567-1EDE-4AC4-A37A-CA7C3F03237D}" name="Column14391"/>
    <tableColumn id="14395" xr3:uid="{2E948CDC-5F9C-414A-B0C3-4372235FE713}" name="Column14392"/>
    <tableColumn id="14396" xr3:uid="{37C38A16-0A0E-4DC5-83AE-BD3E6AADA36E}" name="Column14393"/>
    <tableColumn id="14397" xr3:uid="{C4738E83-CD10-4FE6-B152-4ED076BCAD03}" name="Column14394"/>
    <tableColumn id="14398" xr3:uid="{39B9ADCF-A0A7-46E8-B9F0-623228621D73}" name="Column14395"/>
    <tableColumn id="14399" xr3:uid="{B7C7FB1C-B035-4F5C-BF1A-32EBF7C448F2}" name="Column14396"/>
    <tableColumn id="14400" xr3:uid="{42B4769C-245A-4334-97A7-D8422EAED514}" name="Column14397"/>
    <tableColumn id="14401" xr3:uid="{059E0F4C-5380-4499-9914-C36CFE3C33AE}" name="Column14398"/>
    <tableColumn id="14402" xr3:uid="{4BD27294-CF46-483A-A1C0-9CDE5EAEA370}" name="Column14399"/>
    <tableColumn id="14403" xr3:uid="{D6695C5E-8555-4876-8FE1-5F912F1665DF}" name="Column14400"/>
    <tableColumn id="14404" xr3:uid="{28EDE06F-984D-470A-99CB-CADC1232801F}" name="Column14401"/>
    <tableColumn id="14405" xr3:uid="{26009064-8179-4C79-B112-B2C94083A42C}" name="Column14402"/>
    <tableColumn id="14406" xr3:uid="{DDAF3FBB-D1DA-43F5-9801-379E44A4DFDD}" name="Column14403"/>
    <tableColumn id="14407" xr3:uid="{7CD84D8F-08C6-422B-9B69-EE555C29F58D}" name="Column14404"/>
    <tableColumn id="14408" xr3:uid="{89970773-FC44-4B2D-AA5B-907537E83A5D}" name="Column14405"/>
    <tableColumn id="14409" xr3:uid="{2605B200-A4B2-4175-8578-C61239A35E5D}" name="Column14406"/>
    <tableColumn id="14410" xr3:uid="{0084891B-77F5-4195-9AE9-75A49453829F}" name="Column14407"/>
    <tableColumn id="14411" xr3:uid="{A698821C-12A5-4A99-9C01-39317235BDED}" name="Column14408"/>
    <tableColumn id="14412" xr3:uid="{C5B6A195-A18A-4F2D-B6A0-B29349D85B97}" name="Column14409"/>
    <tableColumn id="14413" xr3:uid="{D6D48AE8-D233-48F9-90D2-889464A5BC21}" name="Column14410"/>
    <tableColumn id="14414" xr3:uid="{D78E392F-A2CE-4118-A36A-B463A9E41A57}" name="Column14411"/>
    <tableColumn id="14415" xr3:uid="{2CAA09D8-1BD3-41B6-B0FC-2391AADCDC9F}" name="Column14412"/>
    <tableColumn id="14416" xr3:uid="{15B57047-C687-49B5-B5DF-79C1D3650E4B}" name="Column14413"/>
    <tableColumn id="14417" xr3:uid="{97D2A5CA-04E0-405F-A2E9-72FE9D1A3AE1}" name="Column14414"/>
    <tableColumn id="14418" xr3:uid="{447C6AC8-209E-4DC8-BB92-CDC7852FEFED}" name="Column14415"/>
    <tableColumn id="14419" xr3:uid="{EFAE3463-50D3-4A6E-A4E2-F7F28F9207CC}" name="Column14416"/>
    <tableColumn id="14420" xr3:uid="{EEA1D8E8-9AC7-46ED-9E90-6EAD329B0C6F}" name="Column14417"/>
    <tableColumn id="14421" xr3:uid="{AACB9728-698F-41AE-88F5-11A936257527}" name="Column14418"/>
    <tableColumn id="14422" xr3:uid="{825AC32F-61CA-495C-9B68-E806C7FE4375}" name="Column14419"/>
    <tableColumn id="14423" xr3:uid="{FE3A75BB-62F0-48A8-8866-A9E21D26AA9F}" name="Column14420"/>
    <tableColumn id="14424" xr3:uid="{0A27ED58-8AFA-4121-8288-06AC4A89DF43}" name="Column14421"/>
    <tableColumn id="14425" xr3:uid="{29D08635-2EF2-43DA-9BA7-66AB61925019}" name="Column14422"/>
    <tableColumn id="14426" xr3:uid="{52BE6817-5D0E-4A4A-94D6-BFAC11B5F140}" name="Column14423"/>
    <tableColumn id="14427" xr3:uid="{B01BDDA9-9B78-476F-9C7E-532A9FD7B6BA}" name="Column14424"/>
    <tableColumn id="14428" xr3:uid="{2309E8EF-3B5F-4F78-8ABB-83457C077578}" name="Column14425"/>
    <tableColumn id="14429" xr3:uid="{82EF9904-B093-479C-AE84-B05ACAB83F74}" name="Column14426"/>
    <tableColumn id="14430" xr3:uid="{FBF13102-7C2D-4879-BDDB-DD6BF633449E}" name="Column14427"/>
    <tableColumn id="14431" xr3:uid="{C708D062-B803-4C7C-916C-BECE21B31AF3}" name="Column14428"/>
    <tableColumn id="14432" xr3:uid="{EEDF7C48-C2DC-4C70-9CAF-4E6B4C3A54BE}" name="Column14429"/>
    <tableColumn id="14433" xr3:uid="{6C9EC039-E6A3-4213-9B33-2A12C5B9CEB2}" name="Column14430"/>
    <tableColumn id="14434" xr3:uid="{C157BFAD-9CD6-485C-981E-D33D89AB6A50}" name="Column14431"/>
    <tableColumn id="14435" xr3:uid="{66BC0E79-1490-4309-ACB5-6FCA4238308B}" name="Column14432"/>
    <tableColumn id="14436" xr3:uid="{2438727D-481F-42DA-AF7C-13AF2F229F95}" name="Column14433"/>
    <tableColumn id="14437" xr3:uid="{CDF5E626-2440-41EA-9C6E-23E9D89A93AE}" name="Column14434"/>
    <tableColumn id="14438" xr3:uid="{75888BE9-41CE-4629-AF68-FE3439D18005}" name="Column14435"/>
    <tableColumn id="14439" xr3:uid="{F07A07CF-F06C-4F41-80B2-3DCAA5E93C2E}" name="Column14436"/>
    <tableColumn id="14440" xr3:uid="{46ABC9CA-9A40-40A1-8709-335DB0239211}" name="Column14437"/>
    <tableColumn id="14441" xr3:uid="{B4E39936-4480-42B9-A98B-290A399D1D32}" name="Column14438"/>
    <tableColumn id="14442" xr3:uid="{55E08EC5-500A-4067-B6F4-2524827313AE}" name="Column14439"/>
    <tableColumn id="14443" xr3:uid="{7ED0A563-ABDB-436A-96FA-79B03AC67525}" name="Column14440"/>
    <tableColumn id="14444" xr3:uid="{63E7BE64-E71B-4C5E-83AA-0DA40302E931}" name="Column14441"/>
    <tableColumn id="14445" xr3:uid="{3EB0B109-2A7C-49C8-82E6-5A2D5619976E}" name="Column14442"/>
    <tableColumn id="14446" xr3:uid="{C80C3D1C-0283-477B-B54E-E8535E4DC5D9}" name="Column14443"/>
    <tableColumn id="14447" xr3:uid="{569F82E8-B0C1-4457-9B2A-B14B0B616933}" name="Column14444"/>
    <tableColumn id="14448" xr3:uid="{14EFAFDC-749F-4CAF-B8DA-177BC9B30794}" name="Column14445"/>
    <tableColumn id="14449" xr3:uid="{2AEBF0AA-DA0C-4443-8EA5-6C8FC783BA5E}" name="Column14446"/>
    <tableColumn id="14450" xr3:uid="{FFFE4B7B-C84A-411F-B69F-0663E11E7149}" name="Column14447"/>
    <tableColumn id="14451" xr3:uid="{6B6749AA-0A81-486E-9C88-CA393089F09F}" name="Column14448"/>
    <tableColumn id="14452" xr3:uid="{3CBD69DD-5855-4936-BBF5-69A942B0B937}" name="Column14449"/>
    <tableColumn id="14453" xr3:uid="{56A0595B-0EF1-445F-AF98-88980381EDD8}" name="Column14450"/>
    <tableColumn id="14454" xr3:uid="{9C8BE47D-AB2B-4BDD-8345-7D3DAABE1AC5}" name="Column14451"/>
    <tableColumn id="14455" xr3:uid="{FD7695A0-F85C-41DA-9617-017F8A8F81F0}" name="Column14452"/>
    <tableColumn id="14456" xr3:uid="{84C758A1-B0A0-4FD1-8704-EEA0F59F80C5}" name="Column14453"/>
    <tableColumn id="14457" xr3:uid="{4D26752E-56F8-47CE-AE1B-3169A8F0553B}" name="Column14454"/>
    <tableColumn id="14458" xr3:uid="{FB42693D-5C0F-46EF-82A3-9E4C460C2A5F}" name="Column14455"/>
    <tableColumn id="14459" xr3:uid="{6D28A18D-D8A1-4BB2-9402-5A85E551533F}" name="Column14456"/>
    <tableColumn id="14460" xr3:uid="{DA508877-0477-4D2A-84D2-0D73C6FFF419}" name="Column14457"/>
    <tableColumn id="14461" xr3:uid="{BC594578-4EF9-49BD-8D27-B0368E04D823}" name="Column14458"/>
    <tableColumn id="14462" xr3:uid="{FE978233-5E78-42F0-8716-3E4AD039C796}" name="Column14459"/>
    <tableColumn id="14463" xr3:uid="{65C6981B-FE03-41A4-B0F2-A4C1A8A3F0D6}" name="Column14460"/>
    <tableColumn id="14464" xr3:uid="{D3C91E09-4874-4AA3-863C-A5DDA042FC10}" name="Column14461"/>
    <tableColumn id="14465" xr3:uid="{A3773387-D730-4018-B319-9D7A7B209A91}" name="Column14462"/>
    <tableColumn id="14466" xr3:uid="{CDC7377A-2E64-4A6D-B04E-50B08E1553F6}" name="Column14463"/>
    <tableColumn id="14467" xr3:uid="{70703583-6F7C-457F-9B3C-CBD80FAE28DF}" name="Column14464"/>
    <tableColumn id="14468" xr3:uid="{3B4C9361-E763-4BC1-AEA6-BA842506690F}" name="Column14465"/>
    <tableColumn id="14469" xr3:uid="{F7E6D1A3-9E62-4F7D-A7C1-56B469C0E0B5}" name="Column14466"/>
    <tableColumn id="14470" xr3:uid="{439133BD-682A-466F-8B99-FAECD0D1D0B2}" name="Column14467"/>
    <tableColumn id="14471" xr3:uid="{56A3F7FC-8902-446E-A0B2-10D989A95BB8}" name="Column14468"/>
    <tableColumn id="14472" xr3:uid="{0510541E-E213-475D-B3D4-4C07B44E3117}" name="Column14469"/>
    <tableColumn id="14473" xr3:uid="{DF1EA390-D4CD-4D65-80A1-EA004A37CC43}" name="Column14470"/>
    <tableColumn id="14474" xr3:uid="{A56F9FF9-F69A-4915-BC9F-0CD68D0E25EB}" name="Column14471"/>
    <tableColumn id="14475" xr3:uid="{95EB9017-D90A-4D51-8D0F-4E31A70C0C5B}" name="Column14472"/>
    <tableColumn id="14476" xr3:uid="{B55F883A-F203-44D5-A324-D86F06C35EFD}" name="Column14473"/>
    <tableColumn id="14477" xr3:uid="{838E4D7C-255E-4BA3-AC51-D8312351F422}" name="Column14474"/>
    <tableColumn id="14478" xr3:uid="{6BE03A0B-357D-4E61-92B1-00AED7BF3DDF}" name="Column14475"/>
    <tableColumn id="14479" xr3:uid="{2BD95488-28B6-4DDB-9A10-0174B3CD2F8E}" name="Column14476"/>
    <tableColumn id="14480" xr3:uid="{2456C65A-3AA4-447A-A2EB-12DCAAEFF28F}" name="Column14477"/>
    <tableColumn id="14481" xr3:uid="{542ACF06-3F3B-4680-94F8-48D0329F4015}" name="Column14478"/>
    <tableColumn id="14482" xr3:uid="{7F7C97EF-E7B2-4AFB-81F5-790DD8244A86}" name="Column14479"/>
    <tableColumn id="14483" xr3:uid="{A8967525-7250-4925-9D2C-141BA9A15E64}" name="Column14480"/>
    <tableColumn id="14484" xr3:uid="{80232C4A-D0EC-494C-A97C-528BA6081A3E}" name="Column14481"/>
    <tableColumn id="14485" xr3:uid="{1F4BD4D6-7393-409E-90CA-3B7CC506C779}" name="Column14482"/>
    <tableColumn id="14486" xr3:uid="{E424C4B9-4A2C-47C1-B809-F89530BC4106}" name="Column14483"/>
    <tableColumn id="14487" xr3:uid="{FB0E02C9-11A7-4388-8972-7F65BD30F4EC}" name="Column14484"/>
    <tableColumn id="14488" xr3:uid="{D3168062-AE7B-4623-93A0-014FBDC7D04E}" name="Column14485"/>
    <tableColumn id="14489" xr3:uid="{659BDDEB-7D4D-4841-B13D-DF605AD9F4E5}" name="Column14486"/>
    <tableColumn id="14490" xr3:uid="{4FCAB6ED-45A7-4FC7-815C-E58A9FF98197}" name="Column14487"/>
    <tableColumn id="14491" xr3:uid="{71DE206B-2B8E-43A9-9EAD-AF60794C91F2}" name="Column14488"/>
    <tableColumn id="14492" xr3:uid="{12A3488A-44D2-4BFF-AFDC-0BE6C0E0C652}" name="Column14489"/>
    <tableColumn id="14493" xr3:uid="{2BF2C82E-6F18-4B94-9B90-C65234FA443B}" name="Column14490"/>
    <tableColumn id="14494" xr3:uid="{5FE24FE7-9CFC-46DB-9387-F5F0B10FE73C}" name="Column14491"/>
    <tableColumn id="14495" xr3:uid="{91B92AB6-9308-40EA-9C79-41F2C0AE6EBC}" name="Column14492"/>
    <tableColumn id="14496" xr3:uid="{30EF9453-C2AF-4171-9E0B-9FCCAB97FFCB}" name="Column14493"/>
    <tableColumn id="14497" xr3:uid="{0E6B9221-10FF-4D2A-9169-A6CDC147AC73}" name="Column14494"/>
    <tableColumn id="14498" xr3:uid="{A0FEC76B-2F94-498E-9DE9-2B53BE529B57}" name="Column14495"/>
    <tableColumn id="14499" xr3:uid="{422BF0BC-D379-44AB-AAF4-4C7DCB4DD780}" name="Column14496"/>
    <tableColumn id="14500" xr3:uid="{708E1CAA-05E1-4C90-9911-712F95EC5550}" name="Column14497"/>
    <tableColumn id="14501" xr3:uid="{9106E5A6-62A3-492B-8F89-4AA8E311B045}" name="Column14498"/>
    <tableColumn id="14502" xr3:uid="{B377C78D-3363-4721-9D79-12E335223E14}" name="Column14499"/>
    <tableColumn id="14503" xr3:uid="{6F6BE653-7203-4FF3-A66D-2FBDA94BD2A8}" name="Column14500"/>
    <tableColumn id="14504" xr3:uid="{10936048-9558-48CB-8D42-D656612353A6}" name="Column14501"/>
    <tableColumn id="14505" xr3:uid="{4172B0BE-642E-479F-95BC-38E8702D3A59}" name="Column14502"/>
    <tableColumn id="14506" xr3:uid="{1E83EA1F-5CE9-4EB0-8A02-97B3FBE77672}" name="Column14503"/>
    <tableColumn id="14507" xr3:uid="{A62710B5-C41C-442E-9516-F75DE47D73DF}" name="Column14504"/>
    <tableColumn id="14508" xr3:uid="{D5146A1E-83F2-421E-964C-7237132B5A15}" name="Column14505"/>
    <tableColumn id="14509" xr3:uid="{F6C24AE9-3813-4B7E-9D92-28581EBCB49A}" name="Column14506"/>
    <tableColumn id="14510" xr3:uid="{7463FB9F-7988-482B-A736-017EDBBF9126}" name="Column14507"/>
    <tableColumn id="14511" xr3:uid="{D375454D-EB04-4827-9AF3-1CE584417538}" name="Column14508"/>
    <tableColumn id="14512" xr3:uid="{029BEDEF-B0D3-49B6-B617-64B0A2E828D1}" name="Column14509"/>
    <tableColumn id="14513" xr3:uid="{71EC6306-0D8D-4CDF-8D27-BF4FEB5C8DA9}" name="Column14510"/>
    <tableColumn id="14514" xr3:uid="{EA444490-ED9B-4685-B3EA-97AEA13E35F5}" name="Column14511"/>
    <tableColumn id="14515" xr3:uid="{F5D6A94B-09C9-4FCB-B125-D9FF7FCDC650}" name="Column14512"/>
    <tableColumn id="14516" xr3:uid="{071F687E-B7CB-43D2-BF59-88ECAB3B3DF9}" name="Column14513"/>
    <tableColumn id="14517" xr3:uid="{432A8D9E-1D88-48C4-AAB1-B63884E24197}" name="Column14514"/>
    <tableColumn id="14518" xr3:uid="{3BF352E2-CE13-442E-958D-E2EF98D39E18}" name="Column14515"/>
    <tableColumn id="14519" xr3:uid="{6AC40C00-093B-4CDC-9FC4-DB52C90564C7}" name="Column14516"/>
    <tableColumn id="14520" xr3:uid="{9EAF8426-913B-4DD6-AD33-46528BEB103E}" name="Column14517"/>
    <tableColumn id="14521" xr3:uid="{17EA97D8-753C-4A2C-A7C8-735F7B1A5D0E}" name="Column14518"/>
    <tableColumn id="14522" xr3:uid="{4EA50094-79A2-4FE4-A780-153F898C25EF}" name="Column14519"/>
    <tableColumn id="14523" xr3:uid="{1FA484F5-CC52-422B-9971-82C8221040ED}" name="Column14520"/>
    <tableColumn id="14524" xr3:uid="{B5A78606-B527-44AB-9892-43BD58FD5954}" name="Column14521"/>
    <tableColumn id="14525" xr3:uid="{B4DA1FE3-DC60-47EE-87E3-F1D0AA7203CF}" name="Column14522"/>
    <tableColumn id="14526" xr3:uid="{E2934B1B-443F-4E9F-BAE8-618BF6647D6F}" name="Column14523"/>
    <tableColumn id="14527" xr3:uid="{DC377C15-4A64-4648-AEA7-6CC4239FFFC9}" name="Column14524"/>
    <tableColumn id="14528" xr3:uid="{9CC4EBB7-1009-4355-9EA0-D2497F28480B}" name="Column14525"/>
    <tableColumn id="14529" xr3:uid="{C7E633AB-582B-46AB-B86A-A25D95DB3C5E}" name="Column14526"/>
    <tableColumn id="14530" xr3:uid="{49822758-6EFC-490B-8B42-5EC04585DB5C}" name="Column14527"/>
    <tableColumn id="14531" xr3:uid="{9EF31E5A-9AE7-4D05-A7A0-7BAF6647F318}" name="Column14528"/>
    <tableColumn id="14532" xr3:uid="{653DAB9D-A13B-4C94-8E0D-41C398B44D45}" name="Column14529"/>
    <tableColumn id="14533" xr3:uid="{9C340551-A81D-489F-B7FF-8C8D42FE7B47}" name="Column14530"/>
    <tableColumn id="14534" xr3:uid="{1583695B-CF3C-478A-A7C1-6FFBE6FAB7BA}" name="Column14531"/>
    <tableColumn id="14535" xr3:uid="{2F49599A-85E0-452A-982C-F1DB2A53E337}" name="Column14532"/>
    <tableColumn id="14536" xr3:uid="{D2796A5F-196A-4512-879D-8BC64E057F77}" name="Column14533"/>
    <tableColumn id="14537" xr3:uid="{6B0966BF-88FF-4226-A97E-528D42291843}" name="Column14534"/>
    <tableColumn id="14538" xr3:uid="{8E98B2FB-D8B0-4534-91D2-45BB5C784FE0}" name="Column14535"/>
    <tableColumn id="14539" xr3:uid="{18F1DC7D-EF7C-460D-A66E-54D5053B0B93}" name="Column14536"/>
    <tableColumn id="14540" xr3:uid="{E965F5BD-8691-4421-8C02-9A0E7804D99E}" name="Column14537"/>
    <tableColumn id="14541" xr3:uid="{8E33A394-F89D-45FE-AE2E-3D1D7802D9F2}" name="Column14538"/>
    <tableColumn id="14542" xr3:uid="{559D9802-BF60-443E-8CA2-DA6ACE9F95AF}" name="Column14539"/>
    <tableColumn id="14543" xr3:uid="{5CD2F57B-B8D5-4CFB-8933-8A2D59BA4759}" name="Column14540"/>
    <tableColumn id="14544" xr3:uid="{E80DDFCD-BD41-4A6E-BCF1-FD5AC5063237}" name="Column14541"/>
    <tableColumn id="14545" xr3:uid="{0E2207F7-6B8D-414A-95CC-D4399D79C9F6}" name="Column14542"/>
    <tableColumn id="14546" xr3:uid="{8A732FE6-B345-4AC5-B88E-8BF365FC4C38}" name="Column14543"/>
    <tableColumn id="14547" xr3:uid="{B1C6C070-FA3C-4D3E-9352-F6092346DEBB}" name="Column14544"/>
    <tableColumn id="14548" xr3:uid="{3F5A3818-7842-4020-8612-3775444A2FFB}" name="Column14545"/>
    <tableColumn id="14549" xr3:uid="{F2B93F85-78F5-494C-BFC7-8D41AE280CDF}" name="Column14546"/>
    <tableColumn id="14550" xr3:uid="{1ADC2E91-AC9C-41B3-A31E-E9769D26A801}" name="Column14547"/>
    <tableColumn id="14551" xr3:uid="{1813B5BA-F2BE-45C7-BD09-61D43A67C47C}" name="Column14548"/>
    <tableColumn id="14552" xr3:uid="{9101FB7B-4470-41F3-AB3C-9B1A73904EC6}" name="Column14549"/>
    <tableColumn id="14553" xr3:uid="{F459A8F7-B3DF-4815-8299-41A4753AAB64}" name="Column14550"/>
    <tableColumn id="14554" xr3:uid="{A330DE5B-9F90-445E-8B74-61B1891DE73C}" name="Column14551"/>
    <tableColumn id="14555" xr3:uid="{2691CDE5-9CC4-46BE-B21D-B059484B7277}" name="Column14552"/>
    <tableColumn id="14556" xr3:uid="{64F536BA-CE8E-4323-BF26-93FFFC96EE70}" name="Column14553"/>
    <tableColumn id="14557" xr3:uid="{281482F8-DB74-4624-9E8A-A6AAAC6F2119}" name="Column14554"/>
    <tableColumn id="14558" xr3:uid="{52679035-2EE6-41D5-8D28-F703F7695649}" name="Column14555"/>
    <tableColumn id="14559" xr3:uid="{F8263DB2-F135-4F0E-A434-1F8A6FBCAB22}" name="Column14556"/>
    <tableColumn id="14560" xr3:uid="{F4D21EEA-A95A-44EF-A7E5-5ED0E8DBEA00}" name="Column14557"/>
    <tableColumn id="14561" xr3:uid="{D2EE2BB2-8C06-4C05-A9B9-9EEAFBA8917A}" name="Column14558"/>
    <tableColumn id="14562" xr3:uid="{3B958067-08BC-40C6-BBB1-2B1245169C28}" name="Column14559"/>
    <tableColumn id="14563" xr3:uid="{E29A5D49-8448-424D-87D5-19B27E176F1F}" name="Column14560"/>
    <tableColumn id="14564" xr3:uid="{C3FA3973-5D6D-4D5F-AA9D-0695C6E57EF5}" name="Column14561"/>
    <tableColumn id="14565" xr3:uid="{6EFBE35E-31A2-4103-8F20-5CB22C984C98}" name="Column14562"/>
    <tableColumn id="14566" xr3:uid="{138A5412-2DB7-418A-9ED4-DE4F8E0F2981}" name="Column14563"/>
    <tableColumn id="14567" xr3:uid="{52596438-57A0-4DD6-B3D4-CC34C2762175}" name="Column14564"/>
    <tableColumn id="14568" xr3:uid="{98C91C53-432A-4C54-A1E2-2ADEE59B471A}" name="Column14565"/>
    <tableColumn id="14569" xr3:uid="{8215733C-9B70-475C-9C64-86666A3373EE}" name="Column14566"/>
    <tableColumn id="14570" xr3:uid="{A1A4DE5A-C5C7-470E-8EFE-68D1AF11A0E1}" name="Column14567"/>
    <tableColumn id="14571" xr3:uid="{6F36AE85-CFB2-4E56-8766-86E2DCC85C4F}" name="Column14568"/>
    <tableColumn id="14572" xr3:uid="{922736CC-CEB8-4CE7-8CE2-EA42854355EF}" name="Column14569"/>
    <tableColumn id="14573" xr3:uid="{F8A8352B-3245-4FE7-AED5-DE2398C256C2}" name="Column14570"/>
    <tableColumn id="14574" xr3:uid="{A54AE00A-F9C2-4ADB-830C-A9EFED2610DC}" name="Column14571"/>
    <tableColumn id="14575" xr3:uid="{DCA09DB8-0131-4AC2-BBC0-B1A3512DA15A}" name="Column14572"/>
    <tableColumn id="14576" xr3:uid="{DDA70596-0623-46CF-9A1F-EBEAB9825DED}" name="Column14573"/>
    <tableColumn id="14577" xr3:uid="{F43586BD-DACA-4030-92C9-9B821CBDBF41}" name="Column14574"/>
    <tableColumn id="14578" xr3:uid="{05CF8227-B5E8-47A8-AA09-E4F317E6F5B5}" name="Column14575"/>
    <tableColumn id="14579" xr3:uid="{65362A78-74D8-4442-9B53-FC82E7B8C8C8}" name="Column14576"/>
    <tableColumn id="14580" xr3:uid="{70FEA314-9705-475A-85B3-5BD1AEEE1D95}" name="Column14577"/>
    <tableColumn id="14581" xr3:uid="{59160CDB-DE39-416B-8F97-A88C2241F941}" name="Column14578"/>
    <tableColumn id="14582" xr3:uid="{86278BCB-10EE-46EF-8CC5-88D2F069A203}" name="Column14579"/>
    <tableColumn id="14583" xr3:uid="{1EAF3AFE-59F3-4E4D-B3CD-106FCB8F6154}" name="Column14580"/>
    <tableColumn id="14584" xr3:uid="{FE442E37-CAF9-404D-9100-F3FAE89C6792}" name="Column14581"/>
    <tableColumn id="14585" xr3:uid="{E9D61811-C6B5-401A-BD8D-90EAA81E6A58}" name="Column14582"/>
    <tableColumn id="14586" xr3:uid="{AC6DE00B-5D45-47B7-97F9-80D617D8D4FD}" name="Column14583"/>
    <tableColumn id="14587" xr3:uid="{5F279D92-D288-432D-9311-22B387314DA8}" name="Column14584"/>
    <tableColumn id="14588" xr3:uid="{EB8996F0-A1C9-437B-9CC0-C5F91BFEBFFC}" name="Column14585"/>
    <tableColumn id="14589" xr3:uid="{D164E201-9247-4462-8525-53773539C6BA}" name="Column14586"/>
    <tableColumn id="14590" xr3:uid="{B3BC1BB5-7F2E-4039-A914-41259B7E65AF}" name="Column14587"/>
    <tableColumn id="14591" xr3:uid="{1D07664A-6312-40CD-8EBC-B548A9D3A4F1}" name="Column14588"/>
    <tableColumn id="14592" xr3:uid="{02D9F85D-023A-4925-8C58-6BEA0FBA6EA3}" name="Column14589"/>
    <tableColumn id="14593" xr3:uid="{C1CD340D-A9F2-45F7-92D8-C623D213AE2E}" name="Column14590"/>
    <tableColumn id="14594" xr3:uid="{769B9DA5-F993-4F90-BDC9-E84A65EF757B}" name="Column14591"/>
    <tableColumn id="14595" xr3:uid="{C7E3E7D6-C0A1-4239-95CE-822BFE7CDA93}" name="Column14592"/>
    <tableColumn id="14596" xr3:uid="{5BAD3B54-9028-4DB9-95DF-62356EC2238E}" name="Column14593"/>
    <tableColumn id="14597" xr3:uid="{F80A8E3E-07AE-4529-ABCF-4A3CE15D6EF3}" name="Column14594"/>
    <tableColumn id="14598" xr3:uid="{DF8ACEE2-D67A-46A7-AC16-FF7351E30184}" name="Column14595"/>
    <tableColumn id="14599" xr3:uid="{CF4D9CBE-548B-4F20-AEC9-4897E9389610}" name="Column14596"/>
    <tableColumn id="14600" xr3:uid="{D90CC894-E6F1-45DC-9A81-EE1960DDDE95}" name="Column14597"/>
    <tableColumn id="14601" xr3:uid="{6B48AAEC-9C39-4155-B4CC-D008B07FFEDF}" name="Column14598"/>
    <tableColumn id="14602" xr3:uid="{BCA4D35F-890D-4FF9-8CB7-3A0E6626AE23}" name="Column14599"/>
    <tableColumn id="14603" xr3:uid="{9E71F9FF-ADCC-43E2-A5B1-FE4409E92597}" name="Column14600"/>
    <tableColumn id="14604" xr3:uid="{15B7580D-9BD7-4EA3-B3D0-9E99E9BC7A4D}" name="Column14601"/>
    <tableColumn id="14605" xr3:uid="{8A6AEAA5-C085-431F-B364-D8F1B1090887}" name="Column14602"/>
    <tableColumn id="14606" xr3:uid="{DA24CEE8-5E97-4793-B379-33EBE5678DDD}" name="Column14603"/>
    <tableColumn id="14607" xr3:uid="{4EA0C0B7-3F64-43A2-839D-8EC8A25E6A69}" name="Column14604"/>
    <tableColumn id="14608" xr3:uid="{89998F7F-FFDB-490D-BF36-95BEDD989BD8}" name="Column14605"/>
    <tableColumn id="14609" xr3:uid="{341CE48E-231F-4E65-8C9D-2EE753637E87}" name="Column14606"/>
    <tableColumn id="14610" xr3:uid="{ADD04A5A-62C0-49B3-BE31-415D6DE6B868}" name="Column14607"/>
    <tableColumn id="14611" xr3:uid="{09D76632-008C-48EE-9872-41D88472DF27}" name="Column14608"/>
    <tableColumn id="14612" xr3:uid="{A6281500-C3BC-4ECB-8BE8-5FA5983845E1}" name="Column14609"/>
    <tableColumn id="14613" xr3:uid="{F60BA32F-DF34-4529-9D9F-8FC5B2020089}" name="Column14610"/>
    <tableColumn id="14614" xr3:uid="{88253293-7141-4BDF-98C4-07D119D65083}" name="Column14611"/>
    <tableColumn id="14615" xr3:uid="{176A49B1-6905-43F4-BA11-91E3EAE93695}" name="Column14612"/>
    <tableColumn id="14616" xr3:uid="{B680F99D-AEDA-4FA9-912F-5C9FF009A6A6}" name="Column14613"/>
    <tableColumn id="14617" xr3:uid="{8506AEA9-3F48-40E0-BBBE-76B543A85F0D}" name="Column14614"/>
    <tableColumn id="14618" xr3:uid="{70E0623F-C0E5-4935-806A-2C7A67D2628A}" name="Column14615"/>
    <tableColumn id="14619" xr3:uid="{E11C0B47-08C5-4113-8D9D-29FE0CBA6E53}" name="Column14616"/>
    <tableColumn id="14620" xr3:uid="{0B849689-D287-4FFE-9ADA-847ADD6F1C09}" name="Column14617"/>
    <tableColumn id="14621" xr3:uid="{A30315C6-D5B6-4E93-9C92-A817672AF75C}" name="Column14618"/>
    <tableColumn id="14622" xr3:uid="{BCD35842-38BE-4572-B6E0-749452ACAF36}" name="Column14619"/>
    <tableColumn id="14623" xr3:uid="{6EF31C61-1ABB-447B-A8DF-610C8E4D31C5}" name="Column14620"/>
    <tableColumn id="14624" xr3:uid="{8E371A17-B8D2-49AD-A78A-EEF5CF0C9483}" name="Column14621"/>
    <tableColumn id="14625" xr3:uid="{B400DFF5-1E56-4C28-91B3-DD247BF54F66}" name="Column14622"/>
    <tableColumn id="14626" xr3:uid="{C0E2544F-9A53-49D9-B889-5A94D4EFD5EB}" name="Column14623"/>
    <tableColumn id="14627" xr3:uid="{D5D8B081-FBBE-456E-AFCA-47FD9193EC66}" name="Column14624"/>
    <tableColumn id="14628" xr3:uid="{E7BCB90F-4BC5-43DE-AE78-0D8CEFA0F1D5}" name="Column14625"/>
    <tableColumn id="14629" xr3:uid="{BC638FB4-A4F7-48E9-86FE-702C54A63F57}" name="Column14626"/>
    <tableColumn id="14630" xr3:uid="{A45A5160-ED4E-481F-A90C-2C30802A4907}" name="Column14627"/>
    <tableColumn id="14631" xr3:uid="{A6CAAE49-7580-45B6-9076-B8C89C44E7E9}" name="Column14628"/>
    <tableColumn id="14632" xr3:uid="{2277BAFC-6992-451D-B8D9-AF53BEFF5CF5}" name="Column14629"/>
    <tableColumn id="14633" xr3:uid="{7F524719-96B8-421F-9B90-A9A2F10880BE}" name="Column14630"/>
    <tableColumn id="14634" xr3:uid="{7AF43558-7440-472A-8324-8EF87B7F7B5A}" name="Column14631"/>
    <tableColumn id="14635" xr3:uid="{D82D8449-3EF9-4744-B02C-07F3F4647F72}" name="Column14632"/>
    <tableColumn id="14636" xr3:uid="{24274C09-EC30-41D7-9C70-683821F12B8B}" name="Column14633"/>
    <tableColumn id="14637" xr3:uid="{3CAFDCC7-1F9D-4FE3-940C-DE1E5C81C877}" name="Column14634"/>
    <tableColumn id="14638" xr3:uid="{518D7D03-FA0C-4856-978D-A00E26BF5C26}" name="Column14635"/>
    <tableColumn id="14639" xr3:uid="{E5DB09C4-C66A-47D5-AEDE-B81517777E86}" name="Column14636"/>
    <tableColumn id="14640" xr3:uid="{E2E6DB9D-C73C-4596-9FF3-B56AE0FA2C91}" name="Column14637"/>
    <tableColumn id="14641" xr3:uid="{EE333570-979D-40A3-9273-6DD1B885F9FB}" name="Column14638"/>
    <tableColumn id="14642" xr3:uid="{F01AA90D-8D75-469F-B4B6-430236FEAA36}" name="Column14639"/>
    <tableColumn id="14643" xr3:uid="{65433CA0-9861-4AF7-977C-F82B5033C3D1}" name="Column14640"/>
    <tableColumn id="14644" xr3:uid="{C54AF733-CCAC-4990-9AFD-5644DF75795D}" name="Column14641"/>
    <tableColumn id="14645" xr3:uid="{69FA8E49-F970-44CE-910C-4BD216589E1E}" name="Column14642"/>
    <tableColumn id="14646" xr3:uid="{EFA46D5D-8CD2-4A88-AE3F-1218E2F3AB80}" name="Column14643"/>
    <tableColumn id="14647" xr3:uid="{1CC8E52A-BEE6-433E-973B-FCC8ECE4A697}" name="Column14644"/>
    <tableColumn id="14648" xr3:uid="{CFDEB601-F7D5-4004-8B45-3026A8C8744C}" name="Column14645"/>
    <tableColumn id="14649" xr3:uid="{4FC90138-CA59-4AE6-A3D6-4284AC5F3591}" name="Column14646"/>
    <tableColumn id="14650" xr3:uid="{E4F74C1C-0F18-4391-85DF-4FDBCEC2A6F6}" name="Column14647"/>
    <tableColumn id="14651" xr3:uid="{662B49D1-DA1F-4B15-AC16-99DE61D549EA}" name="Column14648"/>
    <tableColumn id="14652" xr3:uid="{9C53BB97-76C4-4625-A0A8-D453EBFF2C1C}" name="Column14649"/>
    <tableColumn id="14653" xr3:uid="{BBBFDED2-6ED0-4C31-B116-F62C67CA12A7}" name="Column14650"/>
    <tableColumn id="14654" xr3:uid="{DD861580-EF1F-4511-B133-1E6B967F7165}" name="Column14651"/>
    <tableColumn id="14655" xr3:uid="{5C8ABB51-A76B-435F-9721-D5AAA4FCC93A}" name="Column14652"/>
    <tableColumn id="14656" xr3:uid="{68AEBD7B-5FBB-4628-BD69-ED60F8CA048B}" name="Column14653"/>
    <tableColumn id="14657" xr3:uid="{0CDC79EC-2325-4C43-957F-CDD867B5D44C}" name="Column14654"/>
    <tableColumn id="14658" xr3:uid="{A4AD6B04-D2DB-43D0-AD67-F8534F3020CB}" name="Column14655"/>
    <tableColumn id="14659" xr3:uid="{51F9ED6D-68A3-47DE-A2C1-663D790BDA00}" name="Column14656"/>
    <tableColumn id="14660" xr3:uid="{ADB60C95-990E-46C7-BDD5-F0E1FC4823FD}" name="Column14657"/>
    <tableColumn id="14661" xr3:uid="{1688D78F-BC23-4396-B6E5-7C409F4BCFD8}" name="Column14658"/>
    <tableColumn id="14662" xr3:uid="{35077994-7B7B-45AD-BD43-E6FF1FD17C9E}" name="Column14659"/>
    <tableColumn id="14663" xr3:uid="{B8504F51-F807-4043-B9F2-4DD0A337211B}" name="Column14660"/>
    <tableColumn id="14664" xr3:uid="{10A6BC73-D922-4C4B-B8A1-E54399FDC32B}" name="Column14661"/>
    <tableColumn id="14665" xr3:uid="{DEF4C293-5140-4759-8789-DFD1249E2654}" name="Column14662"/>
    <tableColumn id="14666" xr3:uid="{C8E5DAB0-C1F6-47B7-B500-38CE27CDC45A}" name="Column14663"/>
    <tableColumn id="14667" xr3:uid="{96E44736-CCFD-42D3-BE45-28D9AB7615C8}" name="Column14664"/>
    <tableColumn id="14668" xr3:uid="{A53280DF-73C3-4AE0-89A6-FE8B02F105E5}" name="Column14665"/>
    <tableColumn id="14669" xr3:uid="{4CBD4775-CA74-4AFC-9274-BDD1CBC747F9}" name="Column14666"/>
    <tableColumn id="14670" xr3:uid="{42E0D110-996D-4148-BC21-8B316C61A200}" name="Column14667"/>
    <tableColumn id="14671" xr3:uid="{D82769E4-35F2-49A1-A91E-2BE1F9B3E1BA}" name="Column14668"/>
    <tableColumn id="14672" xr3:uid="{3DBFA5FD-F8F5-4A13-AEC1-1A0B6696BF38}" name="Column14669"/>
    <tableColumn id="14673" xr3:uid="{6860BD0E-1596-4924-A762-4C6FB7C75669}" name="Column14670"/>
    <tableColumn id="14674" xr3:uid="{370B3262-89BD-4E85-A8C1-A3A38F8E05F6}" name="Column14671"/>
    <tableColumn id="14675" xr3:uid="{89B2B590-D58C-46B0-BFBC-CAA313E020B4}" name="Column14672"/>
    <tableColumn id="14676" xr3:uid="{97420894-F92A-4CA0-AE7B-3E5EC95829CF}" name="Column14673"/>
    <tableColumn id="14677" xr3:uid="{13FD7EC9-9784-4076-9B3C-E16172A5D225}" name="Column14674"/>
    <tableColumn id="14678" xr3:uid="{19A4D947-78AC-40F8-B065-DFDA49E3B166}" name="Column14675"/>
    <tableColumn id="14679" xr3:uid="{C7368DE0-EF84-4860-90A9-C87222610D5D}" name="Column14676"/>
    <tableColumn id="14680" xr3:uid="{EBB4E9DF-4726-4585-A2BC-CC3809F2FAA2}" name="Column14677"/>
    <tableColumn id="14681" xr3:uid="{42B4CA30-75CC-4A34-93C0-D00E09571273}" name="Column14678"/>
    <tableColumn id="14682" xr3:uid="{FDFF623C-A9C5-4459-90F0-5BA7A17562BF}" name="Column14679"/>
    <tableColumn id="14683" xr3:uid="{EF88EFBC-980F-431F-98DE-E8A487768130}" name="Column14680"/>
    <tableColumn id="14684" xr3:uid="{EFEE9C10-CE5F-43C0-B71B-FD7CF9A17560}" name="Column14681"/>
    <tableColumn id="14685" xr3:uid="{2CEE8E44-F22B-4D1D-8D42-84E5639F9BD4}" name="Column14682"/>
    <tableColumn id="14686" xr3:uid="{29534359-1557-43C8-9438-A5E8F27C222F}" name="Column14683"/>
    <tableColumn id="14687" xr3:uid="{9E40B003-D082-4927-A30D-C9C6CFAC0E26}" name="Column14684"/>
    <tableColumn id="14688" xr3:uid="{F0554D0B-7BF3-46A3-8BC7-BCC7C85E9734}" name="Column14685"/>
    <tableColumn id="14689" xr3:uid="{22332E7D-0E28-4AAF-8A55-6B4CCCCDAFA1}" name="Column14686"/>
    <tableColumn id="14690" xr3:uid="{ACB33C80-4110-4C4B-8321-797987E89627}" name="Column14687"/>
    <tableColumn id="14691" xr3:uid="{09A8FF76-A319-4526-86B5-891FFCBA66CC}" name="Column14688"/>
    <tableColumn id="14692" xr3:uid="{8B91AA2B-D32E-452E-9C18-D261C9E92F2D}" name="Column14689"/>
    <tableColumn id="14693" xr3:uid="{B6DAA021-B1E1-41A7-8E73-84CF0CC83E97}" name="Column14690"/>
    <tableColumn id="14694" xr3:uid="{3061FE42-AD3A-4D5C-906D-6B8C36EA9730}" name="Column14691"/>
    <tableColumn id="14695" xr3:uid="{EFCC74F4-B77A-41FA-B8C4-8A22580A983A}" name="Column14692"/>
    <tableColumn id="14696" xr3:uid="{B35AE02F-0F68-4B6A-9EDE-DD0BF0968844}" name="Column14693"/>
    <tableColumn id="14697" xr3:uid="{72973DE1-20D9-4DB6-811D-2A2ED6946781}" name="Column14694"/>
    <tableColumn id="14698" xr3:uid="{21422024-157D-47B7-9569-289537966746}" name="Column14695"/>
    <tableColumn id="14699" xr3:uid="{B5D8367B-EA1F-4D79-8B7C-4B192AEA9258}" name="Column14696"/>
    <tableColumn id="14700" xr3:uid="{9E509F04-A64F-4B56-9C00-1E942C008798}" name="Column14697"/>
    <tableColumn id="14701" xr3:uid="{13941E87-3875-4DBE-A4D8-6191576F3A06}" name="Column14698"/>
    <tableColumn id="14702" xr3:uid="{859AAE6A-DADF-424B-B63A-7434812341B4}" name="Column14699"/>
    <tableColumn id="14703" xr3:uid="{6BC9DE86-DC50-40DA-A06D-FDD8D572DC45}" name="Column14700"/>
    <tableColumn id="14704" xr3:uid="{5DFA4D90-2B49-4940-94E3-79C11232CA59}" name="Column14701"/>
    <tableColumn id="14705" xr3:uid="{78A3E784-5355-4F0C-BF04-7CEE520EEA6E}" name="Column14702"/>
    <tableColumn id="14706" xr3:uid="{AA39A4EB-84E7-4E82-B215-A43FDB28B843}" name="Column14703"/>
    <tableColumn id="14707" xr3:uid="{1AD0416E-BB08-4034-95D7-2379C5CAEFAF}" name="Column14704"/>
    <tableColumn id="14708" xr3:uid="{BD487D91-88E0-4BE1-B1C0-D52532CD5552}" name="Column14705"/>
    <tableColumn id="14709" xr3:uid="{C8299527-36AC-462C-885C-244016E0AE62}" name="Column14706"/>
    <tableColumn id="14710" xr3:uid="{1E4EEEA9-05D9-4FAC-BA73-10D35F500262}" name="Column14707"/>
    <tableColumn id="14711" xr3:uid="{5A5FD2E9-6595-4FB7-BF47-6CC76686C928}" name="Column14708"/>
    <tableColumn id="14712" xr3:uid="{274AC130-18F8-4A9E-9826-55012AE65704}" name="Column14709"/>
    <tableColumn id="14713" xr3:uid="{94890B69-83DA-4814-96B6-8B7158AA9D71}" name="Column14710"/>
    <tableColumn id="14714" xr3:uid="{D514A753-5DC6-4ABC-8544-D7B38B4A471B}" name="Column14711"/>
    <tableColumn id="14715" xr3:uid="{15135369-F39F-4F19-AEA9-8E51D25E61C1}" name="Column14712"/>
    <tableColumn id="14716" xr3:uid="{5643301F-0B86-451F-93BE-E7D35F97B55F}" name="Column14713"/>
    <tableColumn id="14717" xr3:uid="{219935FE-D25A-4375-A70D-62F23167406C}" name="Column14714"/>
    <tableColumn id="14718" xr3:uid="{597C6932-4090-46B0-8748-2C1AB623A154}" name="Column14715"/>
    <tableColumn id="14719" xr3:uid="{C3B61440-9B0C-4279-929E-2391C615E078}" name="Column14716"/>
    <tableColumn id="14720" xr3:uid="{6DE63B40-1CBD-4E0B-B046-2319A380F1A1}" name="Column14717"/>
    <tableColumn id="14721" xr3:uid="{9EE66B14-7050-4FEA-ACDC-55B9E38FF5A4}" name="Column14718"/>
    <tableColumn id="14722" xr3:uid="{76ED9B3E-60D5-4AB2-8489-15F5D0F06D55}" name="Column14719"/>
    <tableColumn id="14723" xr3:uid="{2D8A0438-1C65-43DD-9BAB-2BF29F92999C}" name="Column14720"/>
    <tableColumn id="14724" xr3:uid="{248912E8-40AD-4920-ACE1-1C192885FA60}" name="Column14721"/>
    <tableColumn id="14725" xr3:uid="{9D736D33-0606-4DE7-9101-215263F1F56C}" name="Column14722"/>
    <tableColumn id="14726" xr3:uid="{54694B3A-F887-407B-B4AE-39BCD91BE4E7}" name="Column14723"/>
    <tableColumn id="14727" xr3:uid="{31A0E58D-8861-4FBB-956F-6399A337D542}" name="Column14724"/>
    <tableColumn id="14728" xr3:uid="{C794E091-0449-4F63-B459-A9A934ADB8E4}" name="Column14725"/>
    <tableColumn id="14729" xr3:uid="{D3D0DD11-C263-45E3-B591-3A445BF38AF9}" name="Column14726"/>
    <tableColumn id="14730" xr3:uid="{C1D629FF-A6D8-4AF5-BF70-683DC3E0F00A}" name="Column14727"/>
    <tableColumn id="14731" xr3:uid="{0613729F-D3CC-4C32-8633-D029249F5EA4}" name="Column14728"/>
    <tableColumn id="14732" xr3:uid="{A55FF71C-9194-48E4-9E90-42B37319837E}" name="Column14729"/>
    <tableColumn id="14733" xr3:uid="{2A2E4992-71F1-48A0-8ECE-CEC3F4425536}" name="Column14730"/>
    <tableColumn id="14734" xr3:uid="{CF6665DD-B597-44A4-94D8-0912F8C2B16B}" name="Column14731"/>
    <tableColumn id="14735" xr3:uid="{655B1564-0051-477E-AC0D-DB96DE5B9829}" name="Column14732"/>
    <tableColumn id="14736" xr3:uid="{4C824A54-6B5B-4D55-8B8E-F5F23D66C293}" name="Column14733"/>
    <tableColumn id="14737" xr3:uid="{41634B6A-1023-4CEF-8C8C-180FCD64ABAC}" name="Column14734"/>
    <tableColumn id="14738" xr3:uid="{84738337-68A2-49B2-AA3C-DC02C2B7B7A5}" name="Column14735"/>
    <tableColumn id="14739" xr3:uid="{FB97971F-0C3E-43DE-9367-C232F1758F43}" name="Column14736"/>
    <tableColumn id="14740" xr3:uid="{56A4D2E1-8EA5-49ED-9D5A-1254EDD4FDD8}" name="Column14737"/>
    <tableColumn id="14741" xr3:uid="{050D41DE-190F-4669-9548-04FDA2F8B4EF}" name="Column14738"/>
    <tableColumn id="14742" xr3:uid="{D442BE8A-6212-42D7-8A1D-EDD78FEB36D2}" name="Column14739"/>
    <tableColumn id="14743" xr3:uid="{2A5DD86C-EDA6-4BA3-8671-F67D6894A745}" name="Column14740"/>
    <tableColumn id="14744" xr3:uid="{4B641616-B8A9-494B-8378-BA03B8AD84A7}" name="Column14741"/>
    <tableColumn id="14745" xr3:uid="{6F770C31-81E2-4C5C-A93B-6A052EC3FB03}" name="Column14742"/>
    <tableColumn id="14746" xr3:uid="{5924987E-2151-4545-BA59-2119421EC2ED}" name="Column14743"/>
    <tableColumn id="14747" xr3:uid="{F139A9AB-AAD8-48D1-98EB-213DDC5E345A}" name="Column14744"/>
    <tableColumn id="14748" xr3:uid="{774E2F79-9F65-4FC2-87C5-9700C1DAB162}" name="Column14745"/>
    <tableColumn id="14749" xr3:uid="{C05E9CD3-2F4D-45F4-A0D1-DECB71DC6F9A}" name="Column14746"/>
    <tableColumn id="14750" xr3:uid="{4A93A476-4860-44CA-BEFC-92082A8627E0}" name="Column14747"/>
    <tableColumn id="14751" xr3:uid="{CA957D21-D044-44F0-B933-3EB6D58310F6}" name="Column14748"/>
    <tableColumn id="14752" xr3:uid="{56D163A2-C7E1-4060-94AD-443732FA79C7}" name="Column14749"/>
    <tableColumn id="14753" xr3:uid="{23336556-369B-4103-964D-EECEC34A23A0}" name="Column14750"/>
    <tableColumn id="14754" xr3:uid="{5ADA3B46-16E1-4C83-AD14-72F6FC1346FE}" name="Column14751"/>
    <tableColumn id="14755" xr3:uid="{9BD2A1FE-52AC-492D-BA0C-A7706A2BD43B}" name="Column14752"/>
    <tableColumn id="14756" xr3:uid="{23774BE0-9097-4C05-938D-868AA13395EC}" name="Column14753"/>
    <tableColumn id="14757" xr3:uid="{9FADD6F9-3DA8-403B-8174-498180A0C13F}" name="Column14754"/>
    <tableColumn id="14758" xr3:uid="{20D7AB86-EF03-4E86-899E-B5F2FC9091A6}" name="Column14755"/>
    <tableColumn id="14759" xr3:uid="{7209B16A-041F-4F64-BDB9-637E1A2650EB}" name="Column14756"/>
    <tableColumn id="14760" xr3:uid="{5558EB44-4470-4972-BFA6-A5848F405FD3}" name="Column14757"/>
    <tableColumn id="14761" xr3:uid="{71EF2AE4-5C28-46BA-B1E1-AB516AF6B996}" name="Column14758"/>
    <tableColumn id="14762" xr3:uid="{22427BF7-8AD5-4910-B06D-47247417DC9B}" name="Column14759"/>
    <tableColumn id="14763" xr3:uid="{FF79F3F3-BFE6-47CE-B590-280C645F6665}" name="Column14760"/>
    <tableColumn id="14764" xr3:uid="{CE1253BF-29C3-4005-B775-D68FADE0DCFE}" name="Column14761"/>
    <tableColumn id="14765" xr3:uid="{7464012A-504C-43CC-8667-3EF107E38EA9}" name="Column14762"/>
    <tableColumn id="14766" xr3:uid="{773DAEDA-8441-4456-A7AD-6E3FE50AC78E}" name="Column14763"/>
    <tableColumn id="14767" xr3:uid="{E15AE64D-DA50-4F1A-A8A8-B0844ECF5AD5}" name="Column14764"/>
    <tableColumn id="14768" xr3:uid="{02C50F47-FE1D-4D87-812C-A1ED46FEC7C5}" name="Column14765"/>
    <tableColumn id="14769" xr3:uid="{D22D7E0E-7FD4-4C06-87F2-EF02A99781F2}" name="Column14766"/>
    <tableColumn id="14770" xr3:uid="{E5C1E1BB-5FED-4FE0-8E13-33D26CB0FA2D}" name="Column14767"/>
    <tableColumn id="14771" xr3:uid="{4246E695-2A3E-44FD-831C-C20A1785CF62}" name="Column14768"/>
    <tableColumn id="14772" xr3:uid="{36AB4A32-3FF3-4B9B-B702-73BDA8BF8D69}" name="Column14769"/>
    <tableColumn id="14773" xr3:uid="{22F7F79E-71F2-4E3D-96D3-83EB89515882}" name="Column14770"/>
    <tableColumn id="14774" xr3:uid="{A5064FED-16E2-4586-950B-996031C996F6}" name="Column14771"/>
    <tableColumn id="14775" xr3:uid="{22C36EC7-5843-493C-A88E-0151BBEF5338}" name="Column14772"/>
    <tableColumn id="14776" xr3:uid="{BF6821DB-5C64-4F7D-B4E9-01DD2B6E5C38}" name="Column14773"/>
    <tableColumn id="14777" xr3:uid="{35270701-CBC5-41AC-B408-97DE051B22F6}" name="Column14774"/>
    <tableColumn id="14778" xr3:uid="{FF1A1F8F-8C66-4604-9520-1CD4A8740E0C}" name="Column14775"/>
    <tableColumn id="14779" xr3:uid="{BE7369DE-B74A-4062-B6BC-8CEF8AA4DAD8}" name="Column14776"/>
    <tableColumn id="14780" xr3:uid="{153DAD47-04D7-47AE-A98E-8E9978DD808C}" name="Column14777"/>
    <tableColumn id="14781" xr3:uid="{8F7BB9CD-45C1-448A-AF92-8472F75370C7}" name="Column14778"/>
    <tableColumn id="14782" xr3:uid="{FE2E34CA-FD36-4700-A037-E71759348650}" name="Column14779"/>
    <tableColumn id="14783" xr3:uid="{C777802D-F1D3-4048-9857-434EBC44A6E0}" name="Column14780"/>
    <tableColumn id="14784" xr3:uid="{BDCE5B9E-AD97-46AF-A9E6-3A1EE085689A}" name="Column14781"/>
    <tableColumn id="14785" xr3:uid="{AA98DF92-5059-4B78-8605-F6A6AE2F2730}" name="Column14782"/>
    <tableColumn id="14786" xr3:uid="{BD36353C-1252-43B5-929F-8D94A7578E8A}" name="Column14783"/>
    <tableColumn id="14787" xr3:uid="{22F37AFD-9763-4C39-A7FC-0EB4A141EDFD}" name="Column14784"/>
    <tableColumn id="14788" xr3:uid="{A29AA8BB-E491-47F9-AAF8-C0BA2752E7D3}" name="Column14785"/>
    <tableColumn id="14789" xr3:uid="{98832225-5D83-43F1-9AC3-3BCE17F6136C}" name="Column14786"/>
    <tableColumn id="14790" xr3:uid="{F0953146-98A6-4B2D-BB93-DC1E13598F22}" name="Column14787"/>
    <tableColumn id="14791" xr3:uid="{47A18932-EDD4-4DC6-B777-93EABA1673F0}" name="Column14788"/>
    <tableColumn id="14792" xr3:uid="{6D40F07C-04DE-4133-B109-F6DD44DFAC6E}" name="Column14789"/>
    <tableColumn id="14793" xr3:uid="{4DB74A68-96E4-48DB-9CDF-38F0224DFFF2}" name="Column14790"/>
    <tableColumn id="14794" xr3:uid="{7E9A3FD8-BC91-4D79-8898-151BF6FD1027}" name="Column14791"/>
    <tableColumn id="14795" xr3:uid="{4CDFF0E8-6AF0-4690-A6CF-0886D68919B0}" name="Column14792"/>
    <tableColumn id="14796" xr3:uid="{E9B8AD27-72C4-4615-8AF1-5D6DAEFD280B}" name="Column14793"/>
    <tableColumn id="14797" xr3:uid="{518B3C84-F28A-469B-A94E-CB44A33B249B}" name="Column14794"/>
    <tableColumn id="14798" xr3:uid="{4442F41B-163B-4791-B5F2-AF40F6CF39C9}" name="Column14795"/>
    <tableColumn id="14799" xr3:uid="{AC0D0A4C-A9A5-450D-9BD1-3DED4410040F}" name="Column14796"/>
    <tableColumn id="14800" xr3:uid="{A497D191-3044-4DAF-B761-7BE23A547840}" name="Column14797"/>
    <tableColumn id="14801" xr3:uid="{9712E72D-6E3C-4A4C-9D8D-444A2C3DD5CF}" name="Column14798"/>
    <tableColumn id="14802" xr3:uid="{09ED9372-813B-49D1-A310-900D8786B9B5}" name="Column14799"/>
    <tableColumn id="14803" xr3:uid="{3CD33C1D-E57F-494C-A5A7-56C0D14267F9}" name="Column14800"/>
    <tableColumn id="14804" xr3:uid="{61A6336C-2880-4C78-BF38-83DDF2E22637}" name="Column14801"/>
    <tableColumn id="14805" xr3:uid="{9BDE7470-1DD0-4784-B880-D2FE1BFC93E0}" name="Column14802"/>
    <tableColumn id="14806" xr3:uid="{D277883E-AE83-4941-B969-F3AE0D143055}" name="Column14803"/>
    <tableColumn id="14807" xr3:uid="{9BA1992B-933A-437E-931F-8EF013A086D3}" name="Column14804"/>
    <tableColumn id="14808" xr3:uid="{38F1D87C-75A6-4227-90CF-5E620848A11C}" name="Column14805"/>
    <tableColumn id="14809" xr3:uid="{FD765B2F-50BD-426C-9052-A6C0D40AE368}" name="Column14806"/>
    <tableColumn id="14810" xr3:uid="{90650CA8-937A-4515-9613-F1C636F3AA86}" name="Column14807"/>
    <tableColumn id="14811" xr3:uid="{2CA06FFF-F407-4F7E-98FA-4F169EB68059}" name="Column14808"/>
    <tableColumn id="14812" xr3:uid="{95491EA3-B3A0-4E2F-A733-DED0D7C921BD}" name="Column14809"/>
    <tableColumn id="14813" xr3:uid="{9C85B86B-1288-4EFF-8EB5-91A4A41FDDB5}" name="Column14810"/>
    <tableColumn id="14814" xr3:uid="{7CE65F80-331C-4828-9BF7-1DC9951AF9D4}" name="Column14811"/>
    <tableColumn id="14815" xr3:uid="{D542A564-7284-47F3-BA3A-7FF26412BE4C}" name="Column14812"/>
    <tableColumn id="14816" xr3:uid="{B3D9C8F8-9125-4328-8890-4D307BDE8152}" name="Column14813"/>
    <tableColumn id="14817" xr3:uid="{F81001B1-E344-4514-9AC4-0F7D137B3860}" name="Column14814"/>
    <tableColumn id="14818" xr3:uid="{6AFA4E88-732D-403A-AD51-C7F16CDAC0FC}" name="Column14815"/>
    <tableColumn id="14819" xr3:uid="{DF3D7CCD-CA79-4A45-B768-568DC32132C5}" name="Column14816"/>
    <tableColumn id="14820" xr3:uid="{3AB76206-CB79-44C5-A459-EA07E58E1DD0}" name="Column14817"/>
    <tableColumn id="14821" xr3:uid="{7B169FE1-798C-4950-BC7E-1175303F3035}" name="Column14818"/>
    <tableColumn id="14822" xr3:uid="{C45C63DA-F887-4919-9032-D50E2970950D}" name="Column14819"/>
    <tableColumn id="14823" xr3:uid="{803CBA3D-870D-41EB-ACA0-E62A69C03510}" name="Column14820"/>
    <tableColumn id="14824" xr3:uid="{7C847B3B-412A-4ADF-A6AA-BF8E6CBDE539}" name="Column14821"/>
    <tableColumn id="14825" xr3:uid="{4A8BE3BB-2E36-4033-A7B5-C123BB7A954A}" name="Column14822"/>
    <tableColumn id="14826" xr3:uid="{8E4F2A34-CDAE-4678-9747-2EA9B64254CE}" name="Column14823"/>
    <tableColumn id="14827" xr3:uid="{E259945D-0646-495B-B95B-8CF58971A1DA}" name="Column14824"/>
    <tableColumn id="14828" xr3:uid="{4C82A048-BA95-4DD3-8188-B8C380809F4A}" name="Column14825"/>
    <tableColumn id="14829" xr3:uid="{34B15F90-D9B7-4B44-8533-7891C3F74255}" name="Column14826"/>
    <tableColumn id="14830" xr3:uid="{05C9BF13-2854-498F-BBAB-344F2BC5CD8E}" name="Column14827"/>
    <tableColumn id="14831" xr3:uid="{3D2DF8AD-E4E7-4D29-8501-7FC5B34D7425}" name="Column14828"/>
    <tableColumn id="14832" xr3:uid="{464F301D-B83C-4E90-A970-3B860E4ADF8C}" name="Column14829"/>
    <tableColumn id="14833" xr3:uid="{37A463E5-333D-4202-9826-353530601EF2}" name="Column14830"/>
    <tableColumn id="14834" xr3:uid="{808675EE-F7BE-4636-8CB7-97004B0A16F7}" name="Column14831"/>
    <tableColumn id="14835" xr3:uid="{0EC9B57C-C527-44ED-8D42-C85DCC64AAC8}" name="Column14832"/>
    <tableColumn id="14836" xr3:uid="{CF441975-977D-4511-BC53-40D4B77DFC26}" name="Column14833"/>
    <tableColumn id="14837" xr3:uid="{BF990D83-C951-4B7A-BE99-E91EF9E68C25}" name="Column14834"/>
    <tableColumn id="14838" xr3:uid="{7956034D-124F-4960-8312-4200358C3CB2}" name="Column14835"/>
    <tableColumn id="14839" xr3:uid="{20CCA68D-1BE0-4453-A427-0CA7FC97D266}" name="Column14836"/>
    <tableColumn id="14840" xr3:uid="{AB7DB981-AE9D-4D45-BF70-A8051C29255A}" name="Column14837"/>
    <tableColumn id="14841" xr3:uid="{C3A5E54B-98B4-44A8-AB13-8F31B4DC847B}" name="Column14838"/>
    <tableColumn id="14842" xr3:uid="{93BC689F-743D-47B9-8616-B229F9378699}" name="Column14839"/>
    <tableColumn id="14843" xr3:uid="{6C605814-7689-43AE-914D-D2064E5CA8D3}" name="Column14840"/>
    <tableColumn id="14844" xr3:uid="{5B9E33C6-801C-4C63-84B5-A8E25F736AA7}" name="Column14841"/>
    <tableColumn id="14845" xr3:uid="{8B41FED0-291E-42BB-92FB-A58EBF7E281F}" name="Column14842"/>
    <tableColumn id="14846" xr3:uid="{83D370D2-56DB-4B70-BE41-A753C5D001E7}" name="Column14843"/>
    <tableColumn id="14847" xr3:uid="{D6808489-2367-4B47-A726-C64B3330E5A4}" name="Column14844"/>
    <tableColumn id="14848" xr3:uid="{3BB10EC9-01A8-4294-9DA0-B54D0AADB552}" name="Column14845"/>
    <tableColumn id="14849" xr3:uid="{827055AD-AA23-4382-A5F7-CEF4CF1ED18A}" name="Column14846"/>
    <tableColumn id="14850" xr3:uid="{73A2A90B-78BD-4CED-9662-66F2EB51ED4A}" name="Column14847"/>
    <tableColumn id="14851" xr3:uid="{F164C5DF-6A32-4DCF-AA72-15DC52D3DECD}" name="Column14848"/>
    <tableColumn id="14852" xr3:uid="{699E899A-B77D-40D7-9D47-3B2817371FD2}" name="Column14849"/>
    <tableColumn id="14853" xr3:uid="{EC87D4C1-A9F7-459B-BEAB-9089939DC452}" name="Column14850"/>
    <tableColumn id="14854" xr3:uid="{F9264EAB-5907-45FF-A782-B5E8574B585D}" name="Column14851"/>
    <tableColumn id="14855" xr3:uid="{5570E47C-B4CC-4DCD-81EB-0A3A1400EF2A}" name="Column14852"/>
    <tableColumn id="14856" xr3:uid="{DA72F2B4-0B11-4364-AB5C-224A6195D202}" name="Column14853"/>
    <tableColumn id="14857" xr3:uid="{BC45FC47-CBEB-4A5C-8694-16DDC2065545}" name="Column14854"/>
    <tableColumn id="14858" xr3:uid="{681BE733-1035-4842-A871-E0E4DCCA49C8}" name="Column14855"/>
    <tableColumn id="14859" xr3:uid="{D213A7F8-7993-4B7C-81A3-E22D712B049E}" name="Column14856"/>
    <tableColumn id="14860" xr3:uid="{E391198B-2C04-4C3C-B3A2-FCA5DF99A4A5}" name="Column14857"/>
    <tableColumn id="14861" xr3:uid="{CB483B38-897F-42E8-B765-3FBD51F71C47}" name="Column14858"/>
    <tableColumn id="14862" xr3:uid="{E36C49A4-C6A2-4D48-B668-187CF0ADFFEF}" name="Column14859"/>
    <tableColumn id="14863" xr3:uid="{90EDB6CE-0FD7-4CE0-93D0-575F09BD9E54}" name="Column14860"/>
    <tableColumn id="14864" xr3:uid="{2EA355C0-7146-41D4-ABB9-74F7AF540DBA}" name="Column14861"/>
    <tableColumn id="14865" xr3:uid="{927C3984-2589-4460-970C-745D6EA11B4B}" name="Column14862"/>
    <tableColumn id="14866" xr3:uid="{54BE737B-F1C3-4901-8BB2-36C4245EDF0E}" name="Column14863"/>
    <tableColumn id="14867" xr3:uid="{835A9631-E07D-491B-AF8B-A7E5E23EDF46}" name="Column14864"/>
    <tableColumn id="14868" xr3:uid="{6B85620E-6B53-42FD-B194-DABA65E7F2F5}" name="Column14865"/>
    <tableColumn id="14869" xr3:uid="{4BF990B4-912D-4A6F-8EDF-D443F3071C3A}" name="Column14866"/>
    <tableColumn id="14870" xr3:uid="{1AE88E26-13BA-4952-AC28-8DD1636F3103}" name="Column14867"/>
    <tableColumn id="14871" xr3:uid="{C3ACE945-82C6-42B1-BABA-A0D0194A4000}" name="Column14868"/>
    <tableColumn id="14872" xr3:uid="{51886EC1-78A6-4BED-8656-EEF8B703BBF8}" name="Column14869"/>
    <tableColumn id="14873" xr3:uid="{5B6451D3-BF7B-4914-B955-A41216140B97}" name="Column14870"/>
    <tableColumn id="14874" xr3:uid="{EC02B4BE-F848-4D99-A0F3-8EB9D923C748}" name="Column14871"/>
    <tableColumn id="14875" xr3:uid="{C8AC9A0D-2711-4080-892A-18AD983CFFDE}" name="Column14872"/>
    <tableColumn id="14876" xr3:uid="{81C45A95-528A-4680-8AD2-D935C8607FD0}" name="Column14873"/>
    <tableColumn id="14877" xr3:uid="{0ECD9541-DD28-4B09-8F09-9913EBA0599E}" name="Column14874"/>
    <tableColumn id="14878" xr3:uid="{F3489F8A-EB0C-42ED-8F9F-D232BDC46F78}" name="Column14875"/>
    <tableColumn id="14879" xr3:uid="{6B691EC5-A0F1-4605-8AB8-7511A8F72736}" name="Column14876"/>
    <tableColumn id="14880" xr3:uid="{0F795FA3-A561-4EDE-B1E7-3708F2BB8A2C}" name="Column14877"/>
    <tableColumn id="14881" xr3:uid="{85EB75B5-4807-4E37-996A-9E6071503B5A}" name="Column14878"/>
    <tableColumn id="14882" xr3:uid="{0C906118-BE19-4F59-8657-DA4C86DCCA34}" name="Column14879"/>
    <tableColumn id="14883" xr3:uid="{F798BA1E-D45A-4583-BC42-133EBBBC12D5}" name="Column14880"/>
    <tableColumn id="14884" xr3:uid="{B66E4A31-7411-4998-9368-ABD291705960}" name="Column14881"/>
    <tableColumn id="14885" xr3:uid="{F479B21C-1628-47CB-AE89-C20CFD70CFA7}" name="Column14882"/>
    <tableColumn id="14886" xr3:uid="{E5FE7731-211A-4477-9318-ECB31EEFE6AD}" name="Column14883"/>
    <tableColumn id="14887" xr3:uid="{1FBA0233-9AC1-49D5-BE9B-07CC5E9714E8}" name="Column14884"/>
    <tableColumn id="14888" xr3:uid="{BAE9B27E-316C-48D8-B20E-FFBBD80AF22F}" name="Column14885"/>
    <tableColumn id="14889" xr3:uid="{8ED94EB9-7E65-4CFE-9CBF-978C55016BAD}" name="Column14886"/>
    <tableColumn id="14890" xr3:uid="{24DA38A2-B16D-46A0-930B-68F32C3FB849}" name="Column14887"/>
    <tableColumn id="14891" xr3:uid="{8C11C19F-5949-4B8C-AB7C-1E8119B58957}" name="Column14888"/>
    <tableColumn id="14892" xr3:uid="{B724B80D-18FC-4107-88E7-DAF343627FC4}" name="Column14889"/>
    <tableColumn id="14893" xr3:uid="{2640B2AF-393F-4162-9066-FFAAA14B9010}" name="Column14890"/>
    <tableColumn id="14894" xr3:uid="{55BAF890-484B-493A-99EC-2B61A17A93D6}" name="Column14891"/>
    <tableColumn id="14895" xr3:uid="{05E2AA99-898A-4910-B96A-F3905A580FEE}" name="Column14892"/>
    <tableColumn id="14896" xr3:uid="{C0E276BB-408C-44B8-8DA8-681DB7C59018}" name="Column14893"/>
    <tableColumn id="14897" xr3:uid="{ED4EB176-12AB-4535-AC15-1416CC676A54}" name="Column14894"/>
    <tableColumn id="14898" xr3:uid="{A84101B9-C1B4-4D7F-BC30-547AC67DD85F}" name="Column14895"/>
    <tableColumn id="14899" xr3:uid="{FBDA6891-5E60-4843-9A47-FF3F6C8D9BDF}" name="Column14896"/>
    <tableColumn id="14900" xr3:uid="{F2C1246C-76A9-4936-ABC5-5297A8CD6D61}" name="Column14897"/>
    <tableColumn id="14901" xr3:uid="{9B0C41A3-8C54-4AA9-B61A-F65BBC38E7EA}" name="Column14898"/>
    <tableColumn id="14902" xr3:uid="{DED84D41-6F16-48BD-B9C0-AB8ECCEEB6D9}" name="Column14899"/>
    <tableColumn id="14903" xr3:uid="{3CFA4AFB-9CBC-4B4C-9173-3ABDCE28951C}" name="Column14900"/>
    <tableColumn id="14904" xr3:uid="{93843F9F-7A82-4D83-9572-CD0C8A769176}" name="Column14901"/>
    <tableColumn id="14905" xr3:uid="{3DFE22F3-62C4-4574-BA1E-9F80EF409C44}" name="Column14902"/>
    <tableColumn id="14906" xr3:uid="{A4C136FD-C72C-48CA-93B8-972C95764E2A}" name="Column14903"/>
    <tableColumn id="14907" xr3:uid="{9150358E-0FF2-46D2-98AE-1B2B1C490EA3}" name="Column14904"/>
    <tableColumn id="14908" xr3:uid="{F92308F0-E29E-49B3-A9A8-70CBE7E07C06}" name="Column14905"/>
    <tableColumn id="14909" xr3:uid="{4AC416A6-4706-4DF2-969F-85F3C870C0B5}" name="Column14906"/>
    <tableColumn id="14910" xr3:uid="{64820695-291F-4A11-8E1E-AAC6413CB6E9}" name="Column14907"/>
    <tableColumn id="14911" xr3:uid="{642D9AAA-6CAA-474A-845B-D7A6AB22E972}" name="Column14908"/>
    <tableColumn id="14912" xr3:uid="{E54E0455-2F2A-4C9E-91B9-371C460978B8}" name="Column14909"/>
    <tableColumn id="14913" xr3:uid="{5EBB69A4-9083-41D6-A5BD-317AA382A90C}" name="Column14910"/>
    <tableColumn id="14914" xr3:uid="{1BDF9870-7E81-4611-BB0F-71734ED0DC15}" name="Column14911"/>
    <tableColumn id="14915" xr3:uid="{AB9EB7FB-7C46-4630-AECD-53A184B6BF34}" name="Column14912"/>
    <tableColumn id="14916" xr3:uid="{7BEC3287-A6AD-44FC-8C52-6EE1A1F9A360}" name="Column14913"/>
    <tableColumn id="14917" xr3:uid="{978E7B21-7404-4A9D-8363-9646E5121902}" name="Column14914"/>
    <tableColumn id="14918" xr3:uid="{0F2FF2EB-0F3F-40B9-8E4E-05DBF88E38FC}" name="Column14915"/>
    <tableColumn id="14919" xr3:uid="{FD35BA0A-7C99-434E-BB5F-8CD522C4DCC9}" name="Column14916"/>
    <tableColumn id="14920" xr3:uid="{6F403255-9501-43F7-887B-E28FB1614D37}" name="Column14917"/>
    <tableColumn id="14921" xr3:uid="{155EE90E-040F-47AF-9C93-D24AE5271CC5}" name="Column14918"/>
    <tableColumn id="14922" xr3:uid="{ECA20D1D-25ED-4206-946D-DB4060E81B95}" name="Column14919"/>
    <tableColumn id="14923" xr3:uid="{EFB60A8C-B378-47F5-8996-E799DBC781CF}" name="Column14920"/>
    <tableColumn id="14924" xr3:uid="{5CA38E99-635E-404B-A6FD-46D3176AEF1F}" name="Column14921"/>
    <tableColumn id="14925" xr3:uid="{3ECD2382-30B1-4213-981E-BE961B704CF7}" name="Column14922"/>
    <tableColumn id="14926" xr3:uid="{B731C719-CC4A-4723-8911-A15CA8EEE980}" name="Column14923"/>
    <tableColumn id="14927" xr3:uid="{86CDC02C-094B-4179-A373-72A580AD68B1}" name="Column14924"/>
    <tableColumn id="14928" xr3:uid="{EDD6CAEB-F51D-435A-A090-2D06EB7FE15C}" name="Column14925"/>
    <tableColumn id="14929" xr3:uid="{721642B1-7553-49C9-B0C9-6F083A390E7D}" name="Column14926"/>
    <tableColumn id="14930" xr3:uid="{29DE1A14-9FEF-46C1-AB70-29B376E2E8B7}" name="Column14927"/>
    <tableColumn id="14931" xr3:uid="{9D54F567-98B7-48C2-A82F-14CB52D87909}" name="Column14928"/>
    <tableColumn id="14932" xr3:uid="{CE866FED-F11E-4E4C-B783-A26E6C13DE2F}" name="Column14929"/>
    <tableColumn id="14933" xr3:uid="{CA29E62B-0180-42D3-8602-C1021F3AEEB8}" name="Column14930"/>
    <tableColumn id="14934" xr3:uid="{7F674707-8203-4193-BE9B-B33609C2A716}" name="Column14931"/>
    <tableColumn id="14935" xr3:uid="{0BB40143-15E7-4A4F-BDAA-423B4E50C5E1}" name="Column14932"/>
    <tableColumn id="14936" xr3:uid="{EA4FE831-D279-44A4-9441-DED26105596A}" name="Column14933"/>
    <tableColumn id="14937" xr3:uid="{D2D38516-50EE-473C-ABEE-9822545E3337}" name="Column14934"/>
    <tableColumn id="14938" xr3:uid="{B58DEC71-8B38-4BDA-B7E4-DDB7C5F55ED5}" name="Column14935"/>
    <tableColumn id="14939" xr3:uid="{CD450BBF-E7A5-4ADC-989B-D9FD7DAD59BC}" name="Column14936"/>
    <tableColumn id="14940" xr3:uid="{C3CE49BB-6941-4455-BCFD-29C6CD1563A9}" name="Column14937"/>
    <tableColumn id="14941" xr3:uid="{BA95E4C2-601A-4ABA-B56F-D86A58FFD99C}" name="Column14938"/>
    <tableColumn id="14942" xr3:uid="{980D0C1A-D442-492F-AC56-F2396F468F08}" name="Column14939"/>
    <tableColumn id="14943" xr3:uid="{6F932DDB-E3B7-471E-8C69-276F0D46A9AA}" name="Column14940"/>
    <tableColumn id="14944" xr3:uid="{58FBA76F-92C5-4B8F-A131-8FF6E37C7B54}" name="Column14941"/>
    <tableColumn id="14945" xr3:uid="{2BD940EA-942F-4F15-8027-B1CFD6582257}" name="Column14942"/>
    <tableColumn id="14946" xr3:uid="{DBA9A4D4-1CB9-4CB1-80BA-4E056E01AC13}" name="Column14943"/>
    <tableColumn id="14947" xr3:uid="{AC2D7B10-0924-4C1D-9D64-5257982F3FFA}" name="Column14944"/>
    <tableColumn id="14948" xr3:uid="{70C3B067-23EC-4867-BF65-1C084A148BF5}" name="Column14945"/>
    <tableColumn id="14949" xr3:uid="{01B3DAC8-9327-44F8-99A2-3BF3D9CF9453}" name="Column14946"/>
    <tableColumn id="14950" xr3:uid="{B675FE9D-2C07-489F-B603-A03C6B7E411B}" name="Column14947"/>
    <tableColumn id="14951" xr3:uid="{73841031-C3A8-4E47-A96B-2D36CFCE6433}" name="Column14948"/>
    <tableColumn id="14952" xr3:uid="{9F561EEA-88EC-4688-89EE-4A059FA1C9E5}" name="Column14949"/>
    <tableColumn id="14953" xr3:uid="{D62CE756-2F3B-41E7-AE32-D95284480A4E}" name="Column14950"/>
    <tableColumn id="14954" xr3:uid="{1BBDCDD7-7A09-4401-9AB6-3E7E77A01AA6}" name="Column14951"/>
    <tableColumn id="14955" xr3:uid="{4EB9384A-1B92-4C12-A938-55E0A4CE3B74}" name="Column14952"/>
    <tableColumn id="14956" xr3:uid="{AB1252E7-A42F-4EBE-87E6-B1E751924674}" name="Column14953"/>
    <tableColumn id="14957" xr3:uid="{1A30F110-ED9F-4F94-94A1-F4B9836BE03C}" name="Column14954"/>
    <tableColumn id="14958" xr3:uid="{77C0DA08-4572-4CB0-A00F-5E4FFB9A7236}" name="Column14955"/>
    <tableColumn id="14959" xr3:uid="{5FB25F4F-1E67-4F55-AC1C-59428441D80C}" name="Column14956"/>
    <tableColumn id="14960" xr3:uid="{72AD628F-A3D9-415A-BD0F-2A763320F5A1}" name="Column14957"/>
    <tableColumn id="14961" xr3:uid="{5BE34184-7E7F-451E-B7E0-72FD2191E414}" name="Column14958"/>
    <tableColumn id="14962" xr3:uid="{8C839246-7C49-498A-8589-FF74AF3732AE}" name="Column14959"/>
    <tableColumn id="14963" xr3:uid="{B8425FA6-FC2F-4DAC-A6EB-0A6D77073A33}" name="Column14960"/>
    <tableColumn id="14964" xr3:uid="{425D55E1-E290-4299-87D8-B52745CDF954}" name="Column14961"/>
    <tableColumn id="14965" xr3:uid="{F0D579E5-5CF7-492F-9053-78CFCB724AEA}" name="Column14962"/>
    <tableColumn id="14966" xr3:uid="{554BF78A-D77C-47D0-8BA2-08CE719BE10A}" name="Column14963"/>
    <tableColumn id="14967" xr3:uid="{A2919E72-A783-4D95-B699-CE44E193E3BB}" name="Column14964"/>
    <tableColumn id="14968" xr3:uid="{182430A1-B0C2-46A9-B1F2-15E6850D9856}" name="Column14965"/>
    <tableColumn id="14969" xr3:uid="{B965E06C-8C7E-4B9A-AD51-CDC20B22F222}" name="Column14966"/>
    <tableColumn id="14970" xr3:uid="{AD14001F-81CD-4CE4-9FFE-CAE9938D9737}" name="Column14967"/>
    <tableColumn id="14971" xr3:uid="{B6A44895-6A61-46FD-B69F-B0A001C1A29B}" name="Column14968"/>
    <tableColumn id="14972" xr3:uid="{A2760FF5-92A2-4805-8EBF-053783B6273F}" name="Column14969"/>
    <tableColumn id="14973" xr3:uid="{499EB3C4-221F-4C45-8623-D3957FE4DD18}" name="Column14970"/>
    <tableColumn id="14974" xr3:uid="{E80DBE2D-1477-4CCC-B022-B91645ED2DA9}" name="Column14971"/>
    <tableColumn id="14975" xr3:uid="{361C699C-EAA2-4985-93AD-076EF798B77D}" name="Column14972"/>
    <tableColumn id="14976" xr3:uid="{1D2C368C-D412-4157-B339-D02E99919E09}" name="Column14973"/>
    <tableColumn id="14977" xr3:uid="{11666B40-8E3F-4A9D-848B-E12EE47600E3}" name="Column14974"/>
    <tableColumn id="14978" xr3:uid="{D2C31843-D1C5-48B1-9386-79181136BB4B}" name="Column14975"/>
    <tableColumn id="14979" xr3:uid="{D5B0AF8E-EC0D-404A-8C03-F728ED6C9AC8}" name="Column14976"/>
    <tableColumn id="14980" xr3:uid="{28FA7944-1412-48B4-B0EF-D0604E944458}" name="Column14977"/>
    <tableColumn id="14981" xr3:uid="{0D6D0BA1-5E56-4B98-ABFA-52B9CB8E495C}" name="Column14978"/>
    <tableColumn id="14982" xr3:uid="{0494E000-9BA0-4A57-8346-64CA59901999}" name="Column14979"/>
    <tableColumn id="14983" xr3:uid="{75231261-5F25-4EFB-870A-E7A621BF0908}" name="Column14980"/>
    <tableColumn id="14984" xr3:uid="{CD3330D0-7B52-43F9-BE3C-3A53A2CCC515}" name="Column14981"/>
    <tableColumn id="14985" xr3:uid="{F24355A8-5F45-4940-9359-550E099B1DA1}" name="Column14982"/>
    <tableColumn id="14986" xr3:uid="{10360CFA-5013-4189-85FF-FE9DC0ABE2E6}" name="Column14983"/>
    <tableColumn id="14987" xr3:uid="{8BBD2EB0-7795-48EE-A381-9261B01D82FD}" name="Column14984"/>
    <tableColumn id="14988" xr3:uid="{E1FC24DD-74BE-4E77-8163-CA68501284A9}" name="Column14985"/>
    <tableColumn id="14989" xr3:uid="{7988E81C-C29B-4B35-85D0-29FFD9D22673}" name="Column14986"/>
    <tableColumn id="14990" xr3:uid="{DC1B9D5A-9807-4ED8-9EB1-281FA247B94D}" name="Column14987"/>
    <tableColumn id="14991" xr3:uid="{7354E1C3-7724-4CA6-9FFD-7E4B9C2EB43B}" name="Column14988"/>
    <tableColumn id="14992" xr3:uid="{3709CE34-8EE5-47A7-8C2F-677F268AB835}" name="Column14989"/>
    <tableColumn id="14993" xr3:uid="{F213BAE5-8045-4EA8-91B7-72885A82BEF1}" name="Column14990"/>
    <tableColumn id="14994" xr3:uid="{E4A3D1B0-469B-4E7E-A8B6-CC116C0C9C15}" name="Column14991"/>
    <tableColumn id="14995" xr3:uid="{6EBEEFE7-F19F-4026-BD69-450F4356973C}" name="Column14992"/>
    <tableColumn id="14996" xr3:uid="{5F4BA3EE-C53E-4BD9-B327-2BB171841E58}" name="Column14993"/>
    <tableColumn id="14997" xr3:uid="{C740ED11-2D66-4C46-8DAF-59CE79B7CA99}" name="Column14994"/>
    <tableColumn id="14998" xr3:uid="{23A8EFE3-D768-45F7-9C5E-A066D9DC5B7F}" name="Column14995"/>
    <tableColumn id="14999" xr3:uid="{E8F21961-3CAA-4CDA-8F43-F4CA96322938}" name="Column14996"/>
    <tableColumn id="15000" xr3:uid="{EF23E1B1-6C6D-4271-B19A-EA72617AE53B}" name="Column14997"/>
    <tableColumn id="15001" xr3:uid="{51ADB780-D355-4F7E-B210-E6DEAEEABDA1}" name="Column14998"/>
    <tableColumn id="15002" xr3:uid="{6E5EA77A-0197-4447-8E64-E9B590EE1BDB}" name="Column14999"/>
    <tableColumn id="15003" xr3:uid="{849A8D42-2632-4E8B-86B2-815AD6DEEE96}" name="Column15000"/>
    <tableColumn id="15004" xr3:uid="{99CC21C0-1951-4536-A037-B0ACDC60A466}" name="Column15001"/>
    <tableColumn id="15005" xr3:uid="{8F3CE256-1331-4B1D-B5E7-5523C8D9EA65}" name="Column15002"/>
    <tableColumn id="15006" xr3:uid="{1D4015AB-FE9A-492C-B8C2-230C9FE713FD}" name="Column15003"/>
    <tableColumn id="15007" xr3:uid="{983700F9-AD41-487B-9264-A28F2A5CA60F}" name="Column15004"/>
    <tableColumn id="15008" xr3:uid="{561E8232-AF1F-4D30-A301-10E531066C51}" name="Column15005"/>
    <tableColumn id="15009" xr3:uid="{3AC6639D-9A29-43C0-A2FE-3D869E8172AA}" name="Column15006"/>
    <tableColumn id="15010" xr3:uid="{79352A2A-6F2A-4313-8253-D6720CB22E92}" name="Column15007"/>
    <tableColumn id="15011" xr3:uid="{34E65AED-88DF-4C6E-9D7C-663B027E4EEC}" name="Column15008"/>
    <tableColumn id="15012" xr3:uid="{64107D58-29B4-4FAF-839D-5387A4E3A4B2}" name="Column15009"/>
    <tableColumn id="15013" xr3:uid="{A5A6AC17-A3E8-4983-972E-5DE2ED3730B5}" name="Column15010"/>
    <tableColumn id="15014" xr3:uid="{9DE91167-BA2A-49C0-B7F2-D5B6ECF80D70}" name="Column15011"/>
    <tableColumn id="15015" xr3:uid="{C12781ED-B4FD-4DD7-BA57-BAA8F78C0169}" name="Column15012"/>
    <tableColumn id="15016" xr3:uid="{F4B8DC61-EBC2-407D-B985-1EFC2D967962}" name="Column15013"/>
    <tableColumn id="15017" xr3:uid="{64FD4D31-B913-4162-8848-517B06DA971C}" name="Column15014"/>
    <tableColumn id="15018" xr3:uid="{6914A3E8-C177-4B13-B3FF-7753A4BC6C88}" name="Column15015"/>
    <tableColumn id="15019" xr3:uid="{A58D5BD1-A3B3-437B-9382-29C953709262}" name="Column15016"/>
    <tableColumn id="15020" xr3:uid="{AB685120-8575-4255-8966-C0E56C16411A}" name="Column15017"/>
    <tableColumn id="15021" xr3:uid="{0E984260-BA92-418A-A193-2AABD6B58682}" name="Column15018"/>
    <tableColumn id="15022" xr3:uid="{6C684C25-961D-42A4-88B9-33B8F713DA65}" name="Column15019"/>
    <tableColumn id="15023" xr3:uid="{904705AF-18A2-41C8-9370-5AA8CCE22163}" name="Column15020"/>
    <tableColumn id="15024" xr3:uid="{71346717-13C1-42FE-8177-34192AA8CBA2}" name="Column15021"/>
    <tableColumn id="15025" xr3:uid="{FDD312FF-31FC-47B0-B2CB-620899DE0314}" name="Column15022"/>
    <tableColumn id="15026" xr3:uid="{D7B3BE32-67AC-4CBD-B677-71ABA94CF0FB}" name="Column15023"/>
    <tableColumn id="15027" xr3:uid="{CA32A802-332A-44EE-AE64-FF753DE65E0A}" name="Column15024"/>
    <tableColumn id="15028" xr3:uid="{FFCBBCD8-1F07-429C-BB2E-AE83E2C6448E}" name="Column15025"/>
    <tableColumn id="15029" xr3:uid="{911CE00F-E7E9-439A-8DEF-FD8F2EC5016F}" name="Column15026"/>
    <tableColumn id="15030" xr3:uid="{456B18A8-EC6F-4512-9F57-86A0890C8761}" name="Column15027"/>
    <tableColumn id="15031" xr3:uid="{62A33F30-9A90-483D-BBCB-DB7BEB0BEAF9}" name="Column15028"/>
    <tableColumn id="15032" xr3:uid="{9D4073F9-C84E-4D18-8E8A-3424CDA48BEB}" name="Column15029"/>
    <tableColumn id="15033" xr3:uid="{6B5FE4D2-D0A2-4A2E-9BFD-BD5EEA33CF94}" name="Column15030"/>
    <tableColumn id="15034" xr3:uid="{D1BE56F2-CBB0-4150-A311-347A4D97217A}" name="Column15031"/>
    <tableColumn id="15035" xr3:uid="{DC5271F6-1AD4-4582-9C01-0AB96885B878}" name="Column15032"/>
    <tableColumn id="15036" xr3:uid="{7FB3B0E3-026F-47F0-AF9B-517E41B7BEC3}" name="Column15033"/>
    <tableColumn id="15037" xr3:uid="{37A53FE5-5292-48B6-A690-1EE50E029416}" name="Column15034"/>
    <tableColumn id="15038" xr3:uid="{E43F626B-A7FC-452A-9137-96455F4D908C}" name="Column15035"/>
    <tableColumn id="15039" xr3:uid="{C2EF8779-39A0-4AB7-8A17-06A0FAC80319}" name="Column15036"/>
    <tableColumn id="15040" xr3:uid="{45819C02-E947-4A70-82FB-5C40AE8F136C}" name="Column15037"/>
    <tableColumn id="15041" xr3:uid="{5D85EA56-4190-4CB3-A9BA-179353FB7BB3}" name="Column15038"/>
    <tableColumn id="15042" xr3:uid="{3764F27A-D4C4-41E4-A989-783B7BB9D659}" name="Column15039"/>
    <tableColumn id="15043" xr3:uid="{B54E6E3F-B420-46E9-B524-A1AFA15A195E}" name="Column15040"/>
    <tableColumn id="15044" xr3:uid="{5649E17A-8830-4BDC-8DBF-1BAF0D956947}" name="Column15041"/>
    <tableColumn id="15045" xr3:uid="{BCD9034D-74E6-4D80-86FB-087FEE0E5AA3}" name="Column15042"/>
    <tableColumn id="15046" xr3:uid="{7C097FBD-4B21-44A8-B903-F9BEB9A8012E}" name="Column15043"/>
    <tableColumn id="15047" xr3:uid="{44E04EA5-9A8D-4736-8F1A-38834FAA8D84}" name="Column15044"/>
    <tableColumn id="15048" xr3:uid="{5017271B-FE13-406F-9E56-936037F0EF7D}" name="Column15045"/>
    <tableColumn id="15049" xr3:uid="{DDF89F34-D096-4F97-984A-181A0114DF13}" name="Column15046"/>
    <tableColumn id="15050" xr3:uid="{F14C86C0-86C4-4C41-9242-5A3E589FFCC0}" name="Column15047"/>
    <tableColumn id="15051" xr3:uid="{B5138F6B-F281-46C4-95EF-F79EC4FC092A}" name="Column15048"/>
    <tableColumn id="15052" xr3:uid="{161D5130-BD93-4657-A281-CF229FEE56F9}" name="Column15049"/>
    <tableColumn id="15053" xr3:uid="{FF732AA9-60B1-4C13-AE0B-6FAC7B574002}" name="Column15050"/>
    <tableColumn id="15054" xr3:uid="{77EEB83C-6114-4814-A1E9-775114010BBF}" name="Column15051"/>
    <tableColumn id="15055" xr3:uid="{CFB6BD64-B58A-44D6-88A9-C208F49541E6}" name="Column15052"/>
    <tableColumn id="15056" xr3:uid="{0C07B5D5-B891-4927-A8DA-F78205145B7D}" name="Column15053"/>
    <tableColumn id="15057" xr3:uid="{B293F9A1-56AD-4FF0-AF12-7111974D45BE}" name="Column15054"/>
    <tableColumn id="15058" xr3:uid="{9E046301-9C58-4E20-9ADC-7D3268C0955A}" name="Column15055"/>
    <tableColumn id="15059" xr3:uid="{2E23ED64-375E-4152-A3AC-DC18496199A0}" name="Column15056"/>
    <tableColumn id="15060" xr3:uid="{6D8705BD-B64F-4563-8FCD-18943D9DB80D}" name="Column15057"/>
    <tableColumn id="15061" xr3:uid="{E52CF7C9-A3DD-4473-8302-A4FF6C96D4E0}" name="Column15058"/>
    <tableColumn id="15062" xr3:uid="{03C10C9E-37CA-45F3-B16D-D04FB92A7FD2}" name="Column15059"/>
    <tableColumn id="15063" xr3:uid="{DF7AD314-6F78-4A50-82BB-5BFF41FC78B5}" name="Column15060"/>
    <tableColumn id="15064" xr3:uid="{F46B635E-9E86-4369-AE6A-E5DA49E5D211}" name="Column15061"/>
    <tableColumn id="15065" xr3:uid="{1E2B30C4-E59C-4DFF-83B3-97152BB870F7}" name="Column15062"/>
    <tableColumn id="15066" xr3:uid="{F6B37BA3-2F36-49A9-97F1-89E346DD92AB}" name="Column15063"/>
    <tableColumn id="15067" xr3:uid="{F9EE27FF-0AE0-48CF-A9FA-2BF1193206E7}" name="Column15064"/>
    <tableColumn id="15068" xr3:uid="{8C9156A4-6948-4FBE-90DC-D2A3820458BB}" name="Column15065"/>
    <tableColumn id="15069" xr3:uid="{0C761CA4-C5D7-4A28-B6BD-997217D257F3}" name="Column15066"/>
    <tableColumn id="15070" xr3:uid="{9BA45638-B382-4515-84CF-B865E9648A72}" name="Column15067"/>
    <tableColumn id="15071" xr3:uid="{73AABFB2-4B8F-409A-8E54-A51E30346268}" name="Column15068"/>
    <tableColumn id="15072" xr3:uid="{F6F59A2C-5125-4ABC-B9FE-EE3520E64BFA}" name="Column15069"/>
    <tableColumn id="15073" xr3:uid="{D69CD714-7204-4AAA-A85F-145467EBF15D}" name="Column15070"/>
    <tableColumn id="15074" xr3:uid="{B7E9FBE5-B929-467B-8867-FEFF1A997BD2}" name="Column15071"/>
    <tableColumn id="15075" xr3:uid="{0507BA56-FA06-45F3-A980-FB2762519703}" name="Column15072"/>
    <tableColumn id="15076" xr3:uid="{BEDD7EB9-1BD2-4141-B48D-669797F9D044}" name="Column15073"/>
    <tableColumn id="15077" xr3:uid="{B51D4BE5-AFC8-4203-8960-889DA46B51D1}" name="Column15074"/>
    <tableColumn id="15078" xr3:uid="{DD7C2E9F-206C-4208-91F4-07320A4B27B8}" name="Column15075"/>
    <tableColumn id="15079" xr3:uid="{18C3DEA1-A59D-4B7A-9B5F-DEFB6A39F2E5}" name="Column15076"/>
    <tableColumn id="15080" xr3:uid="{0D65B244-9099-45BB-99C4-FB0CAB13B5AC}" name="Column15077"/>
    <tableColumn id="15081" xr3:uid="{1E8B9466-784F-41C3-81FD-0246AFEFF48F}" name="Column15078"/>
    <tableColumn id="15082" xr3:uid="{7D4B1CE5-EFFB-4B0F-A999-ABB91B372DD6}" name="Column15079"/>
    <tableColumn id="15083" xr3:uid="{9101BB6F-602A-40E4-99D7-D8AF13855BBE}" name="Column15080"/>
    <tableColumn id="15084" xr3:uid="{DB270C08-FE22-4AA7-9538-823177118771}" name="Column15081"/>
    <tableColumn id="15085" xr3:uid="{06F451D8-D53D-4796-AC7E-9C68BEFAABB2}" name="Column15082"/>
    <tableColumn id="15086" xr3:uid="{A895B8F8-5282-42D4-A92D-DC150D432B89}" name="Column15083"/>
    <tableColumn id="15087" xr3:uid="{4CB2FE63-4C1E-46E3-8221-53B648114FD5}" name="Column15084"/>
    <tableColumn id="15088" xr3:uid="{B0D5EDBB-698B-4DA1-94E6-D041E573BD23}" name="Column15085"/>
    <tableColumn id="15089" xr3:uid="{E5050369-600D-4402-B232-A0C4FD54C81F}" name="Column15086"/>
    <tableColumn id="15090" xr3:uid="{A14637F7-2092-4D66-A299-60FE90E3711C}" name="Column15087"/>
    <tableColumn id="15091" xr3:uid="{678BE096-125D-443D-B20F-688E5626972E}" name="Column15088"/>
    <tableColumn id="15092" xr3:uid="{651C88C0-2B4E-4293-83F9-B2774A7AE0D9}" name="Column15089"/>
    <tableColumn id="15093" xr3:uid="{8142AE4A-FF37-47C1-805E-13E939E3B7D7}" name="Column15090"/>
    <tableColumn id="15094" xr3:uid="{36CADE75-C081-4F5A-962A-A6B5DC2A796F}" name="Column15091"/>
    <tableColumn id="15095" xr3:uid="{56D73A1A-576B-4C22-9DB1-F2F9A9D21B21}" name="Column15092"/>
    <tableColumn id="15096" xr3:uid="{FDF75FF3-EDC2-4E0C-BB2A-C4FE785AEDFC}" name="Column15093"/>
    <tableColumn id="15097" xr3:uid="{B0DA3F16-742B-4CE3-8634-DD817DDF2488}" name="Column15094"/>
    <tableColumn id="15098" xr3:uid="{58C0E07B-2A89-48BE-997F-914F869B0920}" name="Column15095"/>
    <tableColumn id="15099" xr3:uid="{80A6E83E-929B-42AF-8019-45C1CFB81212}" name="Column15096"/>
    <tableColumn id="15100" xr3:uid="{2AE2204E-B9E6-41FC-82AD-9F38C719DCC0}" name="Column15097"/>
    <tableColumn id="15101" xr3:uid="{EA63F0B1-C0C0-442F-B79E-BE42CD2C2814}" name="Column15098"/>
    <tableColumn id="15102" xr3:uid="{C81D005F-6423-46FC-99AF-589C1EBF7F11}" name="Column15099"/>
    <tableColumn id="15103" xr3:uid="{2CEBAB85-6894-4103-8C10-71EB9EAEBA29}" name="Column15100"/>
    <tableColumn id="15104" xr3:uid="{DDCC8166-9E3F-4EE7-B6C5-9B9889D1629B}" name="Column15101"/>
    <tableColumn id="15105" xr3:uid="{1D9C1D4A-AFCC-4515-86E0-A56EACB6D9E6}" name="Column15102"/>
    <tableColumn id="15106" xr3:uid="{2D1A7FDA-FD19-491B-BE08-736D9570322F}" name="Column15103"/>
    <tableColumn id="15107" xr3:uid="{E729D367-86FA-4DF1-A8E0-8120A0D642F6}" name="Column15104"/>
    <tableColumn id="15108" xr3:uid="{13BA1308-DA52-47E0-AD0B-C6B680CBF91B}" name="Column15105"/>
    <tableColumn id="15109" xr3:uid="{290F0169-9D0A-4BEC-88EF-8886B0032751}" name="Column15106"/>
    <tableColumn id="15110" xr3:uid="{2725D696-79C3-4070-BDAE-30A6DAC70390}" name="Column15107"/>
    <tableColumn id="15111" xr3:uid="{F6F3CDD1-A28B-4F2E-9C48-0CD16BC61CC0}" name="Column15108"/>
    <tableColumn id="15112" xr3:uid="{B742281E-FBA6-4DA5-8F97-2A3F5F9ED130}" name="Column15109"/>
    <tableColumn id="15113" xr3:uid="{C6056DE3-5718-4234-BDEA-860FBCE02341}" name="Column15110"/>
    <tableColumn id="15114" xr3:uid="{A5B389BF-18AB-4249-8360-6781CA17D6A3}" name="Column15111"/>
    <tableColumn id="15115" xr3:uid="{F35D61AA-31AC-40CF-9165-7E0C860FADF5}" name="Column15112"/>
    <tableColumn id="15116" xr3:uid="{6183BA66-8B5C-46AC-851F-76BAA7EBE3C3}" name="Column15113"/>
    <tableColumn id="15117" xr3:uid="{21260C56-7F80-42A7-A28C-63F42A09A543}" name="Column15114"/>
    <tableColumn id="15118" xr3:uid="{0CE49442-981E-44B0-8AAC-AD91DE1EF195}" name="Column15115"/>
    <tableColumn id="15119" xr3:uid="{FEDFC93A-B897-4725-B5C7-46162C6CA26E}" name="Column15116"/>
    <tableColumn id="15120" xr3:uid="{7DA516B4-C590-43EB-B012-61418770C6D3}" name="Column15117"/>
    <tableColumn id="15121" xr3:uid="{4A6275F1-5951-4D7F-A7FA-EDE8FD98E406}" name="Column15118"/>
    <tableColumn id="15122" xr3:uid="{3DDD7BDC-A9CA-4EFA-A05B-DC0B8CD643DB}" name="Column15119"/>
    <tableColumn id="15123" xr3:uid="{7603591F-E642-476A-96D3-E88434492DA5}" name="Column15120"/>
    <tableColumn id="15124" xr3:uid="{46FF8C16-D7D5-49B2-9571-2EDBBD18BE4A}" name="Column15121"/>
    <tableColumn id="15125" xr3:uid="{A010A2A1-561E-4C8C-B447-5B54F597CA4E}" name="Column15122"/>
    <tableColumn id="15126" xr3:uid="{040A1587-4B7F-4723-8002-E52A6487BDCE}" name="Column15123"/>
    <tableColumn id="15127" xr3:uid="{0A21CA80-539D-4F0F-8EAF-904BDF056F82}" name="Column15124"/>
    <tableColumn id="15128" xr3:uid="{EFDFCCA3-7143-4875-9068-19A74FE3AC60}" name="Column15125"/>
    <tableColumn id="15129" xr3:uid="{10F44F6D-9F83-4693-B948-E58492BD8C41}" name="Column15126"/>
    <tableColumn id="15130" xr3:uid="{5379BA8E-D743-4774-8039-3D252DEF1801}" name="Column15127"/>
    <tableColumn id="15131" xr3:uid="{B067074F-D3CB-4097-A5FA-92AF0E67511E}" name="Column15128"/>
    <tableColumn id="15132" xr3:uid="{002C6C4E-69ED-456A-8443-93C74FB7B296}" name="Column15129"/>
    <tableColumn id="15133" xr3:uid="{38C9EBD5-FA56-4612-922C-49F8EFB0A15C}" name="Column15130"/>
    <tableColumn id="15134" xr3:uid="{1D3BEE2D-7AE4-4907-A571-31EA24A80FCE}" name="Column15131"/>
    <tableColumn id="15135" xr3:uid="{742DEB80-94A7-4781-8C04-67B62CC1E04D}" name="Column15132"/>
    <tableColumn id="15136" xr3:uid="{14B521C4-F9FE-4ACF-831E-DA960B881C16}" name="Column15133"/>
    <tableColumn id="15137" xr3:uid="{CFADF181-C276-4435-B8EF-D16D3ABF4B3A}" name="Column15134"/>
    <tableColumn id="15138" xr3:uid="{372387E5-2210-47C7-A240-D412139D051F}" name="Column15135"/>
    <tableColumn id="15139" xr3:uid="{E941E35A-BB16-4C15-992D-EBBA17575F07}" name="Column15136"/>
    <tableColumn id="15140" xr3:uid="{CE0B0C12-54D9-47A1-BE9C-E861DE501973}" name="Column15137"/>
    <tableColumn id="15141" xr3:uid="{12A751D6-B37A-40A6-8939-4FD0B19186D2}" name="Column15138"/>
    <tableColumn id="15142" xr3:uid="{CDA41990-DD4E-4512-9451-9471909D7658}" name="Column15139"/>
    <tableColumn id="15143" xr3:uid="{7821D90E-D434-457B-A32B-08EAA0469F56}" name="Column15140"/>
    <tableColumn id="15144" xr3:uid="{28B258A4-F8CB-49EA-B27F-FF650BB6A1A3}" name="Column15141"/>
    <tableColumn id="15145" xr3:uid="{DA07F3EA-3796-46B3-9E33-6F35D671501C}" name="Column15142"/>
    <tableColumn id="15146" xr3:uid="{4DA1F14F-5542-49C5-9EE8-610B4B06B95E}" name="Column15143"/>
    <tableColumn id="15147" xr3:uid="{8B2A22B6-0739-4B5E-B0A4-C392C1EC600E}" name="Column15144"/>
    <tableColumn id="15148" xr3:uid="{7D27EB71-286F-4385-8CE7-AF53B6FF84B9}" name="Column15145"/>
    <tableColumn id="15149" xr3:uid="{7A81A464-ECDF-40F0-AC03-10BF9F07C95C}" name="Column15146"/>
    <tableColumn id="15150" xr3:uid="{5B6469C1-56C9-4807-89B7-D1D26510997C}" name="Column15147"/>
    <tableColumn id="15151" xr3:uid="{FC6D0233-FDC8-44A5-8C44-E9A111EEA06F}" name="Column15148"/>
    <tableColumn id="15152" xr3:uid="{E7AF08CD-9DB8-49AC-AA0B-E343D76265C1}" name="Column15149"/>
    <tableColumn id="15153" xr3:uid="{1A366658-D704-44DE-ADF9-B131C7F96325}" name="Column15150"/>
    <tableColumn id="15154" xr3:uid="{0CEA1091-B097-40E9-92CB-67C0C81DA48C}" name="Column15151"/>
    <tableColumn id="15155" xr3:uid="{955027AE-B8A8-4F0D-9BDB-6BA3BC661EC0}" name="Column15152"/>
    <tableColumn id="15156" xr3:uid="{9DECD19F-A501-4761-BC87-F37C9D1E80CE}" name="Column15153"/>
    <tableColumn id="15157" xr3:uid="{7ED13391-41D1-4DB2-8780-40B80306C8BE}" name="Column15154"/>
    <tableColumn id="15158" xr3:uid="{BE181755-E780-4B5A-982B-7D6E916C7E50}" name="Column15155"/>
    <tableColumn id="15159" xr3:uid="{D8C131EA-4706-47C2-ADE0-41DAACD0A012}" name="Column15156"/>
    <tableColumn id="15160" xr3:uid="{447A637A-F277-4AAC-B9C2-14D3169FB51E}" name="Column15157"/>
    <tableColumn id="15161" xr3:uid="{944F90B6-DDC6-4259-BD6C-349A458056CE}" name="Column15158"/>
    <tableColumn id="15162" xr3:uid="{5435A223-616C-4CA0-A4CB-8B96DF34758B}" name="Column15159"/>
    <tableColumn id="15163" xr3:uid="{0FDD8753-728C-465E-A114-847E2A6F5E95}" name="Column15160"/>
    <tableColumn id="15164" xr3:uid="{F148B2E7-117B-4F79-8F96-F84441BEBBCC}" name="Column15161"/>
    <tableColumn id="15165" xr3:uid="{CA58D2AD-3460-4EE4-811D-62299C3D9ED5}" name="Column15162"/>
    <tableColumn id="15166" xr3:uid="{8F5CA575-4F85-40DA-871B-DB21B032D40F}" name="Column15163"/>
    <tableColumn id="15167" xr3:uid="{3C6DE445-2B48-44C5-8EED-FAF1711CD152}" name="Column15164"/>
    <tableColumn id="15168" xr3:uid="{6AA94D2A-1C47-45F0-933C-7AC1394862D8}" name="Column15165"/>
    <tableColumn id="15169" xr3:uid="{A4926505-AA42-439A-A622-83EE9E421F08}" name="Column15166"/>
    <tableColumn id="15170" xr3:uid="{33D2ABC9-9407-412A-9CC6-2AFAEAC816DA}" name="Column15167"/>
    <tableColumn id="15171" xr3:uid="{EE8C6827-042A-421E-9D1C-FBD6680D7BC4}" name="Column15168"/>
    <tableColumn id="15172" xr3:uid="{569DBBAA-CB26-4F45-A0ED-267ACE3698A9}" name="Column15169"/>
    <tableColumn id="15173" xr3:uid="{090EE8AE-9F11-46E0-8CAF-5D34037EA04A}" name="Column15170"/>
    <tableColumn id="15174" xr3:uid="{D094F955-101A-4137-9E4F-A593E94CAD6A}" name="Column15171"/>
    <tableColumn id="15175" xr3:uid="{F9AD09F9-3142-431D-BE4B-0DE3C92E1C46}" name="Column15172"/>
    <tableColumn id="15176" xr3:uid="{15AB1BCC-1A22-4DB5-9256-2FE2C2BAA4CE}" name="Column15173"/>
    <tableColumn id="15177" xr3:uid="{0FA51FB2-8322-41E4-84EE-567A7115B32D}" name="Column15174"/>
    <tableColumn id="15178" xr3:uid="{81FBC2EC-241D-4164-92AC-1A60E0E7060B}" name="Column15175"/>
    <tableColumn id="15179" xr3:uid="{858BB385-47C6-4334-AFD0-451993B426F2}" name="Column15176"/>
    <tableColumn id="15180" xr3:uid="{D8FC1195-2179-4527-9532-1A47A692915A}" name="Column15177"/>
    <tableColumn id="15181" xr3:uid="{8573DD34-6547-463C-91CA-1340C66D24CE}" name="Column15178"/>
    <tableColumn id="15182" xr3:uid="{0367D120-2DBA-4D1D-8F67-DE66053E4A28}" name="Column15179"/>
    <tableColumn id="15183" xr3:uid="{7BFC0DA8-D24A-4505-989B-A64C523EF644}" name="Column15180"/>
    <tableColumn id="15184" xr3:uid="{8FCF798E-6B6D-4FBB-93D8-D2E1C2E2BA82}" name="Column15181"/>
    <tableColumn id="15185" xr3:uid="{1610F07A-72CD-4787-BA98-9873DF58F102}" name="Column15182"/>
    <tableColumn id="15186" xr3:uid="{2B404250-AA45-4794-94CF-223DB3478C54}" name="Column15183"/>
    <tableColumn id="15187" xr3:uid="{0B1D0101-3FB3-4AC9-9AD8-215B3BC6BA3D}" name="Column15184"/>
    <tableColumn id="15188" xr3:uid="{7C852D57-2292-4950-896B-0257EE6A6585}" name="Column15185"/>
    <tableColumn id="15189" xr3:uid="{0CF083DA-DCE0-4C6C-B084-13791AA9FF84}" name="Column15186"/>
    <tableColumn id="15190" xr3:uid="{166C3CFC-04C0-4CFB-B364-B6A00065600F}" name="Column15187"/>
    <tableColumn id="15191" xr3:uid="{42F2041F-DBDC-434E-9426-77D244A30F3A}" name="Column15188"/>
    <tableColumn id="15192" xr3:uid="{B33B0698-8D84-413B-9EEB-3BBF539A44C1}" name="Column15189"/>
    <tableColumn id="15193" xr3:uid="{E04798D1-3733-4B74-B04B-0D8093E5777C}" name="Column15190"/>
    <tableColumn id="15194" xr3:uid="{EA532882-8AFD-448F-BB37-3170FA9EAE76}" name="Column15191"/>
    <tableColumn id="15195" xr3:uid="{46E6D734-41BA-498F-B7E7-5698C59BCD6B}" name="Column15192"/>
    <tableColumn id="15196" xr3:uid="{770C91F6-0906-4EDF-A4F1-4AAE2A63977D}" name="Column15193"/>
    <tableColumn id="15197" xr3:uid="{1D20DBE2-4FF0-49A9-94E5-6751B5253884}" name="Column15194"/>
    <tableColumn id="15198" xr3:uid="{E03B3714-1BE6-410C-B95A-8D57C47FC1A5}" name="Column15195"/>
    <tableColumn id="15199" xr3:uid="{9AF5A137-5371-486D-AB16-1ED822205277}" name="Column15196"/>
    <tableColumn id="15200" xr3:uid="{D1B8C804-0C25-4116-8D4F-E1754F31EC72}" name="Column15197"/>
    <tableColumn id="15201" xr3:uid="{4C3FDB6C-C9D2-41E6-B839-61E091CAAFE2}" name="Column15198"/>
    <tableColumn id="15202" xr3:uid="{0E0D63DB-07FF-49F8-A425-F888A8C9C74B}" name="Column15199"/>
    <tableColumn id="15203" xr3:uid="{5FF56548-9354-40EB-999B-C9084A295162}" name="Column15200"/>
    <tableColumn id="15204" xr3:uid="{918FD85F-21CA-4B52-8914-7EF4697C6C38}" name="Column15201"/>
    <tableColumn id="15205" xr3:uid="{D315A042-AAEC-446A-83E3-05A66C842BC8}" name="Column15202"/>
    <tableColumn id="15206" xr3:uid="{BE70EC62-16B4-46AF-835F-FF9154B37EA6}" name="Column15203"/>
    <tableColumn id="15207" xr3:uid="{F944C0E5-9DAD-44D3-BF1B-A72E65A2E34C}" name="Column15204"/>
    <tableColumn id="15208" xr3:uid="{2B109E4B-3AC7-47DC-903C-BE5CB2A734BA}" name="Column15205"/>
    <tableColumn id="15209" xr3:uid="{E850876A-9F3E-44ED-9554-94F4030F252A}" name="Column15206"/>
    <tableColumn id="15210" xr3:uid="{3102EAD8-A9BA-4305-A50C-C1505B6FDD08}" name="Column15207"/>
    <tableColumn id="15211" xr3:uid="{13550A5C-6433-4561-934E-A9A5B9D6E31A}" name="Column15208"/>
    <tableColumn id="15212" xr3:uid="{BB383A07-A6BB-49AD-BEB8-DA32497CA025}" name="Column15209"/>
    <tableColumn id="15213" xr3:uid="{C42872BF-3A6B-4628-89CA-1644669EEED5}" name="Column15210"/>
    <tableColumn id="15214" xr3:uid="{EBB9724D-53AB-4449-9ED3-0A6CD4E580B8}" name="Column15211"/>
    <tableColumn id="15215" xr3:uid="{4F941956-F49B-4783-9D7E-D64E03DA5617}" name="Column15212"/>
    <tableColumn id="15216" xr3:uid="{60775F35-9FCF-4CD0-B9DA-09B784B47D30}" name="Column15213"/>
    <tableColumn id="15217" xr3:uid="{C688EC15-54F2-4976-9CEB-EAF36F89DDEE}" name="Column15214"/>
    <tableColumn id="15218" xr3:uid="{20C8127E-D285-4FE0-862E-B1B46D50E6CA}" name="Column15215"/>
    <tableColumn id="15219" xr3:uid="{E06F9FD8-2486-410D-9A65-918ECD36F863}" name="Column15216"/>
    <tableColumn id="15220" xr3:uid="{5DA6DA8E-96C2-442C-ACC9-B565E9BC85F3}" name="Column15217"/>
    <tableColumn id="15221" xr3:uid="{8F62DA9F-C628-4BCD-808E-BE8C8448BB1C}" name="Column15218"/>
    <tableColumn id="15222" xr3:uid="{3A6497F8-44EB-4501-B00F-73440681B5FC}" name="Column15219"/>
    <tableColumn id="15223" xr3:uid="{3D34CF50-B7EA-429A-9722-990B41BD91BA}" name="Column15220"/>
    <tableColumn id="15224" xr3:uid="{77A049BA-F769-4FE3-BB80-AEF697CD75FD}" name="Column15221"/>
    <tableColumn id="15225" xr3:uid="{902A7BA4-0D44-4520-A4BF-6E14E657CE9F}" name="Column15222"/>
    <tableColumn id="15226" xr3:uid="{1CF5F5EB-3F13-488B-8885-33A2EE74D734}" name="Column15223"/>
    <tableColumn id="15227" xr3:uid="{0827A863-D81A-44AF-B072-82CE544E0D16}" name="Column15224"/>
    <tableColumn id="15228" xr3:uid="{9453B8A3-ACD6-48A5-95D7-D1C5CC6AF08E}" name="Column15225"/>
    <tableColumn id="15229" xr3:uid="{FB7A3865-589C-4C10-AE2D-99770BA1C583}" name="Column15226"/>
    <tableColumn id="15230" xr3:uid="{8AD5A816-B98B-4A90-968C-97749D478797}" name="Column15227"/>
    <tableColumn id="15231" xr3:uid="{CA616B59-D45B-45C8-B83F-42035315D236}" name="Column15228"/>
    <tableColumn id="15232" xr3:uid="{46F3910C-3D74-4FF6-9425-3C77FED67FA4}" name="Column15229"/>
    <tableColumn id="15233" xr3:uid="{14ABF382-86D0-4077-BCE0-88390123BCEF}" name="Column15230"/>
    <tableColumn id="15234" xr3:uid="{BA784DC3-3C8D-4151-9EA3-7E6A55AA3239}" name="Column15231"/>
    <tableColumn id="15235" xr3:uid="{CA965226-2047-4347-BC43-5606CC037C7B}" name="Column15232"/>
    <tableColumn id="15236" xr3:uid="{750482FE-17C6-4F93-AA3F-D0C712B6FCBB}" name="Column15233"/>
    <tableColumn id="15237" xr3:uid="{26E6EC93-1D34-457F-A761-88B3000F62D6}" name="Column15234"/>
    <tableColumn id="15238" xr3:uid="{2B65139A-A6A8-4DEE-B475-6A229148831E}" name="Column15235"/>
    <tableColumn id="15239" xr3:uid="{F123C0C2-0DD5-45B7-B556-626976409AE9}" name="Column15236"/>
    <tableColumn id="15240" xr3:uid="{2E3C1F95-588C-4090-ACBC-3700E2F78DBF}" name="Column15237"/>
    <tableColumn id="15241" xr3:uid="{DD3D17A8-B9AC-4654-B59E-390DDEC31FB8}" name="Column15238"/>
    <tableColumn id="15242" xr3:uid="{35B39F4E-A51F-4B78-96C0-F260460E1916}" name="Column15239"/>
    <tableColumn id="15243" xr3:uid="{8E6E5A5C-FA0C-4CE6-A03B-DEAC7BC3B744}" name="Column15240"/>
    <tableColumn id="15244" xr3:uid="{E2FFE59F-5B5A-4FA0-9A18-64E420711554}" name="Column15241"/>
    <tableColumn id="15245" xr3:uid="{1AF229D8-206F-419E-BFBF-ED925887732B}" name="Column15242"/>
    <tableColumn id="15246" xr3:uid="{E09EC7E6-5611-41A9-BC23-21E29F151E50}" name="Column15243"/>
    <tableColumn id="15247" xr3:uid="{712361DE-988E-4BFE-BE59-5A21E8B911F2}" name="Column15244"/>
    <tableColumn id="15248" xr3:uid="{EB89D643-0755-4BCD-99EF-F8F0C1F86CBE}" name="Column15245"/>
    <tableColumn id="15249" xr3:uid="{12BCB58E-913C-461C-A072-E7012A408067}" name="Column15246"/>
    <tableColumn id="15250" xr3:uid="{C3919EFA-7EF0-4E16-97D3-56802767D9B2}" name="Column15247"/>
    <tableColumn id="15251" xr3:uid="{7885E679-62E4-445D-BCA8-47163B9787DD}" name="Column15248"/>
    <tableColumn id="15252" xr3:uid="{4E977F5E-AD0A-409E-AFD9-FBF41A008415}" name="Column15249"/>
    <tableColumn id="15253" xr3:uid="{21E90918-1900-459B-BCEF-40962C73D8BD}" name="Column15250"/>
    <tableColumn id="15254" xr3:uid="{B6527305-814C-4846-89EB-F20DB21FB243}" name="Column15251"/>
    <tableColumn id="15255" xr3:uid="{995B3AA5-1BA6-464D-B772-105CCD47C1E9}" name="Column15252"/>
    <tableColumn id="15256" xr3:uid="{C302BCC4-9451-4BDE-A502-D2F268EBF48E}" name="Column15253"/>
    <tableColumn id="15257" xr3:uid="{CEDF9B82-0AC9-4747-9CB5-56C2A6B757F4}" name="Column15254"/>
    <tableColumn id="15258" xr3:uid="{E52C99AB-47A4-4A0D-83DA-26CC18D5C7DC}" name="Column15255"/>
    <tableColumn id="15259" xr3:uid="{2CE281F4-8D79-4503-9BE0-0EDDDADD498E}" name="Column15256"/>
    <tableColumn id="15260" xr3:uid="{FC530B4B-2CF2-4B15-9993-9F3B7C618A71}" name="Column15257"/>
    <tableColumn id="15261" xr3:uid="{986F49FE-75B9-4734-9B4B-118885962EEC}" name="Column15258"/>
    <tableColumn id="15262" xr3:uid="{8EE10478-50FD-44C9-9320-9CE7B5683E32}" name="Column15259"/>
    <tableColumn id="15263" xr3:uid="{3F0B278D-1085-43BE-9D14-B7C212B6D5A9}" name="Column15260"/>
    <tableColumn id="15264" xr3:uid="{A2E9D1BD-0A6D-461C-A07D-41A2975BF646}" name="Column15261"/>
    <tableColumn id="15265" xr3:uid="{8038C86C-B117-45F8-B679-2C0A6EF0A6BE}" name="Column15262"/>
    <tableColumn id="15266" xr3:uid="{77FBCBA3-4735-4736-A6A0-542A9FCDE131}" name="Column15263"/>
    <tableColumn id="15267" xr3:uid="{64C52B1D-2F50-4EB6-BA2B-3ED35049422D}" name="Column15264"/>
    <tableColumn id="15268" xr3:uid="{383A0AF2-BE55-47FF-B568-BFB74B474A75}" name="Column15265"/>
    <tableColumn id="15269" xr3:uid="{A4168C5C-3FAA-40C2-B161-332337EE500D}" name="Column15266"/>
    <tableColumn id="15270" xr3:uid="{360A6E48-B9E4-47CA-B9F3-68C1F313B3B3}" name="Column15267"/>
    <tableColumn id="15271" xr3:uid="{047FB1BF-A2ED-462F-83F5-94F92B493D5D}" name="Column15268"/>
    <tableColumn id="15272" xr3:uid="{0981DC18-EEAD-4F87-ADE2-0327E4A435A0}" name="Column15269"/>
    <tableColumn id="15273" xr3:uid="{35088963-97A9-4A2C-9228-2AC2F7A51637}" name="Column15270"/>
    <tableColumn id="15274" xr3:uid="{D60D5A51-E70D-4452-B81C-5D3D97F17EE9}" name="Column15271"/>
    <tableColumn id="15275" xr3:uid="{F2DB8FD0-5F67-45D3-8865-27E524D6E150}" name="Column15272"/>
    <tableColumn id="15276" xr3:uid="{B7FBE1CE-08ED-4929-BD98-12ED6D123809}" name="Column15273"/>
    <tableColumn id="15277" xr3:uid="{019FBCC7-9BCB-4A1B-99AB-477E3AE0591B}" name="Column15274"/>
    <tableColumn id="15278" xr3:uid="{D9823449-E583-48DD-AF1A-C21A882CAB38}" name="Column15275"/>
    <tableColumn id="15279" xr3:uid="{6870261E-0A0A-4C60-AA89-23EEC3B12925}" name="Column15276"/>
    <tableColumn id="15280" xr3:uid="{B5148364-060F-490F-B810-E7004137F1E5}" name="Column15277"/>
    <tableColumn id="15281" xr3:uid="{8F101ACB-02AF-4D78-84EC-581CEA192BD0}" name="Column15278"/>
    <tableColumn id="15282" xr3:uid="{D6AFE35B-A7D4-45C1-8BB1-DD8610454F1A}" name="Column15279"/>
    <tableColumn id="15283" xr3:uid="{32BD4725-C9F2-4668-BA2C-BFBBE8B29015}" name="Column15280"/>
    <tableColumn id="15284" xr3:uid="{97D77C57-796F-4FE0-9659-28DBFEC32939}" name="Column15281"/>
    <tableColumn id="15285" xr3:uid="{F720B780-AC56-491E-A5C7-E34A51EBEB96}" name="Column15282"/>
    <tableColumn id="15286" xr3:uid="{9C7535FE-2813-459E-AF09-033AAB2905B0}" name="Column15283"/>
    <tableColumn id="15287" xr3:uid="{7F56AEE3-6C06-4013-BC04-B0F34E292E32}" name="Column15284"/>
    <tableColumn id="15288" xr3:uid="{BDBAD34C-A175-4F23-97DF-5041D9A9983F}" name="Column15285"/>
    <tableColumn id="15289" xr3:uid="{34801C3C-9FC9-46FC-90AB-B54E41E5063F}" name="Column15286"/>
    <tableColumn id="15290" xr3:uid="{8AFCED8C-AEB4-4662-8FE3-21E2A853C2EF}" name="Column15287"/>
    <tableColumn id="15291" xr3:uid="{25FF352A-F38A-49E5-BD6E-9CF95E339592}" name="Column15288"/>
    <tableColumn id="15292" xr3:uid="{1438A51F-8CF7-4E8F-9E48-507DE836458E}" name="Column15289"/>
    <tableColumn id="15293" xr3:uid="{453B202D-51F8-4E69-B6C6-798D1A607156}" name="Column15290"/>
    <tableColumn id="15294" xr3:uid="{E14F0B7E-44C4-4C9C-A4BE-27D0F47C548A}" name="Column15291"/>
    <tableColumn id="15295" xr3:uid="{C29F0E86-A501-4C60-880E-B8520A211242}" name="Column15292"/>
    <tableColumn id="15296" xr3:uid="{2CA00825-8E54-4ACA-89D6-886FFF58372B}" name="Column15293"/>
    <tableColumn id="15297" xr3:uid="{BBDA09E5-832B-4D9B-B6C3-9D33FACA3612}" name="Column15294"/>
    <tableColumn id="15298" xr3:uid="{7943B929-4B8F-4ACA-866D-45AFB0D2B412}" name="Column15295"/>
    <tableColumn id="15299" xr3:uid="{B5E95015-8EF2-44CF-9112-5E5A00CD6E07}" name="Column15296"/>
    <tableColumn id="15300" xr3:uid="{8E0C36EC-196C-4CEF-B0CA-08878F9D352F}" name="Column15297"/>
    <tableColumn id="15301" xr3:uid="{C4C7343C-B3E7-4E11-951C-1E0B5EE1DE0A}" name="Column15298"/>
    <tableColumn id="15302" xr3:uid="{72296C0E-B2B7-45B4-B32D-AD62A336FE43}" name="Column15299"/>
    <tableColumn id="15303" xr3:uid="{A116ECDF-6D64-4925-A33F-B6D432D55970}" name="Column15300"/>
    <tableColumn id="15304" xr3:uid="{21939046-0CEC-42C7-B19B-6AD4B7ABD94D}" name="Column15301"/>
    <tableColumn id="15305" xr3:uid="{1D6AD49E-C243-4297-A9D3-4E0B1C0D69C5}" name="Column15302"/>
    <tableColumn id="15306" xr3:uid="{C0600077-9726-41DF-A343-8FE9367F1BE4}" name="Column15303"/>
    <tableColumn id="15307" xr3:uid="{DA94E7DA-DAD3-4A6A-B122-1F5FDADBCF35}" name="Column15304"/>
    <tableColumn id="15308" xr3:uid="{C2FD07EA-5303-49FE-9764-A23447B95253}" name="Column15305"/>
    <tableColumn id="15309" xr3:uid="{6EB67F54-1DF5-4EA5-ABAD-09144930A96A}" name="Column15306"/>
    <tableColumn id="15310" xr3:uid="{BFD336DC-91F2-452F-B919-496DE39B02A4}" name="Column15307"/>
    <tableColumn id="15311" xr3:uid="{486A8584-96B1-4294-95C2-14F479E53BC0}" name="Column15308"/>
    <tableColumn id="15312" xr3:uid="{1498A5B1-FC81-47AA-B336-BC20E2E925FF}" name="Column15309"/>
    <tableColumn id="15313" xr3:uid="{D51D042A-6343-4B13-A0B7-E296808E72FA}" name="Column15310"/>
    <tableColumn id="15314" xr3:uid="{785D898E-BFB8-4CE9-9A14-DBB5C2C7D6D3}" name="Column15311"/>
    <tableColumn id="15315" xr3:uid="{F6834E0E-63EB-4635-9E5F-D61C4B4C5BB7}" name="Column15312"/>
    <tableColumn id="15316" xr3:uid="{479262DF-10EB-474E-BC54-BF27C169521A}" name="Column15313"/>
    <tableColumn id="15317" xr3:uid="{74F7DCE8-F70A-4281-8F16-99130E8DEABE}" name="Column15314"/>
    <tableColumn id="15318" xr3:uid="{99C2BB42-C72C-4A8C-A49B-A9D1E0AF6B4C}" name="Column15315"/>
    <tableColumn id="15319" xr3:uid="{DD44FE7C-882C-445F-A672-B55E36988AC1}" name="Column15316"/>
    <tableColumn id="15320" xr3:uid="{6BFC290D-70DA-480C-98B1-29E2AC3B2B1D}" name="Column15317"/>
    <tableColumn id="15321" xr3:uid="{EF032136-8922-4EC1-9A6C-73E67D482894}" name="Column15318"/>
    <tableColumn id="15322" xr3:uid="{E27B6B1F-E0C4-41DE-83A2-13696581DC41}" name="Column15319"/>
    <tableColumn id="15323" xr3:uid="{7E30C7D3-C8A8-4461-8754-871AD1D00798}" name="Column15320"/>
    <tableColumn id="15324" xr3:uid="{C50C7EA9-3359-4F77-8422-B0BA2C026DCD}" name="Column15321"/>
    <tableColumn id="15325" xr3:uid="{F9EBA11E-152E-4DDE-A811-838E3F6A9F36}" name="Column15322"/>
    <tableColumn id="15326" xr3:uid="{F718F795-9227-4278-B813-B5D481FE6B86}" name="Column15323"/>
    <tableColumn id="15327" xr3:uid="{00E7F959-0E78-4B35-A819-2EB94FCA45D6}" name="Column15324"/>
    <tableColumn id="15328" xr3:uid="{15477923-DF2A-4722-B189-833C84A10E1B}" name="Column15325"/>
    <tableColumn id="15329" xr3:uid="{AA9B4638-DFC7-49A9-949F-5B3778E7797F}" name="Column15326"/>
    <tableColumn id="15330" xr3:uid="{B056F274-E708-433B-84B9-A7FA33D7C860}" name="Column15327"/>
    <tableColumn id="15331" xr3:uid="{E76D05E2-536F-47C9-BE9B-C66903838813}" name="Column15328"/>
    <tableColumn id="15332" xr3:uid="{B79DF4E7-2185-4B31-8A49-6493E189B2F7}" name="Column15329"/>
    <tableColumn id="15333" xr3:uid="{8B7ECE7C-1479-49B4-8E85-E5C814CBDB32}" name="Column15330"/>
    <tableColumn id="15334" xr3:uid="{E8315E01-B774-408F-A19C-FA2CCEB97FC6}" name="Column15331"/>
    <tableColumn id="15335" xr3:uid="{7E9ADB59-DE90-4E62-9184-C860C95B5209}" name="Column15332"/>
    <tableColumn id="15336" xr3:uid="{99F98D2E-09DD-4DCC-B8D6-AA1FB2567AC1}" name="Column15333"/>
    <tableColumn id="15337" xr3:uid="{37BC4130-AE5C-4FAE-8AEA-22C687C48E00}" name="Column15334"/>
    <tableColumn id="15338" xr3:uid="{D84CA609-5B45-4840-B2DE-3C42606924EC}" name="Column15335"/>
    <tableColumn id="15339" xr3:uid="{5D2A5CAC-8049-444D-B062-C97755843A0D}" name="Column15336"/>
    <tableColumn id="15340" xr3:uid="{28106482-83D3-47AB-8022-B664A5E1F98B}" name="Column15337"/>
    <tableColumn id="15341" xr3:uid="{15F52B7B-DA39-479C-9681-386FDC10EE42}" name="Column15338"/>
    <tableColumn id="15342" xr3:uid="{AEFCE0AC-23FC-4BC4-BD53-39C6551DF7CF}" name="Column15339"/>
    <tableColumn id="15343" xr3:uid="{5C3CCDF5-ACB5-40DA-A3FD-B9897FE79A3B}" name="Column15340"/>
    <tableColumn id="15344" xr3:uid="{41FC2A80-45B1-4950-8B55-8F810538C77E}" name="Column15341"/>
    <tableColumn id="15345" xr3:uid="{B103B82D-BCBE-4C7A-B0D3-7FC0E662069C}" name="Column15342"/>
    <tableColumn id="15346" xr3:uid="{6C2867C8-0B90-4FD7-9009-C0F66BB269A6}" name="Column15343"/>
    <tableColumn id="15347" xr3:uid="{42C6DA9F-0567-4BFE-BD17-8F99CD301030}" name="Column15344"/>
    <tableColumn id="15348" xr3:uid="{4634E04E-0887-4678-B927-FACEC53E193D}" name="Column15345"/>
    <tableColumn id="15349" xr3:uid="{460964B0-8EC8-4D01-BF29-61745385DFB1}" name="Column15346"/>
    <tableColumn id="15350" xr3:uid="{7CDFE205-8C4B-4A6A-BFFF-4BABDCCC082C}" name="Column15347"/>
    <tableColumn id="15351" xr3:uid="{61207929-3BEB-404C-87D0-97490778923F}" name="Column15348"/>
    <tableColumn id="15352" xr3:uid="{9F8564BA-37FC-41B6-942E-D16F42FCBE99}" name="Column15349"/>
    <tableColumn id="15353" xr3:uid="{F744ABC1-8652-4AF8-B042-2CEF8F17F287}" name="Column15350"/>
    <tableColumn id="15354" xr3:uid="{6B1FDD1A-854B-445B-98CD-A031D132787B}" name="Column15351"/>
    <tableColumn id="15355" xr3:uid="{E5856343-DD88-49C1-810D-12CE15A07EE8}" name="Column15352"/>
    <tableColumn id="15356" xr3:uid="{8EC696E4-8FCB-4712-A5B4-2D16DFB81ED4}" name="Column15353"/>
    <tableColumn id="15357" xr3:uid="{8A8B0BED-0EBE-460C-A14C-423BBE68F633}" name="Column15354"/>
    <tableColumn id="15358" xr3:uid="{3B437AAE-A0AC-49A3-9710-9714D7D977A1}" name="Column15355"/>
    <tableColumn id="15359" xr3:uid="{A0DEF4FC-1EF6-461E-9BF7-FA6B3F48866B}" name="Column15356"/>
    <tableColumn id="15360" xr3:uid="{726485D8-83B2-46BF-8A15-7ABF49704FF5}" name="Column15357"/>
    <tableColumn id="15361" xr3:uid="{659DF062-51B3-411E-9ADB-B45DF7B0C507}" name="Column15358"/>
    <tableColumn id="15362" xr3:uid="{81701092-D368-4DF3-8FAA-EA424F678FF2}" name="Column15359"/>
    <tableColumn id="15363" xr3:uid="{EFDEA456-A6E4-460B-8E21-3C20437C01F9}" name="Column15360"/>
    <tableColumn id="15364" xr3:uid="{FAB0E642-70E6-4D7A-9FAB-AD871507A6D5}" name="Column15361"/>
    <tableColumn id="15365" xr3:uid="{DC7BA7AC-0072-446D-A426-5CA64E2DBB23}" name="Column15362"/>
    <tableColumn id="15366" xr3:uid="{C16A42F5-CB03-45FE-BACD-C20F003EAE5A}" name="Column15363"/>
    <tableColumn id="15367" xr3:uid="{52C2B797-A62E-40AB-B2DB-7C50D305356F}" name="Column15364"/>
    <tableColumn id="15368" xr3:uid="{849573EC-18C2-4185-BC0F-20D156690394}" name="Column15365"/>
    <tableColumn id="15369" xr3:uid="{5F43BA4C-7600-430D-9A82-A85764407E59}" name="Column15366"/>
    <tableColumn id="15370" xr3:uid="{BBEA4641-25EF-4DD7-A7AE-ED2FFA65838D}" name="Column15367"/>
    <tableColumn id="15371" xr3:uid="{01379CC8-FA58-47B5-8349-70D4E67B5644}" name="Column15368"/>
    <tableColumn id="15372" xr3:uid="{32841CDB-5330-4C20-9C38-1518E5659459}" name="Column15369"/>
    <tableColumn id="15373" xr3:uid="{AA1D2785-5232-477E-8153-471600F63699}" name="Column15370"/>
    <tableColumn id="15374" xr3:uid="{A66F1E42-BF7A-459B-8B76-531E1C3D0638}" name="Column15371"/>
    <tableColumn id="15375" xr3:uid="{5305DAF6-8AD1-4C24-8879-D6956079A2A6}" name="Column15372"/>
    <tableColumn id="15376" xr3:uid="{FA2E4A5F-8502-4548-A4FC-30389AF729B4}" name="Column15373"/>
    <tableColumn id="15377" xr3:uid="{82780619-25AE-4954-B84B-095546F7E21F}" name="Column15374"/>
    <tableColumn id="15378" xr3:uid="{BB839FEE-D9C2-4CB2-A8B5-F9BB56F66C15}" name="Column15375"/>
    <tableColumn id="15379" xr3:uid="{CF101C2E-7ED2-468A-8F74-63E8ED3F7A4B}" name="Column15376"/>
    <tableColumn id="15380" xr3:uid="{CA229F64-F8FE-4EEC-90E3-0BDDCC474CF5}" name="Column15377"/>
    <tableColumn id="15381" xr3:uid="{D5C2D21B-BD03-46EF-90F2-D8DAD864EE9C}" name="Column15378"/>
    <tableColumn id="15382" xr3:uid="{3800535D-1F37-4118-AA7C-A147519F1A85}" name="Column15379"/>
    <tableColumn id="15383" xr3:uid="{10BE30C9-04C8-4A22-9515-5839C18CBBC8}" name="Column15380"/>
    <tableColumn id="15384" xr3:uid="{9AD07690-E23A-406E-A8E2-97383016AE71}" name="Column15381"/>
    <tableColumn id="15385" xr3:uid="{20DA2BDF-83D6-4EB2-815F-D05F41C9CDD4}" name="Column15382"/>
    <tableColumn id="15386" xr3:uid="{CEB18FE6-7828-4CEE-B5A5-5A9DFD7ABC31}" name="Column15383"/>
    <tableColumn id="15387" xr3:uid="{35626B2A-5C64-45F4-A902-67AB6ABFE7C8}" name="Column15384"/>
    <tableColumn id="15388" xr3:uid="{2FDA2501-963E-44CB-B8F5-895C1DED55A6}" name="Column15385"/>
    <tableColumn id="15389" xr3:uid="{FB5C0318-4D72-4537-8BCB-5C9847C40495}" name="Column15386"/>
    <tableColumn id="15390" xr3:uid="{BF59B134-F876-4A0C-8340-81EC39F38682}" name="Column15387"/>
    <tableColumn id="15391" xr3:uid="{E28E98AF-CEB9-4C39-8DC7-9D768F893FFC}" name="Column15388"/>
    <tableColumn id="15392" xr3:uid="{8898FD1B-FEFF-4D05-95E6-509D131F6179}" name="Column15389"/>
    <tableColumn id="15393" xr3:uid="{DD88819D-D685-46DC-8446-012BFEE8E33C}" name="Column15390"/>
    <tableColumn id="15394" xr3:uid="{E8A57D82-8877-4558-A9C3-E240C959F254}" name="Column15391"/>
    <tableColumn id="15395" xr3:uid="{BB9D9EC0-FA8D-40DD-AEC9-D35AEEE7AFD2}" name="Column15392"/>
    <tableColumn id="15396" xr3:uid="{06DF2BA6-2A91-4620-8EEE-663314F9DD02}" name="Column15393"/>
    <tableColumn id="15397" xr3:uid="{E930F49A-CF9E-45A0-8079-6A8C4FC3B38A}" name="Column15394"/>
    <tableColumn id="15398" xr3:uid="{CCBE1B3B-206F-46BB-9685-CE1DE84E4D8C}" name="Column15395"/>
    <tableColumn id="15399" xr3:uid="{A7E81299-3D37-4B35-A76E-9A51CA3ACFC9}" name="Column15396"/>
    <tableColumn id="15400" xr3:uid="{69A9AD7C-30D1-4B85-AB5E-A7802DFE4B79}" name="Column15397"/>
    <tableColumn id="15401" xr3:uid="{C231AD91-C630-4D6B-AD31-5FFF4EB6C1C6}" name="Column15398"/>
    <tableColumn id="15402" xr3:uid="{B5F1661F-843E-40E9-96D6-7577FAABD345}" name="Column15399"/>
    <tableColumn id="15403" xr3:uid="{64107646-657D-4325-AE07-28790892DCFF}" name="Column15400"/>
    <tableColumn id="15404" xr3:uid="{59C11BFB-8794-4168-A65E-00975161D94B}" name="Column15401"/>
    <tableColumn id="15405" xr3:uid="{DD424085-6DCF-4D2F-9B2C-0ECF0C702FBF}" name="Column15402"/>
    <tableColumn id="15406" xr3:uid="{5F2D0571-8A93-4225-9CAA-C5F05E233E27}" name="Column15403"/>
    <tableColumn id="15407" xr3:uid="{3B685827-5986-4839-97E8-88E44C48ED7F}" name="Column15404"/>
    <tableColumn id="15408" xr3:uid="{A60EBD4A-D3E3-43E6-8A3F-D15C939CD392}" name="Column15405"/>
    <tableColumn id="15409" xr3:uid="{FA87FB8A-C728-4695-9AC6-5A8CEE2450D0}" name="Column15406"/>
    <tableColumn id="15410" xr3:uid="{091E710C-41D5-4357-A7B5-B6DCEC5B9663}" name="Column15407"/>
    <tableColumn id="15411" xr3:uid="{A43D80C8-8232-4A02-8465-2E5DCB02860E}" name="Column15408"/>
    <tableColumn id="15412" xr3:uid="{D4C64D4B-63ED-4015-BC13-47CDC3AD5CFB}" name="Column15409"/>
    <tableColumn id="15413" xr3:uid="{B3A66411-8F14-4062-BF0C-955703690FCC}" name="Column15410"/>
    <tableColumn id="15414" xr3:uid="{5C19112B-8AAF-4A0F-B160-DB682EAAC67F}" name="Column15411"/>
    <tableColumn id="15415" xr3:uid="{710E0DFE-7D01-43C7-9A0F-562D02E1707F}" name="Column15412"/>
    <tableColumn id="15416" xr3:uid="{029259C9-0681-4E9A-93E1-438CC9D20663}" name="Column15413"/>
    <tableColumn id="15417" xr3:uid="{D3574A24-49D5-409D-A6D2-2D164F0F1F62}" name="Column15414"/>
    <tableColumn id="15418" xr3:uid="{DC95A892-2FC6-46D7-82D7-D60EEBD3F1CD}" name="Column15415"/>
    <tableColumn id="15419" xr3:uid="{05157CD8-31C8-4D02-8AC0-84F46569932A}" name="Column15416"/>
    <tableColumn id="15420" xr3:uid="{FEE26E65-24E8-4C8B-B925-6E9E83E79F5E}" name="Column15417"/>
    <tableColumn id="15421" xr3:uid="{79E95723-D736-4255-BD56-53E6CFAEC63B}" name="Column15418"/>
    <tableColumn id="15422" xr3:uid="{612A53C0-8E67-42F7-8D1C-3EA8AC78359A}" name="Column15419"/>
    <tableColumn id="15423" xr3:uid="{B7E4A722-502B-4CCF-A78E-8DFD46D84B5E}" name="Column15420"/>
    <tableColumn id="15424" xr3:uid="{7E80EFFE-BEB8-407E-A003-48EF611F51A4}" name="Column15421"/>
    <tableColumn id="15425" xr3:uid="{16E9D23F-1DF0-4D77-BACD-C33B018BD402}" name="Column15422"/>
    <tableColumn id="15426" xr3:uid="{1DB563D0-AB40-4A34-9F38-A9B9318E1EB0}" name="Column15423"/>
    <tableColumn id="15427" xr3:uid="{92865B11-2349-4E13-A4B0-284A48F309AD}" name="Column15424"/>
    <tableColumn id="15428" xr3:uid="{906B42AF-C103-4C91-8CBC-0F82A24C2980}" name="Column15425"/>
    <tableColumn id="15429" xr3:uid="{D271EA20-CACE-4C15-B0D9-0225933E4E6B}" name="Column15426"/>
    <tableColumn id="15430" xr3:uid="{6E521EFD-533C-4785-A970-901C8C1E2919}" name="Column15427"/>
    <tableColumn id="15431" xr3:uid="{B7112313-9E79-4423-8149-65E194061F93}" name="Column15428"/>
    <tableColumn id="15432" xr3:uid="{4738EE6C-8CF4-411F-BE82-40F1ECEB4F40}" name="Column15429"/>
    <tableColumn id="15433" xr3:uid="{69970690-E2F7-49E8-AC2F-CF73E03CEB29}" name="Column15430"/>
    <tableColumn id="15434" xr3:uid="{6691A393-7789-4E27-8401-179C677535BE}" name="Column15431"/>
    <tableColumn id="15435" xr3:uid="{BC4D0762-ABA7-4255-B3E1-C2E92A9EE90E}" name="Column15432"/>
    <tableColumn id="15436" xr3:uid="{CD3F6DA7-0D66-4533-B694-B27345C2B9D7}" name="Column15433"/>
    <tableColumn id="15437" xr3:uid="{3EA69CE4-92D9-4866-8BB6-09BCD2FE116F}" name="Column15434"/>
    <tableColumn id="15438" xr3:uid="{5EE69C59-9A7E-40CD-B738-B218B6FE22F3}" name="Column15435"/>
    <tableColumn id="15439" xr3:uid="{04886D97-65CF-43C3-807B-03D5B1E9D871}" name="Column15436"/>
    <tableColumn id="15440" xr3:uid="{1D5C068B-4B66-49B0-877A-BCCAE441DA4B}" name="Column15437"/>
    <tableColumn id="15441" xr3:uid="{E058735A-78E6-4EDE-92E5-D7DD601D1F44}" name="Column15438"/>
    <tableColumn id="15442" xr3:uid="{6C31CF66-A621-4B04-9072-2D0CEB7DA695}" name="Column15439"/>
    <tableColumn id="15443" xr3:uid="{9E4F3CD9-0192-498F-9C51-4C777E7A3306}" name="Column15440"/>
    <tableColumn id="15444" xr3:uid="{2C813551-A48B-4DC3-ADF3-EAC4BEBF69AB}" name="Column15441"/>
    <tableColumn id="15445" xr3:uid="{5A44E519-4B34-49CF-83CC-8FC838E00F95}" name="Column15442"/>
    <tableColumn id="15446" xr3:uid="{8981D8DD-40D6-414F-84B1-E68BFF76503E}" name="Column15443"/>
    <tableColumn id="15447" xr3:uid="{291F21FD-34F0-4451-95DF-170B24CEC6C9}" name="Column15444"/>
    <tableColumn id="15448" xr3:uid="{7D5258E0-9C1B-4616-ABCC-DB8DADCB29E3}" name="Column15445"/>
    <tableColumn id="15449" xr3:uid="{41001F4E-C247-4CD1-A209-F0316384B5EC}" name="Column15446"/>
    <tableColumn id="15450" xr3:uid="{66DA6D64-E3F6-4A6E-87E0-63E2CE5F5A57}" name="Column15447"/>
    <tableColumn id="15451" xr3:uid="{24F4D1F0-5466-4C22-BA21-7234437DFF58}" name="Column15448"/>
    <tableColumn id="15452" xr3:uid="{23FA4007-51E9-40B9-B5B4-8E1E32C7DF30}" name="Column15449"/>
    <tableColumn id="15453" xr3:uid="{A3D2000D-26D4-49DD-9948-0B3F319ADD1D}" name="Column15450"/>
    <tableColumn id="15454" xr3:uid="{6B14BA95-2805-434D-B5D7-439D6F3C6378}" name="Column15451"/>
    <tableColumn id="15455" xr3:uid="{0EA79255-26C6-4A72-9DE1-84C251FD5E7F}" name="Column15452"/>
    <tableColumn id="15456" xr3:uid="{64269057-1FEB-4C12-90C3-3C7B705D5EA5}" name="Column15453"/>
    <tableColumn id="15457" xr3:uid="{22A799A2-1695-441E-AEF2-3081C79FE934}" name="Column15454"/>
    <tableColumn id="15458" xr3:uid="{98056956-4F25-427B-8438-0E2B6A2D9C76}" name="Column15455"/>
    <tableColumn id="15459" xr3:uid="{1AC21050-3F35-415A-B94B-BF74BFC082C5}" name="Column15456"/>
    <tableColumn id="15460" xr3:uid="{94B8305B-A5AB-41AB-AF20-1B0E52C3A52B}" name="Column15457"/>
    <tableColumn id="15461" xr3:uid="{F3E358FD-88BC-4BA2-81BE-43965F3A7215}" name="Column15458"/>
    <tableColumn id="15462" xr3:uid="{A6728099-7047-47CF-93D5-1F12B1474574}" name="Column15459"/>
    <tableColumn id="15463" xr3:uid="{B0A79A66-2707-4866-8705-97D8E181A8FC}" name="Column15460"/>
    <tableColumn id="15464" xr3:uid="{2C395EAB-2472-4623-A0D1-A2951FB710B7}" name="Column15461"/>
    <tableColumn id="15465" xr3:uid="{EC9C135E-8614-4C96-930F-D1FD8B958CC0}" name="Column15462"/>
    <tableColumn id="15466" xr3:uid="{D67F2FCF-6D44-40C1-9FE0-8548E6BCE607}" name="Column15463"/>
    <tableColumn id="15467" xr3:uid="{E36905E2-28A2-4E08-9D9B-CC619CEFEA47}" name="Column15464"/>
    <tableColumn id="15468" xr3:uid="{C150BDC5-A120-409E-90C1-004F2F23DCE2}" name="Column15465"/>
    <tableColumn id="15469" xr3:uid="{DC0918ED-074C-4502-8269-7E63AAEFEB2E}" name="Column15466"/>
    <tableColumn id="15470" xr3:uid="{6559C82D-2CE5-4FD3-989B-16D6C76E132F}" name="Column15467"/>
    <tableColumn id="15471" xr3:uid="{54E9A83C-EA1C-4C8A-8DC3-58B334018322}" name="Column15468"/>
    <tableColumn id="15472" xr3:uid="{27E2B306-F7C8-4878-822B-F635BC2CA896}" name="Column15469"/>
    <tableColumn id="15473" xr3:uid="{679E5894-901D-4E7F-9AA2-6F98D5CDEDC2}" name="Column15470"/>
    <tableColumn id="15474" xr3:uid="{BE45CD15-8236-4FC9-AAB6-BC728BDDFDA0}" name="Column15471"/>
    <tableColumn id="15475" xr3:uid="{F0CB984C-87E8-431D-A520-EC15E2D32F6F}" name="Column15472"/>
    <tableColumn id="15476" xr3:uid="{1A9FAA99-D7C5-4109-AFA1-FECBAC7A565B}" name="Column15473"/>
    <tableColumn id="15477" xr3:uid="{D89AA09A-5B18-4631-B68A-BBCBB5603B6C}" name="Column15474"/>
    <tableColumn id="15478" xr3:uid="{47B19F18-C50E-431B-B262-05D0864FA8EF}" name="Column15475"/>
    <tableColumn id="15479" xr3:uid="{B8BF4D78-3C10-4C9F-9B03-D6B5976522C4}" name="Column15476"/>
    <tableColumn id="15480" xr3:uid="{AB4625DE-E86D-4E73-A408-502B00E8ED1C}" name="Column15477"/>
    <tableColumn id="15481" xr3:uid="{35B4F3E6-7B4F-43C8-BFD4-CAAAA0AE06EE}" name="Column15478"/>
    <tableColumn id="15482" xr3:uid="{8A87532F-466C-4EC6-8D62-B33A3B84EE61}" name="Column15479"/>
    <tableColumn id="15483" xr3:uid="{840F3E32-030C-4E54-AC12-B848EF185FA6}" name="Column15480"/>
    <tableColumn id="15484" xr3:uid="{DC10C01F-F0CC-49E6-97C3-65EE1D6B3802}" name="Column15481"/>
    <tableColumn id="15485" xr3:uid="{8C76CA8B-CE93-425C-9C71-9B0DAF6CE1BC}" name="Column15482"/>
    <tableColumn id="15486" xr3:uid="{048E4762-3A25-4B0E-8E10-63EF87159CB2}" name="Column15483"/>
    <tableColumn id="15487" xr3:uid="{24D37F7C-9453-48ED-94A4-3429557D6B9B}" name="Column15484"/>
    <tableColumn id="15488" xr3:uid="{CBDBA053-5D1B-4C63-A00B-5B46CE64A382}" name="Column15485"/>
    <tableColumn id="15489" xr3:uid="{DA59463A-13E3-4EBF-A29A-4E0A6209CEAE}" name="Column15486"/>
    <tableColumn id="15490" xr3:uid="{274FA8C0-7B65-42AC-A251-C4501B332960}" name="Column15487"/>
    <tableColumn id="15491" xr3:uid="{99DCB718-6C49-4249-A86F-256CA72F42A2}" name="Column15488"/>
    <tableColumn id="15492" xr3:uid="{AAB6AE6C-2972-4033-882F-C440467A6262}" name="Column15489"/>
    <tableColumn id="15493" xr3:uid="{A5D22366-E553-48E1-944C-7C68B5D50AFD}" name="Column15490"/>
    <tableColumn id="15494" xr3:uid="{C0710560-416B-4341-A09C-BBE9A44F5966}" name="Column15491"/>
    <tableColumn id="15495" xr3:uid="{FA21958E-A264-46EB-8724-E2EC0E4491FD}" name="Column15492"/>
    <tableColumn id="15496" xr3:uid="{E4A5B1EB-5950-418D-849B-C51FC448CF36}" name="Column15493"/>
    <tableColumn id="15497" xr3:uid="{28F6B56A-BDF8-4CFD-8B97-1119D5089B3D}" name="Column15494"/>
    <tableColumn id="15498" xr3:uid="{4AC7998E-E6A4-48C5-96AA-03BA2E02591D}" name="Column15495"/>
    <tableColumn id="15499" xr3:uid="{3211AA53-6E4D-424C-93CB-CFBB4DB7A00B}" name="Column15496"/>
    <tableColumn id="15500" xr3:uid="{CC6F74F0-0E67-402E-9D9F-2F77BD024C00}" name="Column15497"/>
    <tableColumn id="15501" xr3:uid="{2410B6F6-2A20-41A0-9353-DBC4E0653BCB}" name="Column15498"/>
    <tableColumn id="15502" xr3:uid="{19485215-F8D7-4628-BFBE-581679463FDC}" name="Column15499"/>
    <tableColumn id="15503" xr3:uid="{B7DA75EE-DE1E-4D1B-975E-FC558BDE1BDD}" name="Column15500"/>
    <tableColumn id="15504" xr3:uid="{E65BDED9-7DE3-4621-8D8B-BEE27C2EF4EA}" name="Column15501"/>
    <tableColumn id="15505" xr3:uid="{E454F58D-29A8-4AA7-B647-9DC8E52525CE}" name="Column15502"/>
    <tableColumn id="15506" xr3:uid="{F6F52C67-627F-4FCA-9837-1A4CD0A653E6}" name="Column15503"/>
    <tableColumn id="15507" xr3:uid="{B5F4D75D-493D-4794-9E2C-E7B3C3F87CCE}" name="Column15504"/>
    <tableColumn id="15508" xr3:uid="{7C5BB99D-3CD4-4045-833D-ADFF43D0BCC7}" name="Column15505"/>
    <tableColumn id="15509" xr3:uid="{84A41219-34A3-4C2E-8198-D4648C324749}" name="Column15506"/>
    <tableColumn id="15510" xr3:uid="{F4BF11DB-84A8-4C4D-89CD-BCF654C35470}" name="Column15507"/>
    <tableColumn id="15511" xr3:uid="{F0FCDCD9-978B-432E-9848-99A93D953B4D}" name="Column15508"/>
    <tableColumn id="15512" xr3:uid="{0997BB70-D982-42D1-98BA-DB1B8F07AF72}" name="Column15509"/>
    <tableColumn id="15513" xr3:uid="{2815F022-EA10-4DCC-9603-219C2E8CD6F0}" name="Column15510"/>
    <tableColumn id="15514" xr3:uid="{55AB6679-5DD3-4547-9185-F4F11FF8DFDD}" name="Column15511"/>
    <tableColumn id="15515" xr3:uid="{470B84F5-86B6-4C45-9FBC-443D826FBECC}" name="Column15512"/>
    <tableColumn id="15516" xr3:uid="{C1D7F9F3-EFD3-410C-860D-CF64089067D9}" name="Column15513"/>
    <tableColumn id="15517" xr3:uid="{5E78747E-2CAF-49DA-928C-891027ED810A}" name="Column15514"/>
    <tableColumn id="15518" xr3:uid="{3D9CC1E2-2126-4126-B40C-05C01014D557}" name="Column15515"/>
    <tableColumn id="15519" xr3:uid="{0ED38D89-1BED-492F-823A-D6DE12C555BF}" name="Column15516"/>
    <tableColumn id="15520" xr3:uid="{185D1326-FA07-4F9A-A39C-51FFB8A7370A}" name="Column15517"/>
    <tableColumn id="15521" xr3:uid="{52E7579A-B28E-4B7F-84FF-D8AB4B8AE6EC}" name="Column15518"/>
    <tableColumn id="15522" xr3:uid="{4A439F0F-51A7-4428-B9DF-561F8308B136}" name="Column15519"/>
    <tableColumn id="15523" xr3:uid="{6E6F89E8-2B0D-49C1-A4D4-44C2CB2FFD15}" name="Column15520"/>
    <tableColumn id="15524" xr3:uid="{5B1B5E94-75B6-43A7-9FFB-74B13AAC3B7F}" name="Column15521"/>
    <tableColumn id="15525" xr3:uid="{9EC5C1FF-8BFF-4165-AB66-445B01004114}" name="Column15522"/>
    <tableColumn id="15526" xr3:uid="{D34857C9-1067-46FC-AE70-13DA92AB5015}" name="Column15523"/>
    <tableColumn id="15527" xr3:uid="{C2A04407-A1D5-4777-842B-160D612BBE3C}" name="Column15524"/>
    <tableColumn id="15528" xr3:uid="{3F73AC33-C5FD-44FD-B5E7-7EC6756AC065}" name="Column15525"/>
    <tableColumn id="15529" xr3:uid="{2247FFB7-2BF0-4E33-A4DD-78E96AC99262}" name="Column15526"/>
    <tableColumn id="15530" xr3:uid="{535A0B52-8017-4DF7-87B6-B2FEB50EE0C3}" name="Column15527"/>
    <tableColumn id="15531" xr3:uid="{8BB30230-0019-48F2-9795-C427523F6BFC}" name="Column15528"/>
    <tableColumn id="15532" xr3:uid="{E42FCAC9-669E-4B82-AA76-17A9A2982B13}" name="Column15529"/>
    <tableColumn id="15533" xr3:uid="{31601F4C-1AF9-43EB-A9D5-3244537D68C5}" name="Column15530"/>
    <tableColumn id="15534" xr3:uid="{31D175CA-3E75-44FC-B01F-872E8C9E7E6F}" name="Column15531"/>
    <tableColumn id="15535" xr3:uid="{72BFB6A9-AA26-4A97-9DFB-FE0D7F0D2240}" name="Column15532"/>
    <tableColumn id="15536" xr3:uid="{E33794F4-5C04-4BC1-ADC9-604CD3AF7ECA}" name="Column15533"/>
    <tableColumn id="15537" xr3:uid="{042A534B-567C-4E1F-BB65-2E533DEBAB8F}" name="Column15534"/>
    <tableColumn id="15538" xr3:uid="{7E562139-BEAE-44D6-867D-7E13A015D851}" name="Column15535"/>
    <tableColumn id="15539" xr3:uid="{4E973244-64F0-420F-8F89-4744B14A2E0B}" name="Column15536"/>
    <tableColumn id="15540" xr3:uid="{E086EC8E-FBC4-41EA-B8D1-A2F28C51F0DB}" name="Column15537"/>
    <tableColumn id="15541" xr3:uid="{26EC068C-D4F6-4334-BD9C-2349709875CE}" name="Column15538"/>
    <tableColumn id="15542" xr3:uid="{B1A3F758-9605-4B46-BF28-18CC53E3066B}" name="Column15539"/>
    <tableColumn id="15543" xr3:uid="{2EAB11D9-94D8-490F-A2A9-A7BBD452AEFB}" name="Column15540"/>
    <tableColumn id="15544" xr3:uid="{91A96351-52E7-4E67-8D93-6B07403D51B5}" name="Column15541"/>
    <tableColumn id="15545" xr3:uid="{7215AA9C-4669-4358-AA24-602038B1A7BF}" name="Column15542"/>
    <tableColumn id="15546" xr3:uid="{FEF49BC9-8E6E-4334-8C61-E6951AA65065}" name="Column15543"/>
    <tableColumn id="15547" xr3:uid="{2FA44F6C-B36E-4E5C-B609-C60C969CE01B}" name="Column15544"/>
    <tableColumn id="15548" xr3:uid="{8E2D7E28-92D6-450D-9B4E-3E882C101E80}" name="Column15545"/>
    <tableColumn id="15549" xr3:uid="{11EA3BCC-03F2-4FCF-92EC-264802326B4E}" name="Column15546"/>
    <tableColumn id="15550" xr3:uid="{3E65CED6-3D4F-4BBA-9C9D-2FAF9CE079DA}" name="Column15547"/>
    <tableColumn id="15551" xr3:uid="{37C8CDCF-03C3-488F-84A9-15F448B4E171}" name="Column15548"/>
    <tableColumn id="15552" xr3:uid="{CD046A4F-27FF-4563-8434-A53F9FBCF07F}" name="Column15549"/>
    <tableColumn id="15553" xr3:uid="{5A9C7137-735B-41F3-9751-8FDC4CDDDB83}" name="Column15550"/>
    <tableColumn id="15554" xr3:uid="{96606331-BCB9-43FD-B5E6-164822F3EF45}" name="Column15551"/>
    <tableColumn id="15555" xr3:uid="{10FDB17E-816F-45BE-8D06-9ED0228765FA}" name="Column15552"/>
    <tableColumn id="15556" xr3:uid="{D8F091CB-3581-47D2-8A8C-E185A494D097}" name="Column15553"/>
    <tableColumn id="15557" xr3:uid="{74427242-DCD1-4025-8B22-CF928D165985}" name="Column15554"/>
    <tableColumn id="15558" xr3:uid="{BC66FBBE-6FCC-4B4E-B8DD-0EDD8CF3579C}" name="Column15555"/>
    <tableColumn id="15559" xr3:uid="{BE4C8AD8-AF93-4F19-864F-8C7276347CC1}" name="Column15556"/>
    <tableColumn id="15560" xr3:uid="{6B897DE9-0389-44CB-ABEC-C849B48254BE}" name="Column15557"/>
    <tableColumn id="15561" xr3:uid="{02340018-97CA-4A50-988B-B531B8D5EA78}" name="Column15558"/>
    <tableColumn id="15562" xr3:uid="{2A5BD015-F5B7-4D9C-A30A-AF36357D539E}" name="Column15559"/>
    <tableColumn id="15563" xr3:uid="{AAC2B124-EBA6-4ADE-98A2-BE95F60BF7FC}" name="Column15560"/>
    <tableColumn id="15564" xr3:uid="{2639073C-FF1E-4A57-9329-45B2787BE0CA}" name="Column15561"/>
    <tableColumn id="15565" xr3:uid="{329404E7-249A-47D4-9026-B862A5BD09EF}" name="Column15562"/>
    <tableColumn id="15566" xr3:uid="{68F7576E-7F7E-4050-B1FE-4E770A99B5D9}" name="Column15563"/>
    <tableColumn id="15567" xr3:uid="{2C6C9FE2-29F0-4D1F-A9FC-A3B90948CCE2}" name="Column15564"/>
    <tableColumn id="15568" xr3:uid="{DD203C07-0DD4-40A7-8B4A-6E179C919DAA}" name="Column15565"/>
    <tableColumn id="15569" xr3:uid="{74DA240B-78F7-4164-94D7-AE3497C99419}" name="Column15566"/>
    <tableColumn id="15570" xr3:uid="{BC5ABF9D-CC6F-4894-A95D-2A35D4854C37}" name="Column15567"/>
    <tableColumn id="15571" xr3:uid="{718720F4-9E26-42E3-AC59-D3AAB59F2E67}" name="Column15568"/>
    <tableColumn id="15572" xr3:uid="{107E02E0-A7A2-42C8-8B31-F008A57D77E4}" name="Column15569"/>
    <tableColumn id="15573" xr3:uid="{57A8F8B2-9C68-4A82-B66F-7C73A4CB51C7}" name="Column15570"/>
    <tableColumn id="15574" xr3:uid="{4230D219-C99D-4784-8622-730F453E51C8}" name="Column15571"/>
    <tableColumn id="15575" xr3:uid="{C943D762-50BC-44E9-8C88-964DABB11C9F}" name="Column15572"/>
    <tableColumn id="15576" xr3:uid="{C9CE75C7-AEE4-47D2-9ACA-127CFB4028BC}" name="Column15573"/>
    <tableColumn id="15577" xr3:uid="{07F8A3D8-8C7F-4A4C-BF5B-AED5CDF0957C}" name="Column15574"/>
    <tableColumn id="15578" xr3:uid="{124A29C8-722F-4F74-8C7B-B74F6CA4AE47}" name="Column15575"/>
    <tableColumn id="15579" xr3:uid="{A94E377C-37D4-4377-8D85-40690C55CC0D}" name="Column15576"/>
    <tableColumn id="15580" xr3:uid="{4980D7DF-BB2F-47AB-8592-6879AD747468}" name="Column15577"/>
    <tableColumn id="15581" xr3:uid="{5BCAE288-9694-47DB-894D-14AE042A961E}" name="Column15578"/>
    <tableColumn id="15582" xr3:uid="{9E38DAED-F961-409F-9DF2-B88D0CF2DAD8}" name="Column15579"/>
    <tableColumn id="15583" xr3:uid="{657AB58E-75C1-4786-A15B-512170697C35}" name="Column15580"/>
    <tableColumn id="15584" xr3:uid="{261FBBF5-DE33-4079-8102-7B4590E85391}" name="Column15581"/>
    <tableColumn id="15585" xr3:uid="{9A047F1E-772B-4747-9F79-8DB5D8426193}" name="Column15582"/>
    <tableColumn id="15586" xr3:uid="{7AD1E2DE-5C5E-48C9-B89B-200E849CF52C}" name="Column15583"/>
    <tableColumn id="15587" xr3:uid="{DEE8A111-B3E9-47D6-9BF5-C3318D602901}" name="Column15584"/>
    <tableColumn id="15588" xr3:uid="{A895C79A-8EA8-48B5-9F66-0B5B09E22504}" name="Column15585"/>
    <tableColumn id="15589" xr3:uid="{2ED7A89F-141A-4DA6-A8F9-9A044B928521}" name="Column15586"/>
    <tableColumn id="15590" xr3:uid="{F0A2BEC7-2EBB-4EB2-B5B7-5D9DB8B87C02}" name="Column15587"/>
    <tableColumn id="15591" xr3:uid="{46E823FA-CC65-4BD3-AA17-6D723AC93552}" name="Column15588"/>
    <tableColumn id="15592" xr3:uid="{A1EBC288-BACF-4F17-8B11-DB60EFED64AD}" name="Column15589"/>
    <tableColumn id="15593" xr3:uid="{36861ABF-9002-4D67-B4D9-E103DF6C1B0E}" name="Column15590"/>
    <tableColumn id="15594" xr3:uid="{8E1D68FB-E15E-4C6F-9B6E-95D2778B5953}" name="Column15591"/>
    <tableColumn id="15595" xr3:uid="{062A70AA-B2BA-4AC6-8C00-4F8AEE8C7631}" name="Column15592"/>
    <tableColumn id="15596" xr3:uid="{E2447801-0278-4F7B-A59F-C24204DB930C}" name="Column15593"/>
    <tableColumn id="15597" xr3:uid="{8CED6327-9F79-43DD-B21B-CCCB09C381C1}" name="Column15594"/>
    <tableColumn id="15598" xr3:uid="{097358B9-1936-46B3-8F99-C815A3AA58E3}" name="Column15595"/>
    <tableColumn id="15599" xr3:uid="{FD41E9AE-1E04-4CB7-826C-C3C3E0B2F803}" name="Column15596"/>
    <tableColumn id="15600" xr3:uid="{EBF24543-098D-4B48-9C48-CA6DC200C04B}" name="Column15597"/>
    <tableColumn id="15601" xr3:uid="{68261968-25F0-433F-A45A-DA86FF2A426E}" name="Column15598"/>
    <tableColumn id="15602" xr3:uid="{D08C8BDC-208E-40DF-B161-3E8584E67BFF}" name="Column15599"/>
    <tableColumn id="15603" xr3:uid="{DC0E8D47-F630-4F76-8A50-755F10A3EF92}" name="Column15600"/>
    <tableColumn id="15604" xr3:uid="{54B9B974-9E34-4096-9223-35B26F06F452}" name="Column15601"/>
    <tableColumn id="15605" xr3:uid="{897B3E0E-3C62-4164-8CFF-6EB542381920}" name="Column15602"/>
    <tableColumn id="15606" xr3:uid="{B7694D9E-92A5-48FF-A0FE-24524DB86FDD}" name="Column15603"/>
    <tableColumn id="15607" xr3:uid="{AB1AE3AB-8871-4520-A047-D844FDBC1FE2}" name="Column15604"/>
    <tableColumn id="15608" xr3:uid="{C5862C47-880D-4544-9350-2B49855474CF}" name="Column15605"/>
    <tableColumn id="15609" xr3:uid="{23D73C75-A1C7-4BF2-BAA8-D65710F86384}" name="Column15606"/>
    <tableColumn id="15610" xr3:uid="{7313CE8C-B6F5-4C76-BC33-A48C765F7EE6}" name="Column15607"/>
    <tableColumn id="15611" xr3:uid="{6ECAE447-1E08-462D-A890-077E8B7FD644}" name="Column15608"/>
    <tableColumn id="15612" xr3:uid="{218B6D3A-6997-47F7-A6E2-76BD235E04C1}" name="Column15609"/>
    <tableColumn id="15613" xr3:uid="{AD8748F9-D14E-4647-AF82-4D4C751D98C5}" name="Column15610"/>
    <tableColumn id="15614" xr3:uid="{F4FF8C26-A4E7-49E2-85A1-A3B7A615AD76}" name="Column15611"/>
    <tableColumn id="15615" xr3:uid="{94F66C10-93CE-498F-91ED-FAA0A9FBA593}" name="Column15612"/>
    <tableColumn id="15616" xr3:uid="{9AC7ED2A-D83C-4CB3-A1EF-EB1400A1CF21}" name="Column15613"/>
    <tableColumn id="15617" xr3:uid="{260F5834-68D3-48EC-B2CD-54B70E3F8C5E}" name="Column15614"/>
    <tableColumn id="15618" xr3:uid="{1D60D460-7423-4631-9741-A19CBCA308FF}" name="Column15615"/>
    <tableColumn id="15619" xr3:uid="{2F322784-329A-4DE5-89A4-BE932EAC915B}" name="Column15616"/>
    <tableColumn id="15620" xr3:uid="{FAEA95C6-CAD4-4E01-A956-539ACA5F6D5C}" name="Column15617"/>
    <tableColumn id="15621" xr3:uid="{C0C0EAA5-E1FC-4E64-B25F-9D8C0E97BFF7}" name="Column15618"/>
    <tableColumn id="15622" xr3:uid="{12CFC84A-28D3-40A7-81AB-6AE88A36531C}" name="Column15619"/>
    <tableColumn id="15623" xr3:uid="{8BF5D0C1-CE39-4E84-9278-518F416BAD71}" name="Column15620"/>
    <tableColumn id="15624" xr3:uid="{2A658361-7AC7-41C5-97D1-E5E089085F5F}" name="Column15621"/>
    <tableColumn id="15625" xr3:uid="{7603F998-573F-457F-BA31-4B492C09271E}" name="Column15622"/>
    <tableColumn id="15626" xr3:uid="{1CCAE7B1-4AB0-4D40-8A9A-9BBB5E44E04A}" name="Column15623"/>
    <tableColumn id="15627" xr3:uid="{A0B5821C-C9BD-43B8-8CA7-A9D00BF7DF1F}" name="Column15624"/>
    <tableColumn id="15628" xr3:uid="{F3BF40DA-031F-452A-AC11-472AD85FED82}" name="Column15625"/>
    <tableColumn id="15629" xr3:uid="{3B75F91B-4211-435C-8556-5D2D4E929EA8}" name="Column15626"/>
    <tableColumn id="15630" xr3:uid="{DBDB2C43-408F-440B-801A-114F7FE00720}" name="Column15627"/>
    <tableColumn id="15631" xr3:uid="{FF880BBF-D36D-4F9C-8F4E-0379618B9AF9}" name="Column15628"/>
    <tableColumn id="15632" xr3:uid="{233DB431-330D-4536-9248-312D1777862D}" name="Column15629"/>
    <tableColumn id="15633" xr3:uid="{F73F1D19-0166-4C1E-BE31-B6683DD5E60D}" name="Column15630"/>
    <tableColumn id="15634" xr3:uid="{5D4F90BA-6830-4FB1-B3BD-B0FD6DEADD76}" name="Column15631"/>
    <tableColumn id="15635" xr3:uid="{5ED20906-F9A3-4026-950B-F0CE044311A5}" name="Column15632"/>
    <tableColumn id="15636" xr3:uid="{AB8B21F3-982E-4508-BA70-D40F43A3DB45}" name="Column15633"/>
    <tableColumn id="15637" xr3:uid="{79FC00F9-9D99-44EC-9905-57E899045734}" name="Column15634"/>
    <tableColumn id="15638" xr3:uid="{D75694BF-C27F-423E-A34D-635F5B7AD272}" name="Column15635"/>
    <tableColumn id="15639" xr3:uid="{69FD97E2-276A-4CD1-AB27-29A2EF46E424}" name="Column15636"/>
    <tableColumn id="15640" xr3:uid="{127CE264-2ED8-41B4-9A30-D548F5AB0460}" name="Column15637"/>
    <tableColumn id="15641" xr3:uid="{847621D8-29EC-4295-A655-E05711D68AC0}" name="Column15638"/>
    <tableColumn id="15642" xr3:uid="{75847F3E-C4D7-4245-A724-52DC0CA0D8A9}" name="Column15639"/>
    <tableColumn id="15643" xr3:uid="{E7120124-2FE2-414E-AAAF-897B3F916B89}" name="Column15640"/>
    <tableColumn id="15644" xr3:uid="{F847ED01-B47E-4038-8725-D2AAAE923F0A}" name="Column15641"/>
    <tableColumn id="15645" xr3:uid="{D5C08DE2-C391-4BA1-8C55-750913570CC0}" name="Column15642"/>
    <tableColumn id="15646" xr3:uid="{4E6B4984-93DF-4D28-A28E-398E36142061}" name="Column15643"/>
    <tableColumn id="15647" xr3:uid="{4B04DCCE-B411-4E7A-9B41-941C2362A7C7}" name="Column15644"/>
    <tableColumn id="15648" xr3:uid="{ABC8730C-D91A-4717-A569-17D2C8E983FD}" name="Column15645"/>
    <tableColumn id="15649" xr3:uid="{A0AD0C4F-B2DD-406C-8BA0-317D74B59FC3}" name="Column15646"/>
    <tableColumn id="15650" xr3:uid="{FB599367-495E-438C-A6D7-0E36B8DFEBCA}" name="Column15647"/>
    <tableColumn id="15651" xr3:uid="{0BA7CD75-5548-45AA-8294-70D50E8CC514}" name="Column15648"/>
    <tableColumn id="15652" xr3:uid="{55DE8AA6-42F3-4DB7-835F-02904BDFFB8A}" name="Column15649"/>
    <tableColumn id="15653" xr3:uid="{8379D86C-84F3-48ED-AC02-321FCBE633F7}" name="Column15650"/>
    <tableColumn id="15654" xr3:uid="{D76ABB59-9A04-44EE-9040-562842A38165}" name="Column15651"/>
    <tableColumn id="15655" xr3:uid="{1BF1FC4F-7778-41B8-8C10-EFC1690AC34A}" name="Column15652"/>
    <tableColumn id="15656" xr3:uid="{BF73C4E7-C6BF-4AA3-9B5C-E822B0F390D2}" name="Column15653"/>
    <tableColumn id="15657" xr3:uid="{3A17D23D-D7DA-4943-9DF8-13A07CD30C37}" name="Column15654"/>
    <tableColumn id="15658" xr3:uid="{37E9CE07-FA8F-4E84-B46F-12F79C05E4C7}" name="Column15655"/>
    <tableColumn id="15659" xr3:uid="{2AB00AB5-6924-4AA6-93D4-5CD97FBC2FA0}" name="Column15656"/>
    <tableColumn id="15660" xr3:uid="{F1B52660-048C-4406-88D4-BA918624438C}" name="Column15657"/>
    <tableColumn id="15661" xr3:uid="{38569CEE-F5B5-4211-973B-EE5F048B8B0F}" name="Column15658"/>
    <tableColumn id="15662" xr3:uid="{1A1B7FD3-3BE8-4DBC-B0E6-034BE4F3F72A}" name="Column15659"/>
    <tableColumn id="15663" xr3:uid="{66A4FF7D-91BC-4A52-85B0-11D0D6959C72}" name="Column15660"/>
    <tableColumn id="15664" xr3:uid="{A8847DE7-0CD6-4EFC-8F25-EB6696CD1182}" name="Column15661"/>
    <tableColumn id="15665" xr3:uid="{64797E33-073B-45EF-B1BE-4847EE8D5C34}" name="Column15662"/>
    <tableColumn id="15666" xr3:uid="{0A74E3FD-ADBB-44A7-97DF-71CB6FF6D6CB}" name="Column15663"/>
    <tableColumn id="15667" xr3:uid="{1239861D-2AA8-408C-9053-9744AEA62A05}" name="Column15664"/>
    <tableColumn id="15668" xr3:uid="{27036481-5DA4-4717-BA94-FF37A9CBA022}" name="Column15665"/>
    <tableColumn id="15669" xr3:uid="{70A02567-5F12-4459-9456-963495726743}" name="Column15666"/>
    <tableColumn id="15670" xr3:uid="{045C90B9-DAD1-4AE5-B34F-8F60E91BC64C}" name="Column15667"/>
    <tableColumn id="15671" xr3:uid="{3EEFC754-D681-4764-B21B-29F3DB39C3C1}" name="Column15668"/>
    <tableColumn id="15672" xr3:uid="{BB9771D7-3E4A-4596-8174-DDF174A7BA00}" name="Column15669"/>
    <tableColumn id="15673" xr3:uid="{54B502DB-C72A-4C06-9B3B-1131CB13EC74}" name="Column15670"/>
    <tableColumn id="15674" xr3:uid="{933817CA-BFA1-48B8-A0BD-8803C267CB95}" name="Column15671"/>
    <tableColumn id="15675" xr3:uid="{DCC62A99-B02D-4CF9-9838-D78BC9BFDB80}" name="Column15672"/>
    <tableColumn id="15676" xr3:uid="{1122CD37-B179-4A2C-84E9-8121E34AC21D}" name="Column15673"/>
    <tableColumn id="15677" xr3:uid="{39853A08-75CA-4631-A5E8-2D3A979E9E6F}" name="Column15674"/>
    <tableColumn id="15678" xr3:uid="{A42C40A2-0669-414D-8271-C0E22D4C2DF5}" name="Column15675"/>
    <tableColumn id="15679" xr3:uid="{907CC591-2302-4C8B-8509-964EBE2F3417}" name="Column15676"/>
    <tableColumn id="15680" xr3:uid="{F6444657-5B91-424D-A437-5007776E2C15}" name="Column15677"/>
    <tableColumn id="15681" xr3:uid="{2AC915FF-C079-4D7F-88CE-60109E83A884}" name="Column15678"/>
    <tableColumn id="15682" xr3:uid="{EAD5A4FA-87DE-4BCD-A698-7899D4E823FD}" name="Column15679"/>
    <tableColumn id="15683" xr3:uid="{5263E971-5AB2-4470-9A96-2810946E20A2}" name="Column15680"/>
    <tableColumn id="15684" xr3:uid="{715A6733-6830-4874-94F7-CC3FDA775B63}" name="Column15681"/>
    <tableColumn id="15685" xr3:uid="{7841F761-0CCF-4A2C-85F8-D32D580E6966}" name="Column15682"/>
    <tableColumn id="15686" xr3:uid="{F2E71817-615D-4801-9B8B-A9180D108A79}" name="Column15683"/>
    <tableColumn id="15687" xr3:uid="{25F7BB16-BAF8-4A2A-9737-59FECEC2FF21}" name="Column15684"/>
    <tableColumn id="15688" xr3:uid="{45A40430-64A0-43D2-881B-D66ACAA9316B}" name="Column15685"/>
    <tableColumn id="15689" xr3:uid="{2D40D95B-DE37-4B84-AD19-8C11541370E2}" name="Column15686"/>
    <tableColumn id="15690" xr3:uid="{6D00E4E5-74A8-4A67-9092-AACE8A92CB7B}" name="Column15687"/>
    <tableColumn id="15691" xr3:uid="{58A6EE62-A8C7-4E1A-A5F9-73F4122277C8}" name="Column15688"/>
    <tableColumn id="15692" xr3:uid="{DEB3B13C-5ED5-4D0B-878B-48538B0A641A}" name="Column15689"/>
    <tableColumn id="15693" xr3:uid="{87205D81-7244-4C68-9746-13C28B024D45}" name="Column15690"/>
    <tableColumn id="15694" xr3:uid="{1EB46A63-EF60-4188-A459-2BFB09D3712D}" name="Column15691"/>
    <tableColumn id="15695" xr3:uid="{98A8309D-7C15-4EEB-A396-A111E23EA85B}" name="Column15692"/>
    <tableColumn id="15696" xr3:uid="{0768EF41-64F6-4379-BEEC-CE8EE7723FEE}" name="Column15693"/>
    <tableColumn id="15697" xr3:uid="{671594CE-EC70-4D5E-A46B-B72588F279B0}" name="Column15694"/>
    <tableColumn id="15698" xr3:uid="{D758768D-7A1E-43E9-84A5-9D2B48F117E1}" name="Column15695"/>
    <tableColumn id="15699" xr3:uid="{05EE3B1A-E024-4E56-BE3C-8E6BB2BED91B}" name="Column15696"/>
    <tableColumn id="15700" xr3:uid="{0110799E-91E7-43BF-8A05-53C912C78EAF}" name="Column15697"/>
    <tableColumn id="15701" xr3:uid="{EDE7732B-69D2-4226-B414-F541C20DB003}" name="Column15698"/>
    <tableColumn id="15702" xr3:uid="{323150D7-7F43-4F32-BD17-B284BB888F98}" name="Column15699"/>
    <tableColumn id="15703" xr3:uid="{43FD073A-8CB1-4E39-8379-5BAF442B82AB}" name="Column15700"/>
    <tableColumn id="15704" xr3:uid="{2F396201-4390-4C41-9AA7-743FAC6AAC33}" name="Column15701"/>
    <tableColumn id="15705" xr3:uid="{BD5450BC-48F7-4C74-B99B-4DE830979BD1}" name="Column15702"/>
    <tableColumn id="15706" xr3:uid="{2843BE64-C9B6-42C4-AF71-626EC8DF8DC7}" name="Column15703"/>
    <tableColumn id="15707" xr3:uid="{01C5218E-4CD7-409A-945C-95C786E985B9}" name="Column15704"/>
    <tableColumn id="15708" xr3:uid="{1CD9BC4F-BF78-4E9C-A72F-36AE8E331B0A}" name="Column15705"/>
    <tableColumn id="15709" xr3:uid="{368FAB21-90C5-432A-98B3-843E80288432}" name="Column15706"/>
    <tableColumn id="15710" xr3:uid="{F2091164-09C8-4845-A210-917773FA8A71}" name="Column15707"/>
    <tableColumn id="15711" xr3:uid="{FF14FDE9-8D11-47E4-9B01-455A1CBA85CA}" name="Column15708"/>
    <tableColumn id="15712" xr3:uid="{FEF6E83A-CE95-422E-B66D-3F3A1475ABF5}" name="Column15709"/>
    <tableColumn id="15713" xr3:uid="{4467FFD4-FCE8-4548-A1D4-6D4E70A486B2}" name="Column15710"/>
    <tableColumn id="15714" xr3:uid="{C0BA6563-36AB-4B0C-9702-094AA372D47F}" name="Column15711"/>
    <tableColumn id="15715" xr3:uid="{97AE1B23-990C-44A7-B795-446D635FB9C9}" name="Column15712"/>
    <tableColumn id="15716" xr3:uid="{C3F53673-72CC-422A-B52F-F6D65B139413}" name="Column15713"/>
    <tableColumn id="15717" xr3:uid="{19B8AC2F-8635-41D6-B948-F19373DB18E0}" name="Column15714"/>
    <tableColumn id="15718" xr3:uid="{9F41640E-F39E-4AAE-BA60-291612F630AE}" name="Column15715"/>
    <tableColumn id="15719" xr3:uid="{BB5E0411-ADE6-4CE4-A1AE-971D7E43022E}" name="Column15716"/>
    <tableColumn id="15720" xr3:uid="{00DB4B8A-4BE4-489B-A10C-CD25437C8DA1}" name="Column15717"/>
    <tableColumn id="15721" xr3:uid="{6C0D2D05-269C-4D84-8B71-375A3EDC0964}" name="Column15718"/>
    <tableColumn id="15722" xr3:uid="{399D107F-9E12-478B-B9E3-EE2FF792CBE9}" name="Column15719"/>
    <tableColumn id="15723" xr3:uid="{9B802628-2230-4D93-B99D-A645443B6339}" name="Column15720"/>
    <tableColumn id="15724" xr3:uid="{621B4644-8673-435A-A505-A24BCFBBE64F}" name="Column15721"/>
    <tableColumn id="15725" xr3:uid="{F5A7C23C-9ACE-4CBE-85E8-6DD89A0A5F97}" name="Column15722"/>
    <tableColumn id="15726" xr3:uid="{40EE1DBF-0E2B-478B-AF03-5F1CA5F96E9C}" name="Column15723"/>
    <tableColumn id="15727" xr3:uid="{28058732-C069-4110-942D-8A96918B414F}" name="Column15724"/>
    <tableColumn id="15728" xr3:uid="{56BDB127-F715-4133-A253-371B1C45021A}" name="Column15725"/>
    <tableColumn id="15729" xr3:uid="{E5A7A51F-8F39-42BD-893E-482A6676E97C}" name="Column15726"/>
    <tableColumn id="15730" xr3:uid="{81EBF966-2758-4929-8FA5-D801E99A8AD5}" name="Column15727"/>
    <tableColumn id="15731" xr3:uid="{359DE009-7B4B-4F44-B22F-6E92EF93253B}" name="Column15728"/>
    <tableColumn id="15732" xr3:uid="{FEB21D84-06C9-4AFE-92CF-B872EFED1703}" name="Column15729"/>
    <tableColumn id="15733" xr3:uid="{C549B660-7EAA-4D24-8E19-27D486B45877}" name="Column15730"/>
    <tableColumn id="15734" xr3:uid="{82D35834-5704-4F5B-8B84-250C84D0894B}" name="Column15731"/>
    <tableColumn id="15735" xr3:uid="{86E0860C-93FD-4E13-B45F-72E352B9697A}" name="Column15732"/>
    <tableColumn id="15736" xr3:uid="{F4932EEF-475A-4D4D-A2F4-02A7EFE32B8B}" name="Column15733"/>
    <tableColumn id="15737" xr3:uid="{417C40CC-0875-406C-9DAB-76C9CC607EED}" name="Column15734"/>
    <tableColumn id="15738" xr3:uid="{031FDCB1-91C6-4FAA-879C-BC4E6C3EEBD0}" name="Column15735"/>
    <tableColumn id="15739" xr3:uid="{7C81C04A-45A7-4206-8B7E-04A01F0D2AFA}" name="Column15736"/>
    <tableColumn id="15740" xr3:uid="{326FE7F6-88DA-46D3-90DD-3531F69B6E42}" name="Column15737"/>
    <tableColumn id="15741" xr3:uid="{920ED0A0-2117-4F05-B47F-F7EA40608F66}" name="Column15738"/>
    <tableColumn id="15742" xr3:uid="{344C2ACA-C32D-46C3-A0FC-B80EAA998B7A}" name="Column15739"/>
    <tableColumn id="15743" xr3:uid="{D1A52F94-5242-449D-A40B-47E0D299B749}" name="Column15740"/>
    <tableColumn id="15744" xr3:uid="{6E1C72B2-2DBC-4B1E-AFD9-52C8991D9E5A}" name="Column15741"/>
    <tableColumn id="15745" xr3:uid="{81F4B160-77AA-4864-8FA7-E4EB03BCFC11}" name="Column15742"/>
    <tableColumn id="15746" xr3:uid="{82E7B06D-9BFA-42D2-B6DE-39DEEAE8879D}" name="Column15743"/>
    <tableColumn id="15747" xr3:uid="{292100B3-5171-4B04-A9E1-8F9E93A53FD7}" name="Column15744"/>
    <tableColumn id="15748" xr3:uid="{EEFA6208-E5EF-4CCB-82C0-B0403DA902C7}" name="Column15745"/>
    <tableColumn id="15749" xr3:uid="{60BB47C4-AB67-4C5E-B9B4-ECF88692AB25}" name="Column15746"/>
    <tableColumn id="15750" xr3:uid="{DA4F9EFE-EA40-4E3F-91C3-829E8EC9453F}" name="Column15747"/>
    <tableColumn id="15751" xr3:uid="{841F6D30-1898-484D-954D-C4E77963F9D7}" name="Column15748"/>
    <tableColumn id="15752" xr3:uid="{8276A57F-0955-4A32-B18A-03F4A3A94D43}" name="Column15749"/>
    <tableColumn id="15753" xr3:uid="{3C3F0B5E-22FB-4A3B-BA37-C5498A0C9629}" name="Column15750"/>
    <tableColumn id="15754" xr3:uid="{21F21CD2-F02E-4316-B5DC-3FB47B1A749E}" name="Column15751"/>
    <tableColumn id="15755" xr3:uid="{7B47A6FD-4699-4AA3-A62D-1F20494F8711}" name="Column15752"/>
    <tableColumn id="15756" xr3:uid="{41CC38D0-B72C-4C1A-BB84-E0FCE7266E1D}" name="Column15753"/>
    <tableColumn id="15757" xr3:uid="{267DAE25-22A0-4712-BDA0-80E9996ACF1F}" name="Column15754"/>
    <tableColumn id="15758" xr3:uid="{BB02246E-5718-4B2F-A258-974AAD563527}" name="Column15755"/>
    <tableColumn id="15759" xr3:uid="{589C81E0-AAE2-4369-82F1-7E8D12F695A1}" name="Column15756"/>
    <tableColumn id="15760" xr3:uid="{79F5F1BB-C3BC-441F-9465-4B462311F39A}" name="Column15757"/>
    <tableColumn id="15761" xr3:uid="{D2965D2B-8F12-48D1-80F5-1D8F9DA2D841}" name="Column15758"/>
    <tableColumn id="15762" xr3:uid="{1C61DAA1-2948-46C0-A69A-4945BA85DA3C}" name="Column15759"/>
    <tableColumn id="15763" xr3:uid="{C2176888-B87B-4A14-9734-5AF12CDB23E1}" name="Column15760"/>
    <tableColumn id="15764" xr3:uid="{C4FD9B96-CDAD-4106-B2FC-C6E788FD4983}" name="Column15761"/>
    <tableColumn id="15765" xr3:uid="{600F5680-6B1E-4CB7-98B0-58D8EC5293C1}" name="Column15762"/>
    <tableColumn id="15766" xr3:uid="{1B6DEFD6-C570-416A-81F4-A4EF7F4C59E3}" name="Column15763"/>
    <tableColumn id="15767" xr3:uid="{2BFAB383-B8EB-4066-BA27-E226CF2B85DE}" name="Column15764"/>
    <tableColumn id="15768" xr3:uid="{4EFDC4DF-C9A5-4970-BFDC-D75A255C63C2}" name="Column15765"/>
    <tableColumn id="15769" xr3:uid="{834631F5-0058-48D7-9DF3-C426784875FC}" name="Column15766"/>
    <tableColumn id="15770" xr3:uid="{9A95F079-1105-44A2-A121-D96991182A98}" name="Column15767"/>
    <tableColumn id="15771" xr3:uid="{DFD15094-1EDD-4A60-BA58-ED3A58FB8A3B}" name="Column15768"/>
    <tableColumn id="15772" xr3:uid="{69D77A25-C293-4321-B28C-B46B2071335E}" name="Column15769"/>
    <tableColumn id="15773" xr3:uid="{84A79DB6-556E-402F-89EA-91F672B6EE0F}" name="Column15770"/>
    <tableColumn id="15774" xr3:uid="{CA6B9D94-E401-4FF2-9E27-CF9BE7BB8883}" name="Column15771"/>
    <tableColumn id="15775" xr3:uid="{4727F1DF-C1A6-4C20-BE76-0388496B2A81}" name="Column15772"/>
    <tableColumn id="15776" xr3:uid="{C29F0688-F136-44B3-A1FB-15671E62D94C}" name="Column15773"/>
    <tableColumn id="15777" xr3:uid="{B6F08F63-CD45-4407-9AC0-419C075A7C4D}" name="Column15774"/>
    <tableColumn id="15778" xr3:uid="{7569D1F2-0346-4F5C-9680-8165CD4CB005}" name="Column15775"/>
    <tableColumn id="15779" xr3:uid="{77939F36-F661-4B3B-9B00-77E792B1ABBB}" name="Column15776"/>
    <tableColumn id="15780" xr3:uid="{FD44E30C-D895-4041-8709-4437E0C58E2C}" name="Column15777"/>
    <tableColumn id="15781" xr3:uid="{1163B5C1-27CF-4A89-99A5-9D3F18689DE8}" name="Column15778"/>
    <tableColumn id="15782" xr3:uid="{F1F70974-45FC-49F8-B350-9E988064A832}" name="Column15779"/>
    <tableColumn id="15783" xr3:uid="{8F9E8962-BBF4-4C6D-8DDC-4A75EEBD1DA4}" name="Column15780"/>
    <tableColumn id="15784" xr3:uid="{35DCFA17-FF80-4D67-8DDB-E84E90AE4B45}" name="Column15781"/>
    <tableColumn id="15785" xr3:uid="{95F10348-4FF8-4C47-B808-7C76FF82334A}" name="Column15782"/>
    <tableColumn id="15786" xr3:uid="{9BB14705-CF9A-454D-A257-F6E93107003E}" name="Column15783"/>
    <tableColumn id="15787" xr3:uid="{F15CFD3A-7A70-4FE0-AD48-F2048EFE9A1C}" name="Column15784"/>
    <tableColumn id="15788" xr3:uid="{ADF67ABC-76CF-4062-B019-17F6E6DF29B9}" name="Column15785"/>
    <tableColumn id="15789" xr3:uid="{3D424A74-5BDA-4AB2-A4A6-14241DA04991}" name="Column15786"/>
    <tableColumn id="15790" xr3:uid="{5EEA1865-BF49-4115-AE8C-F496BC8DC65E}" name="Column15787"/>
    <tableColumn id="15791" xr3:uid="{F83893B8-E178-4E49-BB8B-5D289E4D194E}" name="Column15788"/>
    <tableColumn id="15792" xr3:uid="{BEB0AEF7-18BE-42F8-8ADE-4D91AB05591F}" name="Column15789"/>
    <tableColumn id="15793" xr3:uid="{BAD77965-21C4-46D1-897B-E22D2A5D7B14}" name="Column15790"/>
    <tableColumn id="15794" xr3:uid="{BCF1A9CC-D00D-4A3D-A15E-7F628AD1AA1E}" name="Column15791"/>
    <tableColumn id="15795" xr3:uid="{3BB8CA2B-59C7-42F6-B4FC-0CC3CFAE3FB7}" name="Column15792"/>
    <tableColumn id="15796" xr3:uid="{714A02DA-5DF6-4C11-B5E5-F647FE7D9BDA}" name="Column15793"/>
    <tableColumn id="15797" xr3:uid="{C1D938E0-BCF9-4FF8-8E68-D893D94B2D53}" name="Column15794"/>
    <tableColumn id="15798" xr3:uid="{9A0A7239-1E43-429A-AEA3-9B7B2240947A}" name="Column15795"/>
    <tableColumn id="15799" xr3:uid="{6F8868A3-22AE-4F76-B9C6-915CE085A2B5}" name="Column15796"/>
    <tableColumn id="15800" xr3:uid="{5E1256DF-1AC3-4A7A-8C60-16C4388F2B86}" name="Column15797"/>
    <tableColumn id="15801" xr3:uid="{AB3F613C-B400-4BE4-ABFF-76782B9AE758}" name="Column15798"/>
    <tableColumn id="15802" xr3:uid="{BAD7D2C7-B0A6-4116-873F-3945D47C16D5}" name="Column15799"/>
    <tableColumn id="15803" xr3:uid="{652E7AAD-A12B-4EDE-9CB4-9197FC39251C}" name="Column15800"/>
    <tableColumn id="15804" xr3:uid="{E9854FE5-23D0-4335-AF82-2057D2BE91F4}" name="Column15801"/>
    <tableColumn id="15805" xr3:uid="{61080BA3-416C-42B1-9CB2-B44B4457A1E8}" name="Column15802"/>
    <tableColumn id="15806" xr3:uid="{3B88F58F-DF7F-42F2-ABB4-672974C7FF38}" name="Column15803"/>
    <tableColumn id="15807" xr3:uid="{22EA0A4F-CC4E-4196-9178-36AD605CD357}" name="Column15804"/>
    <tableColumn id="15808" xr3:uid="{01CFC061-3CC7-4AB7-9F52-B6D0F334A61D}" name="Column15805"/>
    <tableColumn id="15809" xr3:uid="{23D07701-E314-4C70-8432-66B5D512653E}" name="Column15806"/>
    <tableColumn id="15810" xr3:uid="{E22171D4-47B4-4559-8EDD-C467E1E19488}" name="Column15807"/>
    <tableColumn id="15811" xr3:uid="{02A8612D-4417-4F17-AC17-4E34B4A5ECF2}" name="Column15808"/>
    <tableColumn id="15812" xr3:uid="{94EC7FE9-5554-4533-BE69-8FD4CA1DDFFC}" name="Column15809"/>
    <tableColumn id="15813" xr3:uid="{91B9980A-934D-4FFC-82DB-CFB0AEB5F56B}" name="Column15810"/>
    <tableColumn id="15814" xr3:uid="{0E233697-CC70-4783-8112-D5D0509D2622}" name="Column15811"/>
    <tableColumn id="15815" xr3:uid="{5BBBDF87-4986-43A9-94B2-25F28DDFE578}" name="Column15812"/>
    <tableColumn id="15816" xr3:uid="{70054582-CB4B-4D5E-9359-6041C578A082}" name="Column15813"/>
    <tableColumn id="15817" xr3:uid="{21390D26-FE3A-455E-8AB6-384118D762A9}" name="Column15814"/>
    <tableColumn id="15818" xr3:uid="{BF4A3266-F086-4CF2-A8AA-0442628F38B4}" name="Column15815"/>
    <tableColumn id="15819" xr3:uid="{5C867413-EDE4-435E-9D24-9866105686AE}" name="Column15816"/>
    <tableColumn id="15820" xr3:uid="{363DB339-0E53-4273-AF0D-1F7C1830C5E5}" name="Column15817"/>
    <tableColumn id="15821" xr3:uid="{066FD6E7-1BDE-46B0-A3A0-D8597888E686}" name="Column15818"/>
    <tableColumn id="15822" xr3:uid="{2692C642-8FCA-483D-B7D8-C3087C20551D}" name="Column15819"/>
    <tableColumn id="15823" xr3:uid="{E3241A3B-C931-451B-8192-F6B933A711EB}" name="Column15820"/>
    <tableColumn id="15824" xr3:uid="{9DF21689-6A01-4AC6-A222-87BCD63271E1}" name="Column15821"/>
    <tableColumn id="15825" xr3:uid="{EA2D448F-3B25-4186-B359-EB454763F7F4}" name="Column15822"/>
    <tableColumn id="15826" xr3:uid="{2862D309-207F-4601-A5C4-A3B2C2C8571C}" name="Column15823"/>
    <tableColumn id="15827" xr3:uid="{FA0801F8-8510-4D44-8F33-B2E35A7A1134}" name="Column15824"/>
    <tableColumn id="15828" xr3:uid="{57E23A6A-8D61-4876-97C2-A905883C92B3}" name="Column15825"/>
    <tableColumn id="15829" xr3:uid="{797D31C6-0DC2-458F-BF9C-7C4E58C055AC}" name="Column15826"/>
    <tableColumn id="15830" xr3:uid="{7F750E0F-EE76-4504-8FC4-81EC0B46A03E}" name="Column15827"/>
    <tableColumn id="15831" xr3:uid="{4B800F99-C581-45D6-BCC1-8917EA26AC55}" name="Column15828"/>
    <tableColumn id="15832" xr3:uid="{BB533315-22F6-444B-9130-147457BDEBCE}" name="Column15829"/>
    <tableColumn id="15833" xr3:uid="{83806CC7-1313-4979-A851-4CE3386333E7}" name="Column15830"/>
    <tableColumn id="15834" xr3:uid="{6F6968FC-EDA2-487A-B9C8-803572E28BAB}" name="Column15831"/>
    <tableColumn id="15835" xr3:uid="{EBDED0E3-E7AF-4165-BEB5-63838C87EA65}" name="Column15832"/>
    <tableColumn id="15836" xr3:uid="{717D8EC8-3428-43E7-A867-0D8F509F5AA6}" name="Column15833"/>
    <tableColumn id="15837" xr3:uid="{913E2CF9-13BA-45ED-B518-5A6855DB1C5B}" name="Column15834"/>
    <tableColumn id="15838" xr3:uid="{5ECD15F9-4EA0-489D-BAB8-48F4F0679721}" name="Column15835"/>
    <tableColumn id="15839" xr3:uid="{9ADEB1F9-ED72-48AD-B79C-9507D5533C38}" name="Column15836"/>
    <tableColumn id="15840" xr3:uid="{3C1CE323-85AA-4EFB-9123-75FBEDD38148}" name="Column15837"/>
    <tableColumn id="15841" xr3:uid="{2AB11E3B-5C96-480C-97A2-4F4FEEDF629C}" name="Column15838"/>
    <tableColumn id="15842" xr3:uid="{6C0368AF-0722-4CB0-98D5-51B83F95853D}" name="Column15839"/>
    <tableColumn id="15843" xr3:uid="{F71A419B-0312-4361-8342-BBAF6F38AEFA}" name="Column15840"/>
    <tableColumn id="15844" xr3:uid="{A58583C8-DEF1-4CBE-989F-CDB806EBCBB7}" name="Column15841"/>
    <tableColumn id="15845" xr3:uid="{380BA9FC-AC89-40CB-9D27-84AF1BDD3136}" name="Column15842"/>
    <tableColumn id="15846" xr3:uid="{7C2C84DB-B17C-4BBF-9669-5BE51F8209F8}" name="Column15843"/>
    <tableColumn id="15847" xr3:uid="{8E2CD794-2C88-4CD8-A8E5-66ED339E1768}" name="Column15844"/>
    <tableColumn id="15848" xr3:uid="{7ECA9B5D-FFC5-48F0-93DE-9536884CDA25}" name="Column15845"/>
    <tableColumn id="15849" xr3:uid="{80D37DC3-158F-4064-826F-EC2B7BBD4CD3}" name="Column15846"/>
    <tableColumn id="15850" xr3:uid="{13004475-F49C-46F1-BDA7-8B6335EFE942}" name="Column15847"/>
    <tableColumn id="15851" xr3:uid="{D529C55D-D8EC-4B44-95F8-44C4C13E25A1}" name="Column15848"/>
    <tableColumn id="15852" xr3:uid="{D1EFC309-1D46-41EB-B4ED-CC815696A2A4}" name="Column15849"/>
    <tableColumn id="15853" xr3:uid="{62CEA72C-C949-491E-9997-E89FAD894093}" name="Column15850"/>
    <tableColumn id="15854" xr3:uid="{522D9A52-A9DA-4FEC-9EAC-4CC59CA94335}" name="Column15851"/>
    <tableColumn id="15855" xr3:uid="{28E4A31B-3507-4E64-B951-C05142491D7F}" name="Column15852"/>
    <tableColumn id="15856" xr3:uid="{2918424A-5ABF-418D-8589-E4DBDF797FAB}" name="Column15853"/>
    <tableColumn id="15857" xr3:uid="{2B8415DC-6C38-431E-8CC0-33C1CFA672E1}" name="Column15854"/>
    <tableColumn id="15858" xr3:uid="{8C7A73CD-3B49-427A-B03A-5D0A22AC899B}" name="Column15855"/>
    <tableColumn id="15859" xr3:uid="{CC1F7A08-60F1-43E2-B6D9-77A2BEE4551F}" name="Column15856"/>
    <tableColumn id="15860" xr3:uid="{9A58E0DA-DF24-408B-9578-3B3E956AC601}" name="Column15857"/>
    <tableColumn id="15861" xr3:uid="{0C581D9E-8981-44B2-8053-7900815C0A30}" name="Column15858"/>
    <tableColumn id="15862" xr3:uid="{12BF5163-A36B-4D9C-8021-AADD7ABF1795}" name="Column15859"/>
    <tableColumn id="15863" xr3:uid="{170B5AEA-DC32-4358-BE40-E0F4C9F9F299}" name="Column15860"/>
    <tableColumn id="15864" xr3:uid="{EC199FC0-6A8F-42C9-8C4E-714324E6835E}" name="Column15861"/>
    <tableColumn id="15865" xr3:uid="{F0B480EF-ECB9-44BD-B78B-2E8C82885960}" name="Column15862"/>
    <tableColumn id="15866" xr3:uid="{546B0B6F-28B2-43B3-8E6A-38841E2CC759}" name="Column15863"/>
    <tableColumn id="15867" xr3:uid="{8C4DDDC2-2AD2-4A97-85D3-CD6A35927137}" name="Column15864"/>
    <tableColumn id="15868" xr3:uid="{A5F1C64F-92BE-4FB3-93D0-CFAE7DA1FF19}" name="Column15865"/>
    <tableColumn id="15869" xr3:uid="{56371452-2B8D-439C-83B5-2316D7ACBAC4}" name="Column15866"/>
    <tableColumn id="15870" xr3:uid="{EE606AC9-FFD3-4C75-BB63-3768973294C6}" name="Column15867"/>
    <tableColumn id="15871" xr3:uid="{5447D350-66A6-4B3C-B327-E5B69CB73E51}" name="Column15868"/>
    <tableColumn id="15872" xr3:uid="{F992F613-A807-41A4-8B9E-D67EAE35403F}" name="Column15869"/>
    <tableColumn id="15873" xr3:uid="{4E6ED3D9-212D-4DA7-BA46-4D2578427889}" name="Column15870"/>
    <tableColumn id="15874" xr3:uid="{F237ADF6-9A7A-44E1-AA08-B3112E918979}" name="Column15871"/>
    <tableColumn id="15875" xr3:uid="{E058FA7A-5C1E-4BCD-8DE8-F24428F88C02}" name="Column15872"/>
    <tableColumn id="15876" xr3:uid="{D1C62CC4-D010-41D1-ABE0-22277F65C78C}" name="Column15873"/>
    <tableColumn id="15877" xr3:uid="{7229F348-CA4B-4B79-AC5A-148F0764A229}" name="Column15874"/>
    <tableColumn id="15878" xr3:uid="{8232C709-C0FF-4382-B84F-2B9F648DEB79}" name="Column15875"/>
    <tableColumn id="15879" xr3:uid="{3D9E31F5-E99C-4CC3-B5F7-CAC120C691D1}" name="Column15876"/>
    <tableColumn id="15880" xr3:uid="{A8BE3BD3-8EBC-4018-82E0-ADAAF72C1A9D}" name="Column15877"/>
    <tableColumn id="15881" xr3:uid="{1984A12D-053C-4C13-B167-FFFDC8E8164D}" name="Column15878"/>
    <tableColumn id="15882" xr3:uid="{558CB6E8-893C-415A-BD44-71AF30867308}" name="Column15879"/>
    <tableColumn id="15883" xr3:uid="{39F7EC35-C399-401B-BE0A-A759B687431F}" name="Column15880"/>
    <tableColumn id="15884" xr3:uid="{9F82011E-4A66-48B4-A79C-87B85D7368F7}" name="Column15881"/>
    <tableColumn id="15885" xr3:uid="{9633E697-6672-4EE9-9979-CAF474604137}" name="Column15882"/>
    <tableColumn id="15886" xr3:uid="{1BA4D411-D944-408C-B9F1-C09369F1AF0E}" name="Column15883"/>
    <tableColumn id="15887" xr3:uid="{DBB32C93-1D52-4167-AB20-7C678348BA59}" name="Column15884"/>
    <tableColumn id="15888" xr3:uid="{F0830D7C-C70E-4077-8538-C50042BA7BB1}" name="Column15885"/>
    <tableColumn id="15889" xr3:uid="{F6831031-1ACC-4D38-8309-E85FB84A48B7}" name="Column15886"/>
    <tableColumn id="15890" xr3:uid="{0DE6F442-CF0C-4EB1-AB10-3E841F52B324}" name="Column15887"/>
    <tableColumn id="15891" xr3:uid="{73640E68-1E7E-4B7A-8D77-60BDA82980DD}" name="Column15888"/>
    <tableColumn id="15892" xr3:uid="{859D7826-376B-445B-BE04-5E689CE7F2B4}" name="Column15889"/>
    <tableColumn id="15893" xr3:uid="{3F77C47E-B140-4B58-85CA-7F7A7EEA2218}" name="Column15890"/>
    <tableColumn id="15894" xr3:uid="{054688E2-9B5E-4BF6-AA25-A91AD047EDB7}" name="Column15891"/>
    <tableColumn id="15895" xr3:uid="{47C6A349-8405-4C9E-9D49-FAD6D55575F5}" name="Column15892"/>
    <tableColumn id="15896" xr3:uid="{F5B3B6B0-6CCD-4D29-AEDA-A0F917F03BBD}" name="Column15893"/>
    <tableColumn id="15897" xr3:uid="{C1F990B8-28F3-4D2A-B043-231C6CFEF0AA}" name="Column15894"/>
    <tableColumn id="15898" xr3:uid="{C004C5EF-D3AE-445D-9987-7566830E5ABE}" name="Column15895"/>
    <tableColumn id="15899" xr3:uid="{ACD5F266-DA16-4824-9121-CF63A7C0BC66}" name="Column15896"/>
    <tableColumn id="15900" xr3:uid="{9BAE72A6-CFA2-4B54-8367-7F46E01AF818}" name="Column15897"/>
    <tableColumn id="15901" xr3:uid="{655DA932-3CD4-4912-863C-560D25587E9E}" name="Column15898"/>
    <tableColumn id="15902" xr3:uid="{7F6F6052-53A1-4E8B-8519-8A0406759FE1}" name="Column15899"/>
    <tableColumn id="15903" xr3:uid="{C84AB542-8A0B-4176-B71E-E1634271BBB2}" name="Column15900"/>
    <tableColumn id="15904" xr3:uid="{F84176A4-DD4E-4E03-87B0-D93E438F0DDA}" name="Column15901"/>
    <tableColumn id="15905" xr3:uid="{479EB48D-19A1-4E4F-A9B9-F9B18730C4E4}" name="Column15902"/>
    <tableColumn id="15906" xr3:uid="{83245AE8-AA35-4B4E-9E3A-E0A4ECEF7356}" name="Column15903"/>
    <tableColumn id="15907" xr3:uid="{5141BD30-E867-4C0D-B1CC-C23149ACE8BB}" name="Column15904"/>
    <tableColumn id="15908" xr3:uid="{F31CFC03-826C-49F5-9942-7058F7216C02}" name="Column15905"/>
    <tableColumn id="15909" xr3:uid="{DAFCDCE4-712C-4A81-BF05-006F9C147169}" name="Column15906"/>
    <tableColumn id="15910" xr3:uid="{40F219AA-6643-47DE-AD39-0CDB2E2BD773}" name="Column15907"/>
    <tableColumn id="15911" xr3:uid="{0FC4BF41-073B-4CD0-B72A-803DD8FFB89B}" name="Column15908"/>
    <tableColumn id="15912" xr3:uid="{63D6D406-7411-41A5-8A96-17DDE854A440}" name="Column15909"/>
    <tableColumn id="15913" xr3:uid="{6B72D173-19C2-466F-BF15-4557D742B2C2}" name="Column15910"/>
    <tableColumn id="15914" xr3:uid="{72D78597-6E39-457F-9A13-48AB2333B7DE}" name="Column15911"/>
    <tableColumn id="15915" xr3:uid="{F4B5A57E-4DC5-4328-A223-F189DD98278D}" name="Column15912"/>
    <tableColumn id="15916" xr3:uid="{37C647E0-EEC6-41A7-95BA-94CD9DCCFF5A}" name="Column15913"/>
    <tableColumn id="15917" xr3:uid="{994B8C9D-92FA-475B-AFA1-7AB88AD356E9}" name="Column15914"/>
    <tableColumn id="15918" xr3:uid="{ECE9846A-D205-409D-B1C5-88E9CE8B557E}" name="Column15915"/>
    <tableColumn id="15919" xr3:uid="{978447F3-0CB5-4519-90CF-B2C5FD9BD558}" name="Column15916"/>
    <tableColumn id="15920" xr3:uid="{509971BD-97EC-417D-8B3E-9F241364A439}" name="Column15917"/>
    <tableColumn id="15921" xr3:uid="{308A9639-8704-44F2-8C8B-74CDB7F47670}" name="Column15918"/>
    <tableColumn id="15922" xr3:uid="{4DD7C361-6FBA-4F98-81ED-9B3CE88ED49C}" name="Column15919"/>
    <tableColumn id="15923" xr3:uid="{B3D0CA39-4ED0-4FCB-93D9-C039171AA8BC}" name="Column15920"/>
    <tableColumn id="15924" xr3:uid="{D4EF6819-3529-4457-B09E-B858FA21143B}" name="Column15921"/>
    <tableColumn id="15925" xr3:uid="{2C0F2CDD-ECCF-44CF-8536-0828CFCEE222}" name="Column15922"/>
    <tableColumn id="15926" xr3:uid="{498F9B2A-503D-4D15-8100-D8A6E102B39C}" name="Column15923"/>
    <tableColumn id="15927" xr3:uid="{CD5EC01A-17A6-4033-8300-6F8912675810}" name="Column15924"/>
    <tableColumn id="15928" xr3:uid="{3FE45D75-9488-435C-8A80-1CC5DE51FFFF}" name="Column15925"/>
    <tableColumn id="15929" xr3:uid="{6F7EEBCD-38B3-4C3D-BDA4-D72F4E984542}" name="Column15926"/>
    <tableColumn id="15930" xr3:uid="{BCFEC46A-07DB-43C5-B5F9-7BBE21A6B37E}" name="Column15927"/>
    <tableColumn id="15931" xr3:uid="{295B0939-DBDF-4517-9DB2-259F294F02E8}" name="Column15928"/>
    <tableColumn id="15932" xr3:uid="{0113E75E-C426-40B4-93B4-91A2399CAA7E}" name="Column15929"/>
    <tableColumn id="15933" xr3:uid="{17C897C0-0D03-4A0A-9E01-AF7D35F8F004}" name="Column15930"/>
    <tableColumn id="15934" xr3:uid="{4E1F5497-35D3-4EAE-8725-3F277848AB99}" name="Column15931"/>
    <tableColumn id="15935" xr3:uid="{BDC890F3-B380-4715-8E61-BBB8D0E29756}" name="Column15932"/>
    <tableColumn id="15936" xr3:uid="{37F5287B-E663-4516-A633-3287431C21EE}" name="Column15933"/>
    <tableColumn id="15937" xr3:uid="{23196E8E-B774-4B94-9672-6F8D5483D2FE}" name="Column15934"/>
    <tableColumn id="15938" xr3:uid="{DCCE277F-12B0-4F34-8AE3-CA7C9EF69278}" name="Column15935"/>
    <tableColumn id="15939" xr3:uid="{14119B29-8AAF-4EA4-B175-ACED8E226E64}" name="Column15936"/>
    <tableColumn id="15940" xr3:uid="{315E1B27-AA51-431B-8E6A-02527EBB0405}" name="Column15937"/>
    <tableColumn id="15941" xr3:uid="{A960B9A7-326A-4E24-906A-16278D9A9723}" name="Column15938"/>
    <tableColumn id="15942" xr3:uid="{5B62452C-752D-4885-B761-3D9D738AA8E5}" name="Column15939"/>
    <tableColumn id="15943" xr3:uid="{DCF55603-53D7-4C7F-AE2C-43B25FBBD624}" name="Column15940"/>
    <tableColumn id="15944" xr3:uid="{09CD63AB-066A-4DE4-86A8-9AAF96875843}" name="Column15941"/>
    <tableColumn id="15945" xr3:uid="{D3063C39-A60A-4EEA-9DBE-B305EC16FC7A}" name="Column15942"/>
    <tableColumn id="15946" xr3:uid="{568F8671-EABC-40F8-B19A-E36B7EBAD5C4}" name="Column15943"/>
    <tableColumn id="15947" xr3:uid="{B11117D4-2E8C-4BE5-9C7A-9E60A586C62D}" name="Column15944"/>
    <tableColumn id="15948" xr3:uid="{BAF9AEB3-D83F-4D68-8633-C8EC832F0E46}" name="Column15945"/>
    <tableColumn id="15949" xr3:uid="{2FFC3BBC-91BD-4650-8725-5479A6AE55AE}" name="Column15946"/>
    <tableColumn id="15950" xr3:uid="{420B1BDC-93BF-4652-A273-BB9FFF118923}" name="Column15947"/>
    <tableColumn id="15951" xr3:uid="{B9661E5F-B941-4850-8B91-CF1F204C45B0}" name="Column15948"/>
    <tableColumn id="15952" xr3:uid="{1B490307-126C-44F6-8BB3-9688964151F3}" name="Column15949"/>
    <tableColumn id="15953" xr3:uid="{0522B1F1-01F9-4179-A78C-0DD55295CB9E}" name="Column15950"/>
    <tableColumn id="15954" xr3:uid="{A09A1AF5-B6E8-4B8B-BE7E-06BFF7FFE1D4}" name="Column15951"/>
    <tableColumn id="15955" xr3:uid="{2E65A585-FE79-4729-A469-CD1C9F194E22}" name="Column15952"/>
    <tableColumn id="15956" xr3:uid="{B00FDF78-2CF7-4C1F-B80B-2CAC72C96D2F}" name="Column15953"/>
    <tableColumn id="15957" xr3:uid="{67961E02-C555-4DF5-B0BE-9D3F1B85F5D1}" name="Column15954"/>
    <tableColumn id="15958" xr3:uid="{0FD8C06C-38A2-4C9A-9733-3E189DDD989D}" name="Column15955"/>
    <tableColumn id="15959" xr3:uid="{3E8F23D0-928A-4275-8BBD-ADD6E8242462}" name="Column15956"/>
    <tableColumn id="15960" xr3:uid="{BD81D691-D28E-4382-9405-7BAF37ECE3FB}" name="Column15957"/>
    <tableColumn id="15961" xr3:uid="{9AC4C1AE-460D-4E91-B44A-89F039C75788}" name="Column15958"/>
    <tableColumn id="15962" xr3:uid="{3FF06B9D-1653-4725-8CEF-85A3D99E1DE8}" name="Column15959"/>
    <tableColumn id="15963" xr3:uid="{2F5827B9-3E98-4A59-9073-A00F4A385311}" name="Column15960"/>
    <tableColumn id="15964" xr3:uid="{E1A2F8C9-2F4F-4DB6-9160-B0BDCD438120}" name="Column15961"/>
    <tableColumn id="15965" xr3:uid="{10BF2F6D-66FB-4FC4-99DA-6C7655FF3195}" name="Column15962"/>
    <tableColumn id="15966" xr3:uid="{FB01909D-C6A8-4A69-84C9-3D2B656CD1B8}" name="Column15963"/>
    <tableColumn id="15967" xr3:uid="{2A4E2D83-40B5-4A35-A47C-583C4D689048}" name="Column15964"/>
    <tableColumn id="15968" xr3:uid="{73A655D5-4B65-46F9-803C-2A79EA3E11CE}" name="Column15965"/>
    <tableColumn id="15969" xr3:uid="{F940314D-43B9-432F-93AA-DEBAA4836874}" name="Column15966"/>
    <tableColumn id="15970" xr3:uid="{1CA1B4C0-FEE4-4C66-B727-417B14D731A3}" name="Column15967"/>
    <tableColumn id="15971" xr3:uid="{58FAB491-3F8B-4D97-A329-EAAE2F6427F2}" name="Column15968"/>
    <tableColumn id="15972" xr3:uid="{3F6C78F2-38DE-4DAF-AF38-E947216EA330}" name="Column15969"/>
    <tableColumn id="15973" xr3:uid="{F10DE5B6-87F0-4FB2-8A9C-DB88B8223C5D}" name="Column15970"/>
    <tableColumn id="15974" xr3:uid="{10946447-DA10-42D2-A541-0D592F6ADB55}" name="Column15971"/>
    <tableColumn id="15975" xr3:uid="{AD7A8322-5700-4D84-A4F5-4A8E0D60AC6B}" name="Column15972"/>
    <tableColumn id="15976" xr3:uid="{CDB67726-F74C-4979-B6FA-972422CDBC58}" name="Column15973"/>
    <tableColumn id="15977" xr3:uid="{AC8F01CE-E590-4CE7-9399-D5ED3A6C1FDF}" name="Column15974"/>
    <tableColumn id="15978" xr3:uid="{75D8FC35-6BC5-4DC6-827F-ADDE6344EB4F}" name="Column15975"/>
    <tableColumn id="15979" xr3:uid="{6CDC050B-5207-4860-AF94-AD01B1CBC9B3}" name="Column15976"/>
    <tableColumn id="15980" xr3:uid="{F176F3B9-14A5-4119-A2A4-927CBC7F69E3}" name="Column15977"/>
    <tableColumn id="15981" xr3:uid="{CB64563B-329B-40CD-B0CC-3D7BF49A63AB}" name="Column15978"/>
    <tableColumn id="15982" xr3:uid="{E53EAD53-40E5-439A-859F-FB03E8C1D0E2}" name="Column15979"/>
    <tableColumn id="15983" xr3:uid="{1B423CA9-3AC9-4D0B-B3EA-F7577519703C}" name="Column15980"/>
    <tableColumn id="15984" xr3:uid="{9193D710-A9B7-4C19-84B9-8A01DB623610}" name="Column15981"/>
    <tableColumn id="15985" xr3:uid="{6B670ABA-8A09-4D25-B77C-F8E834AAB1BA}" name="Column15982"/>
    <tableColumn id="15986" xr3:uid="{73636EE3-1F02-4FC8-87FC-D3F41F4F9B13}" name="Column15983"/>
    <tableColumn id="15987" xr3:uid="{A0EBB8EE-3C91-46A7-8BC5-9ACE885F2A49}" name="Column15984"/>
    <tableColumn id="15988" xr3:uid="{A56C269B-6D57-4835-9D96-904DC8A9EFFB}" name="Column15985"/>
    <tableColumn id="15989" xr3:uid="{5A7E732D-BBB7-43A0-ABFA-77E926AAFE43}" name="Column15986"/>
    <tableColumn id="15990" xr3:uid="{D9EE6339-24CB-4861-A5BA-B4271BD4A8BA}" name="Column15987"/>
    <tableColumn id="15991" xr3:uid="{3FAE26F9-D0A0-48F4-BCA3-70B95C9ADF86}" name="Column15988"/>
    <tableColumn id="15992" xr3:uid="{79373707-F3F4-4D8F-A9C8-55C888CE3D8A}" name="Column15989"/>
    <tableColumn id="15993" xr3:uid="{BDFF91BC-B6B9-4348-AE02-A35F4E2A7E30}" name="Column15990"/>
    <tableColumn id="15994" xr3:uid="{EEDDD124-A402-46A7-A438-3757B9A9A296}" name="Column15991"/>
    <tableColumn id="15995" xr3:uid="{BC01B71E-ACF6-4F27-A615-A1D5AFFC0878}" name="Column15992"/>
    <tableColumn id="15996" xr3:uid="{AB3BBB95-AE8A-4D23-8E66-6BF57AC51144}" name="Column15993"/>
    <tableColumn id="15997" xr3:uid="{ADBDB799-D656-43AC-A6C5-E12D5D723949}" name="Column15994"/>
    <tableColumn id="15998" xr3:uid="{4602A62D-AE97-4F2B-B927-32B00B2F59FC}" name="Column15995"/>
    <tableColumn id="15999" xr3:uid="{AB157253-CAF1-40FB-9CAF-36065B03E85D}" name="Column15996"/>
    <tableColumn id="16000" xr3:uid="{EECEF767-01C0-497C-9358-98A392F54823}" name="Column15997"/>
    <tableColumn id="16001" xr3:uid="{FBB7AF4E-4B87-45BC-AC40-87FE27341FB4}" name="Column15998"/>
    <tableColumn id="16002" xr3:uid="{029253DF-EC28-4190-A855-DA610F278995}" name="Column15999"/>
    <tableColumn id="16003" xr3:uid="{065EAB5F-9D70-4B10-8D18-34FFFD8595E7}" name="Column16000"/>
    <tableColumn id="16004" xr3:uid="{5A3EDC21-6DE5-4669-91C7-B4578010950F}" name="Column16001"/>
    <tableColumn id="16005" xr3:uid="{3C911085-CBA4-474F-BC9F-7D5AD966F46C}" name="Column16002"/>
    <tableColumn id="16006" xr3:uid="{BE605359-7708-4EA0-99CC-8A6AE966E9A2}" name="Column16003"/>
    <tableColumn id="16007" xr3:uid="{1DD92C6C-51E0-4315-9667-CF5960CAA6DA}" name="Column16004"/>
    <tableColumn id="16008" xr3:uid="{2A6E927D-5A73-4052-A46B-2F257FA51327}" name="Column16005"/>
    <tableColumn id="16009" xr3:uid="{7D86C72A-AB22-453A-90D0-F6C8E85793F3}" name="Column16006"/>
    <tableColumn id="16010" xr3:uid="{960E285A-4D8E-4B54-BC55-BFD5290E7083}" name="Column16007"/>
    <tableColumn id="16011" xr3:uid="{6959EC2A-C099-4748-9193-8C00302EC1E2}" name="Column16008"/>
    <tableColumn id="16012" xr3:uid="{804B738D-5569-4132-82CE-4FEB980B7A2D}" name="Column16009"/>
    <tableColumn id="16013" xr3:uid="{A9030AFF-0EB6-4D0C-BC4C-B95636E22F4B}" name="Column16010"/>
    <tableColumn id="16014" xr3:uid="{CD4DAFAC-97ED-4C6C-BC46-37B7BF40CB97}" name="Column16011"/>
    <tableColumn id="16015" xr3:uid="{9FA3E8C0-FE58-4E74-8337-13C7E2D08221}" name="Column16012"/>
    <tableColumn id="16016" xr3:uid="{4FB36DDD-AB20-42EA-8E41-B251790D74C9}" name="Column16013"/>
    <tableColumn id="16017" xr3:uid="{37560E7D-0198-4B14-94C4-6531CF9FF0F0}" name="Column16014"/>
    <tableColumn id="16018" xr3:uid="{2193893D-A22A-4D47-B3BD-E6AA62D5C6DF}" name="Column16015"/>
    <tableColumn id="16019" xr3:uid="{9ACC6BF8-50B1-4BD8-A10A-C0099AE97B73}" name="Column16016"/>
    <tableColumn id="16020" xr3:uid="{3B62193E-AB39-4FDC-9E94-72FFE4873ACA}" name="Column16017"/>
    <tableColumn id="16021" xr3:uid="{6761735A-9C71-4E05-8F11-737BEA09C89C}" name="Column16018"/>
    <tableColumn id="16022" xr3:uid="{65259BEE-6EBC-4EFC-9E5A-97ED52BB94A6}" name="Column16019"/>
    <tableColumn id="16023" xr3:uid="{F006A436-A1B7-4B74-9E80-ECE0DEB62C3D}" name="Column16020"/>
    <tableColumn id="16024" xr3:uid="{37F219B5-E6EC-4895-8412-8E79A555368F}" name="Column16021"/>
    <tableColumn id="16025" xr3:uid="{CA0AAB00-02C4-42D8-82D6-47B986010E43}" name="Column16022"/>
    <tableColumn id="16026" xr3:uid="{B099BEE1-3552-4CE6-A3BE-4CE8D806B62B}" name="Column16023"/>
    <tableColumn id="16027" xr3:uid="{33CF3F01-DFC3-4CC4-A880-7D36FC1660AA}" name="Column16024"/>
    <tableColumn id="16028" xr3:uid="{B72288D6-157E-45EE-8F66-7BB44A1DAF3B}" name="Column16025"/>
    <tableColumn id="16029" xr3:uid="{CE2ED19D-4CDE-4713-85BE-4E2C07D4121C}" name="Column16026"/>
    <tableColumn id="16030" xr3:uid="{847E7B3C-FBD6-4164-9285-EE3BC8329F5A}" name="Column16027"/>
    <tableColumn id="16031" xr3:uid="{29E6458D-4384-4185-B08F-8387E8F09E0B}" name="Column16028"/>
    <tableColumn id="16032" xr3:uid="{157EF913-D3FE-428C-8721-EE178C8CD0D1}" name="Column16029"/>
    <tableColumn id="16033" xr3:uid="{90CB3E7A-4617-430C-85B3-AF4AE06C4252}" name="Column16030"/>
    <tableColumn id="16034" xr3:uid="{F2544FCA-1B6E-4844-AB29-439F76DA0843}" name="Column16031"/>
    <tableColumn id="16035" xr3:uid="{6CC952AA-B472-44FB-9A5E-34AB65A8BE02}" name="Column16032"/>
    <tableColumn id="16036" xr3:uid="{2DB71A2A-4908-48D0-BAA1-EA008C80291D}" name="Column16033"/>
    <tableColumn id="16037" xr3:uid="{9C2867C8-2832-456F-B08D-B26152D31469}" name="Column16034"/>
    <tableColumn id="16038" xr3:uid="{FEA741E1-3EA2-40EE-BBF9-20E58AF99C4F}" name="Column16035"/>
    <tableColumn id="16039" xr3:uid="{7763E542-06A5-49E5-AF74-2EDB6D017DD5}" name="Column16036"/>
    <tableColumn id="16040" xr3:uid="{10479AF9-DFB0-451F-9E58-AB8725DD3518}" name="Column16037"/>
    <tableColumn id="16041" xr3:uid="{CD307C61-CAFF-4A28-8BBF-9C0B05BF3489}" name="Column16038"/>
    <tableColumn id="16042" xr3:uid="{557D9FAC-55A4-4A02-84A4-D5E4A01F250F}" name="Column16039"/>
    <tableColumn id="16043" xr3:uid="{FB09634A-5C93-4CF4-969E-ADB53E77698C}" name="Column16040"/>
    <tableColumn id="16044" xr3:uid="{07A8E978-46CB-43B4-A84C-2E0FEB4FB373}" name="Column16041"/>
    <tableColumn id="16045" xr3:uid="{8CC5BF80-68E9-4B0B-9E02-FE868C8DDD26}" name="Column16042"/>
    <tableColumn id="16046" xr3:uid="{690A5AFA-0DA6-4517-8257-02FE77612917}" name="Column16043"/>
    <tableColumn id="16047" xr3:uid="{57F7B3FE-1C0A-4741-9512-3D12ED26E99C}" name="Column16044"/>
    <tableColumn id="16048" xr3:uid="{87C4870E-D5C2-45A2-9BBC-14756B7F7536}" name="Column16045"/>
    <tableColumn id="16049" xr3:uid="{003B3B39-EE9F-4A9E-8225-8509664766ED}" name="Column16046"/>
    <tableColumn id="16050" xr3:uid="{F52C1D3D-155A-4E7C-90D6-A03A2F6D9FAB}" name="Column16047"/>
    <tableColumn id="16051" xr3:uid="{F256941B-5A07-4660-931C-CB5C9725FC55}" name="Column16048"/>
    <tableColumn id="16052" xr3:uid="{7D30EEDF-CACF-48E0-A46E-00B02CA67F7A}" name="Column16049"/>
    <tableColumn id="16053" xr3:uid="{34856A15-5676-489A-AF15-9D83B54E9C4A}" name="Column16050"/>
    <tableColumn id="16054" xr3:uid="{6FCEF007-D045-48CC-A18F-430E471FD981}" name="Column16051"/>
    <tableColumn id="16055" xr3:uid="{B5AE1970-AFC9-40A6-96CF-7BACA5C3CE94}" name="Column16052"/>
    <tableColumn id="16056" xr3:uid="{EA5E2A01-45AB-49E8-A387-3D446D0D2BB1}" name="Column16053"/>
    <tableColumn id="16057" xr3:uid="{5B66BF0D-BACA-4E30-A92A-D95D07FC442C}" name="Column16054"/>
    <tableColumn id="16058" xr3:uid="{3346CC1B-B40E-4893-967B-5C09D110DA30}" name="Column16055"/>
    <tableColumn id="16059" xr3:uid="{12870FA2-4A85-4757-B2E6-86899934AB71}" name="Column16056"/>
    <tableColumn id="16060" xr3:uid="{7852522C-3AAC-40F1-B4FF-64A77AEC46F3}" name="Column16057"/>
    <tableColumn id="16061" xr3:uid="{D32B522B-07FF-4724-BEE9-1208AFF5B355}" name="Column16058"/>
    <tableColumn id="16062" xr3:uid="{B631CFAA-D912-4E67-B501-EAEC47ADC74D}" name="Column16059"/>
    <tableColumn id="16063" xr3:uid="{2A873039-0727-4294-BEE1-0BE217FB55E5}" name="Column16060"/>
    <tableColumn id="16064" xr3:uid="{842F757C-F215-43DD-8434-DCDFF09C455C}" name="Column16061"/>
    <tableColumn id="16065" xr3:uid="{FEC85604-87C7-491E-AC01-CB873E5EFC23}" name="Column16062"/>
    <tableColumn id="16066" xr3:uid="{67799D4C-E5CB-44A0-9F53-DA037D9717D2}" name="Column16063"/>
    <tableColumn id="16067" xr3:uid="{C3327272-5BCE-48E3-A322-24E2FDCE033C}" name="Column16064"/>
    <tableColumn id="16068" xr3:uid="{179F162E-AEE7-4D57-A292-BF65B2A6D25C}" name="Column16065"/>
    <tableColumn id="16069" xr3:uid="{033382B1-7B8C-4D08-816B-7C0BE3F2B5C9}" name="Column16066"/>
    <tableColumn id="16070" xr3:uid="{31E7DBBD-5599-4EE9-8580-5215413A59D7}" name="Column16067"/>
    <tableColumn id="16071" xr3:uid="{553CDAA8-3BCE-441C-8E8D-32BC928642B1}" name="Column16068"/>
    <tableColumn id="16072" xr3:uid="{C179AB5E-84E6-40E8-94F8-E43395982276}" name="Column16069"/>
    <tableColumn id="16073" xr3:uid="{1AF3FC04-C226-49A9-8747-BDC2F5994DDC}" name="Column16070"/>
    <tableColumn id="16074" xr3:uid="{B258B18C-8C3C-477E-883E-11F010EDD8DD}" name="Column16071"/>
    <tableColumn id="16075" xr3:uid="{F84FD1F9-6E92-48DE-ACE8-C1D2BE62DE56}" name="Column16072"/>
    <tableColumn id="16076" xr3:uid="{125BFCAC-9A4A-443C-8EBA-D4C42A2BFDED}" name="Column16073"/>
    <tableColumn id="16077" xr3:uid="{ADF1DF26-7B2F-4678-99F0-F993207C063A}" name="Column16074"/>
    <tableColumn id="16078" xr3:uid="{3B1ACC1C-2D9D-4503-AD82-66DB7B92D8D7}" name="Column16075"/>
    <tableColumn id="16079" xr3:uid="{73700E97-545A-42E9-9F2C-610DD7BFF544}" name="Column16076"/>
    <tableColumn id="16080" xr3:uid="{F6E85ABA-A35B-48EF-A068-3B1E02F71D69}" name="Column16077"/>
    <tableColumn id="16081" xr3:uid="{CA25567F-03DB-4A0A-B9F3-8146416C380C}" name="Column16078"/>
    <tableColumn id="16082" xr3:uid="{0643982F-1253-4F1C-BD67-6FE67A53B4A7}" name="Column16079"/>
    <tableColumn id="16083" xr3:uid="{28596007-58E7-45E5-9BCD-D3B2385B5B48}" name="Column16080"/>
    <tableColumn id="16084" xr3:uid="{E395DAA1-34A3-434A-8C38-ACAE20561106}" name="Column16081"/>
    <tableColumn id="16085" xr3:uid="{DE0486EE-4A62-4152-9EED-807977A21CDC}" name="Column16082"/>
    <tableColumn id="16086" xr3:uid="{656B8A32-CB25-42C0-BE54-519AE8EFAE1D}" name="Column16083"/>
    <tableColumn id="16087" xr3:uid="{AC0D7C91-9B54-4DFD-857E-846535463981}" name="Column16084"/>
    <tableColumn id="16088" xr3:uid="{7DA7A424-5B33-405A-B1B3-EFC9BCD064E3}" name="Column16085"/>
    <tableColumn id="16089" xr3:uid="{31A22015-B5D7-40E8-9752-A7F3B99ECD1D}" name="Column16086"/>
    <tableColumn id="16090" xr3:uid="{CA142CF9-9CB2-4477-8751-9EF654F79728}" name="Column16087"/>
    <tableColumn id="16091" xr3:uid="{09D963D7-308D-4738-B43F-4364711A422E}" name="Column16088"/>
    <tableColumn id="16092" xr3:uid="{65D968E7-5BAF-4BFD-BBD0-97500A11A0B3}" name="Column16089"/>
    <tableColumn id="16093" xr3:uid="{5C19CC45-0F57-4B9E-85AB-4B0DA186E096}" name="Column16090"/>
    <tableColumn id="16094" xr3:uid="{0D4E98CC-3F9A-41CF-9BED-6BAFDFC40F6F}" name="Column16091"/>
    <tableColumn id="16095" xr3:uid="{52F9F0FD-3153-482F-AA37-7EA1AB6CE492}" name="Column16092"/>
    <tableColumn id="16096" xr3:uid="{30891FDB-9C26-4538-9DE7-22A7637B25A2}" name="Column16093"/>
    <tableColumn id="16097" xr3:uid="{54156C00-3CBA-484B-8D03-2E1E010F98F4}" name="Column16094"/>
    <tableColumn id="16098" xr3:uid="{2E5EE437-FD10-42FE-97A8-7EB86775B50D}" name="Column16095"/>
    <tableColumn id="16099" xr3:uid="{6F9ECF28-6D6D-43C3-8345-4E247F1A3AE4}" name="Column16096"/>
    <tableColumn id="16100" xr3:uid="{AF5330DE-2D6B-402C-8D53-A0B03254CF33}" name="Column16097"/>
    <tableColumn id="16101" xr3:uid="{F6F576A6-7F93-41E0-93C6-815220959CF8}" name="Column16098"/>
    <tableColumn id="16102" xr3:uid="{8BFDBC69-38A1-4339-91EE-523B3BEE43ED}" name="Column16099"/>
    <tableColumn id="16103" xr3:uid="{4A748BF4-AEAE-4685-96B0-B36C7AAF1ACF}" name="Column16100"/>
    <tableColumn id="16104" xr3:uid="{0F01B6F5-5883-4523-9F0D-FAE5241DAF4A}" name="Column16101"/>
    <tableColumn id="16105" xr3:uid="{6FAF900D-A611-4E78-928B-3641F5993329}" name="Column16102"/>
    <tableColumn id="16106" xr3:uid="{DCBC462D-73E5-4EF0-A787-0DE8DA029F4A}" name="Column16103"/>
    <tableColumn id="16107" xr3:uid="{6F953E35-F1DD-4C85-B4B1-6B4FD101F02E}" name="Column16104"/>
    <tableColumn id="16108" xr3:uid="{404D1E55-530B-4B7F-8846-CF34BEC83F0F}" name="Column16105"/>
    <tableColumn id="16109" xr3:uid="{F22EE662-F38E-4E7C-9DAD-D0704DDF7916}" name="Column16106"/>
    <tableColumn id="16110" xr3:uid="{230B37CE-D32E-4CE9-8FD4-C1C7BA137569}" name="Column16107"/>
    <tableColumn id="16111" xr3:uid="{6D77D6A3-D2C4-4DF6-BBA7-C65B55C99700}" name="Column16108"/>
    <tableColumn id="16112" xr3:uid="{639FD3F6-ABDC-4909-9FC2-837A691D3E51}" name="Column16109"/>
    <tableColumn id="16113" xr3:uid="{1E4008EF-C939-441B-9D4A-072706346074}" name="Column16110"/>
    <tableColumn id="16114" xr3:uid="{B91EE8FD-65A9-4277-88BD-34EFA72C6D1C}" name="Column16111"/>
    <tableColumn id="16115" xr3:uid="{F9307FE3-A59A-4399-B577-58FF156CECA8}" name="Column16112"/>
    <tableColumn id="16116" xr3:uid="{EA93A1C8-590C-4C76-971F-0517E63302A0}" name="Column16113"/>
    <tableColumn id="16117" xr3:uid="{DA76AAC9-6EBB-4973-BADA-318A63A3B10C}" name="Column16114"/>
    <tableColumn id="16118" xr3:uid="{F7A2225F-EAF6-4C9C-AEEC-14D44307F0B8}" name="Column16115"/>
    <tableColumn id="16119" xr3:uid="{FB3021E9-2155-4576-BAC2-1B969FD62C80}" name="Column16116"/>
    <tableColumn id="16120" xr3:uid="{EA6DD38C-77D8-457B-9617-0EC74C5083B9}" name="Column16117"/>
    <tableColumn id="16121" xr3:uid="{7A2920B9-D8C6-432A-939B-AC98F89CA2E7}" name="Column16118"/>
    <tableColumn id="16122" xr3:uid="{6E7B0CEB-E13B-4B38-80E8-E8CC3AE72400}" name="Column16119"/>
    <tableColumn id="16123" xr3:uid="{404E1917-91E6-42CD-8E3A-AC02482518F1}" name="Column16120"/>
    <tableColumn id="16124" xr3:uid="{9238C77A-B854-44AB-851F-08FE50D2F970}" name="Column16121"/>
    <tableColumn id="16125" xr3:uid="{55EB9B00-698D-4A88-B076-A48FF2D86FE1}" name="Column16122"/>
    <tableColumn id="16126" xr3:uid="{1FEEB4A1-36BB-4142-AB7A-3531D2D5DB36}" name="Column16123"/>
    <tableColumn id="16127" xr3:uid="{33BC9911-6F56-4291-86A8-BD060B5C6B8E}" name="Column16124"/>
    <tableColumn id="16128" xr3:uid="{BF1E04BD-3E75-4083-BD1C-9B66CCBF9B73}" name="Column16125"/>
    <tableColumn id="16129" xr3:uid="{BE5DDBC4-984B-470D-B7CB-73C85151FCEA}" name="Column16126"/>
    <tableColumn id="16130" xr3:uid="{6221122D-96CB-426B-A359-28A408B1FD17}" name="Column16127"/>
    <tableColumn id="16131" xr3:uid="{92E00D2B-FC37-45C9-A1C7-80E4C1752189}" name="Column16128"/>
    <tableColumn id="16132" xr3:uid="{54EEEC28-C4D5-4C4B-8D44-D42C92B95264}" name="Column16129"/>
    <tableColumn id="16133" xr3:uid="{F89CC92A-E23B-430F-B8E0-282B752AA592}" name="Column16130"/>
    <tableColumn id="16134" xr3:uid="{4BDDFA68-ACBA-4459-B86C-1C12579515AD}" name="Column16131"/>
    <tableColumn id="16135" xr3:uid="{3E31904A-C381-4B4D-9757-8DBC47A15076}" name="Column16132"/>
    <tableColumn id="16136" xr3:uid="{59953ECD-1708-4DEB-9F82-8160F01E7E6D}" name="Column16133"/>
    <tableColumn id="16137" xr3:uid="{3E25C796-E11D-41D1-B4DF-8CCCEA2BFC9F}" name="Column16134"/>
    <tableColumn id="16138" xr3:uid="{2B55E033-52D3-49DE-89F6-CB395C853D9B}" name="Column16135"/>
    <tableColumn id="16139" xr3:uid="{DCAB0F45-1C01-4DEB-B375-5E2A05209B46}" name="Column16136"/>
    <tableColumn id="16140" xr3:uid="{E276357F-743C-4EDA-AA62-5C26C5E8C667}" name="Column16137"/>
    <tableColumn id="16141" xr3:uid="{E640551C-A2A8-4C37-976F-7C3B2417C785}" name="Column16138"/>
    <tableColumn id="16142" xr3:uid="{4579F52E-4F96-4E71-999C-01B13493B729}" name="Column16139"/>
    <tableColumn id="16143" xr3:uid="{C0311686-9394-4C59-B3F5-BDBE23046E55}" name="Column16140"/>
    <tableColumn id="16144" xr3:uid="{E4F049A8-138A-4AB4-BAED-4605F08E68D5}" name="Column16141"/>
    <tableColumn id="16145" xr3:uid="{39BA4491-64DD-4CE3-9294-9BD0774C86B7}" name="Column16142"/>
    <tableColumn id="16146" xr3:uid="{8854AD9F-3CC6-4FAE-A1EB-2304549EF758}" name="Column16143"/>
    <tableColumn id="16147" xr3:uid="{EF5BDC8F-527B-4D65-A65D-5CF0409198D7}" name="Column16144"/>
    <tableColumn id="16148" xr3:uid="{DBE2EE56-44F2-4884-A81C-5ACE7260EABE}" name="Column16145"/>
    <tableColumn id="16149" xr3:uid="{0FE2A71D-11D1-45F8-BF78-A5F01852A513}" name="Column16146"/>
    <tableColumn id="16150" xr3:uid="{08888389-155C-487B-B67C-2F7582F2B474}" name="Column16147"/>
    <tableColumn id="16151" xr3:uid="{84279CD9-1F8A-4F79-A5EE-62E2AABEADC4}" name="Column16148"/>
    <tableColumn id="16152" xr3:uid="{DF6C02D3-815E-4C3A-8902-96E11B523B3A}" name="Column16149"/>
    <tableColumn id="16153" xr3:uid="{38EAF2E9-F53F-4001-8B5F-92940334474C}" name="Column16150"/>
    <tableColumn id="16154" xr3:uid="{25844405-8A17-4130-BC00-240C940F770E}" name="Column16151"/>
    <tableColumn id="16155" xr3:uid="{81E3BF25-EA0C-493E-BA1D-A782B37D763F}" name="Column16152"/>
    <tableColumn id="16156" xr3:uid="{86E3C8E6-8F78-4231-A727-430375EBBDB2}" name="Column16153"/>
    <tableColumn id="16157" xr3:uid="{969906C1-4FD9-4F56-82A8-85610B43D7EF}" name="Column16154"/>
    <tableColumn id="16158" xr3:uid="{AC7C40A0-EB10-4FBE-817A-2D269FBDA4AF}" name="Column16155"/>
    <tableColumn id="16159" xr3:uid="{B9033E58-EBA8-4217-9604-C72A8040A34E}" name="Column16156"/>
    <tableColumn id="16160" xr3:uid="{17EDBF0C-71FD-4AEB-9DAE-0FDD101D329E}" name="Column16157"/>
    <tableColumn id="16161" xr3:uid="{9CF13F3D-254E-49F8-9EF1-6442AB8180AD}" name="Column16158"/>
    <tableColumn id="16162" xr3:uid="{6EDCD865-D113-4E76-9783-57007C6126EE}" name="Column16159"/>
    <tableColumn id="16163" xr3:uid="{0D70645C-F9DA-4121-BF4B-428238CA0E02}" name="Column16160"/>
    <tableColumn id="16164" xr3:uid="{92FD64B0-01FC-4ADD-80F6-1CCF9397CC7D}" name="Column16161"/>
    <tableColumn id="16165" xr3:uid="{D10DCB36-EFB5-4622-8892-C18E2B13D5EF}" name="Column16162"/>
    <tableColumn id="16166" xr3:uid="{5EE8C04C-8088-46FF-B780-58952CEDC75D}" name="Column16163"/>
    <tableColumn id="16167" xr3:uid="{A5547F68-5BBF-4673-86D6-F583B5F137DA}" name="Column16164"/>
    <tableColumn id="16168" xr3:uid="{DF9045F8-4CBF-4F12-BF8D-10689DEAB8B2}" name="Column16165"/>
    <tableColumn id="16169" xr3:uid="{92CCB401-946F-45C5-A66E-6BFE74DF5250}" name="Column16166"/>
    <tableColumn id="16170" xr3:uid="{E2D21393-5995-4FCD-8A17-13C9E4C656B9}" name="Column16167"/>
    <tableColumn id="16171" xr3:uid="{739851A1-8782-4C1C-A3CC-347A4C162F59}" name="Column16168"/>
    <tableColumn id="16172" xr3:uid="{1CB7BBA3-D149-448A-B8EB-F15A487F97BA}" name="Column16169"/>
    <tableColumn id="16173" xr3:uid="{A3AAFE26-4271-403C-A7E1-5E66A77B712E}" name="Column16170"/>
    <tableColumn id="16174" xr3:uid="{09D13B48-C154-460F-BF53-A8C05CD1C1FA}" name="Column16171"/>
    <tableColumn id="16175" xr3:uid="{5B3E20F5-12D6-4E43-B59C-5D883D7B1C54}" name="Column16172"/>
    <tableColumn id="16176" xr3:uid="{8BE77779-07DB-4A8B-89C8-7CA403AEF425}" name="Column16173"/>
    <tableColumn id="16177" xr3:uid="{D8E306F9-18E1-4250-AB0F-3EEAE079F52C}" name="Column16174"/>
    <tableColumn id="16178" xr3:uid="{4756BFF8-5844-4755-84D5-000C7A10D1CD}" name="Column16175"/>
    <tableColumn id="16179" xr3:uid="{A1E8A9B6-A2B7-48EC-A974-1DBFDFB2DAA9}" name="Column16176"/>
    <tableColumn id="16180" xr3:uid="{E6484DA4-EBA3-4016-A7F4-D896604EFEC5}" name="Column16177"/>
    <tableColumn id="16181" xr3:uid="{8E1D6D3D-B259-4C58-AC67-17DB970D2C46}" name="Column16178"/>
    <tableColumn id="16182" xr3:uid="{AB91D937-1F55-4BED-BEEB-7A9838C638B0}" name="Column16179"/>
    <tableColumn id="16183" xr3:uid="{0D5D56AF-7936-465E-A996-378E6896F6A7}" name="Column16180"/>
    <tableColumn id="16184" xr3:uid="{ADCA1866-09A2-4268-ADA3-E16ECFE1E31D}" name="Column16181"/>
    <tableColumn id="16185" xr3:uid="{4F179B2A-282C-45C3-A1D2-BB22C3D5861F}" name="Column16182"/>
    <tableColumn id="16186" xr3:uid="{E33D2609-E170-4C49-9040-6FDFF3776BA8}" name="Column16183"/>
    <tableColumn id="16187" xr3:uid="{CC3CBBF1-7BFF-4853-A09E-B678D6D20FCB}" name="Column16184"/>
    <tableColumn id="16188" xr3:uid="{55970893-1214-44AF-B03A-B3B5FFC4DFED}" name="Column16185"/>
    <tableColumn id="16189" xr3:uid="{1DFDF59D-13E3-4274-A69C-75BF57CA0BA9}" name="Column16186"/>
    <tableColumn id="16190" xr3:uid="{CF68A387-4E8C-4697-AA70-3FC4764F8840}" name="Column16187"/>
    <tableColumn id="16191" xr3:uid="{D9895028-0C20-42AB-83EE-608C7029C700}" name="Column16188"/>
    <tableColumn id="16192" xr3:uid="{A22C9D15-33B8-4C11-B868-F0A8C1BFBB02}" name="Column16189"/>
    <tableColumn id="16193" xr3:uid="{41EE4B1E-5534-4C9D-9AF1-9439BB18FA5E}" name="Column16190"/>
    <tableColumn id="16194" xr3:uid="{CE45667E-FB5D-479F-8921-322541022739}" name="Column16191"/>
    <tableColumn id="16195" xr3:uid="{B4545CED-8C0D-4E44-A9A6-79D1EF13BBFF}" name="Column16192"/>
    <tableColumn id="16196" xr3:uid="{2032D6C8-A73A-4082-B9CE-94409D4D0043}" name="Column16193"/>
    <tableColumn id="16197" xr3:uid="{3A1FA410-D3C9-440A-BC13-8A5ADAF884B6}" name="Column16194"/>
    <tableColumn id="16198" xr3:uid="{DD05B5E0-49ED-4865-ADB9-B8BF711E2C61}" name="Column16195"/>
    <tableColumn id="16199" xr3:uid="{1D5A3ADC-373F-44DD-BA81-2D615AA84377}" name="Column16196"/>
    <tableColumn id="16200" xr3:uid="{78DA923F-0CC3-4573-A7A4-6F042FC26683}" name="Column16197"/>
    <tableColumn id="16201" xr3:uid="{30591DD6-A848-41DE-B91A-7527B1C89B72}" name="Column16198"/>
    <tableColumn id="16202" xr3:uid="{82119D0E-9E43-4BDC-83A4-865C70BB2FFE}" name="Column16199"/>
    <tableColumn id="16203" xr3:uid="{C48A9B90-4E12-4FCE-B7C8-4D050E64253E}" name="Column16200"/>
    <tableColumn id="16204" xr3:uid="{4E31C029-2569-4B05-B51C-4BBCDFB370CD}" name="Column16201"/>
    <tableColumn id="16205" xr3:uid="{7DCC92AB-2422-415D-A7DE-6A698FF8338C}" name="Column16202"/>
    <tableColumn id="16206" xr3:uid="{AB45701A-0D71-4C4B-A232-777C94E5D0FD}" name="Column16203"/>
    <tableColumn id="16207" xr3:uid="{02D6E260-81C2-4357-8B2A-75E544E37D4E}" name="Column16204"/>
    <tableColumn id="16208" xr3:uid="{26F6B0CC-45FC-4AFF-9D13-CA70D4FEFC16}" name="Column16205"/>
    <tableColumn id="16209" xr3:uid="{F7BCEB13-55ED-4EAF-8475-8389B91854F1}" name="Column16206"/>
    <tableColumn id="16210" xr3:uid="{14915AAD-CCA4-44F5-9E14-91005B2AF215}" name="Column16207"/>
    <tableColumn id="16211" xr3:uid="{DE60D09B-CA0F-4A3A-8CC8-EA4975B22B72}" name="Column16208"/>
    <tableColumn id="16212" xr3:uid="{219D4E26-2E5B-4FC8-AAEC-49817744633F}" name="Column16209"/>
    <tableColumn id="16213" xr3:uid="{E0189DC2-0321-4D45-B971-4927A3F7D053}" name="Column16210"/>
    <tableColumn id="16214" xr3:uid="{8ECE0F20-BB26-48FD-BE02-6BA8557CEFC3}" name="Column16211"/>
    <tableColumn id="16215" xr3:uid="{514BDB60-0907-47EF-A796-F84783304B9B}" name="Column16212"/>
    <tableColumn id="16216" xr3:uid="{0C7CD598-06F2-4876-B635-907268D01477}" name="Column16213"/>
    <tableColumn id="16217" xr3:uid="{2DAD6FCA-4CBF-4DDF-9564-B43E8F2DB1AC}" name="Column16214"/>
    <tableColumn id="16218" xr3:uid="{32B5DC06-69B8-4154-B66D-3E145F254262}" name="Column16215"/>
    <tableColumn id="16219" xr3:uid="{B7537068-9963-4246-B0BB-B5ECF39DA88F}" name="Column16216"/>
    <tableColumn id="16220" xr3:uid="{0740485E-06A4-4CD0-A845-3BDFB0C55290}" name="Column16217"/>
    <tableColumn id="16221" xr3:uid="{5950894F-9B57-4AD3-9948-0132B69F698E}" name="Column16218"/>
    <tableColumn id="16222" xr3:uid="{9B2D6AE1-2222-4E87-AD41-E70FEE98C6BE}" name="Column16219"/>
    <tableColumn id="16223" xr3:uid="{7F57FE0E-DADD-431C-9AB5-3F95922564C2}" name="Column16220"/>
    <tableColumn id="16224" xr3:uid="{547A2F14-70B1-43C9-90BE-A1C12AAC6011}" name="Column16221"/>
    <tableColumn id="16225" xr3:uid="{A77CCFB6-019B-44F1-B698-8E5026A36FA7}" name="Column16222"/>
    <tableColumn id="16226" xr3:uid="{E762A865-F47B-4B9C-BACB-134CBD9C5303}" name="Column16223"/>
    <tableColumn id="16227" xr3:uid="{B9071D30-C32A-4882-8ED7-4E0544F88209}" name="Column16224"/>
    <tableColumn id="16228" xr3:uid="{C1F2BCED-9BB7-48B1-B259-49BAA3F48165}" name="Column16225"/>
    <tableColumn id="16229" xr3:uid="{4E52F4C8-2BC9-4D7F-AA81-8955BD238162}" name="Column16226"/>
    <tableColumn id="16230" xr3:uid="{E2C7603D-E93E-4387-A792-B8346118D3C0}" name="Column16227"/>
    <tableColumn id="16231" xr3:uid="{42F870F9-608E-4542-86A2-CB80CF817B61}" name="Column16228"/>
    <tableColumn id="16232" xr3:uid="{79071CEC-57F5-4141-A3F3-BE70C27AA24B}" name="Column16229"/>
    <tableColumn id="16233" xr3:uid="{20045730-3487-4165-90B3-F9AF5632DD8B}" name="Column16230"/>
    <tableColumn id="16234" xr3:uid="{B758D735-741E-4FDF-8F39-C480D0E9890E}" name="Column16231"/>
    <tableColumn id="16235" xr3:uid="{74C5B10F-CA54-4C88-823B-45C0C79F00D0}" name="Column16232"/>
    <tableColumn id="16236" xr3:uid="{982C7926-D5B4-4880-A59B-40154196E021}" name="Column16233"/>
    <tableColumn id="16237" xr3:uid="{5129BCBA-A64F-4812-9883-A56062C871D8}" name="Column16234"/>
    <tableColumn id="16238" xr3:uid="{B2DDFA03-4614-4182-B5A3-B5BF5D3A6CEA}" name="Column16235"/>
    <tableColumn id="16239" xr3:uid="{294032B4-83D0-4C3B-9C7C-965002414A28}" name="Column16236"/>
    <tableColumn id="16240" xr3:uid="{30C801AD-8ECD-40FA-B86F-D0905B56D1A8}" name="Column16237"/>
    <tableColumn id="16241" xr3:uid="{F15E1D4F-BC25-4F94-B7E8-278B02ADB868}" name="Column16238"/>
    <tableColumn id="16242" xr3:uid="{78A636F1-96F8-4DBE-82C5-4AED10C9E6DF}" name="Column16239"/>
    <tableColumn id="16243" xr3:uid="{42321A41-3F70-44F4-8EC6-89F16BE1E3BE}" name="Column16240"/>
    <tableColumn id="16244" xr3:uid="{BCBE96D2-8513-4E53-AD86-748222C4AC2A}" name="Column16241"/>
    <tableColumn id="16245" xr3:uid="{8C2924BC-B778-42A7-9203-A96DA504361E}" name="Column16242"/>
    <tableColumn id="16246" xr3:uid="{7114972F-025D-49A7-9411-94DE459E4C95}" name="Column16243"/>
    <tableColumn id="16247" xr3:uid="{7F367B14-4CD0-479B-8B9B-2C6E1E606EAF}" name="Column16244"/>
    <tableColumn id="16248" xr3:uid="{4DDB3D18-8708-472F-B2B2-B104D9AC6E3F}" name="Column16245"/>
    <tableColumn id="16249" xr3:uid="{E235D37A-5C14-4A94-872A-AF4BD58B3E36}" name="Column16246"/>
    <tableColumn id="16250" xr3:uid="{06C9B90B-0C8C-4C8A-BF52-0BAA94D9A9CC}" name="Column16247"/>
    <tableColumn id="16251" xr3:uid="{F1EAC990-0003-4011-BA7E-B2222A79231A}" name="Column16248"/>
    <tableColumn id="16252" xr3:uid="{A5BAF580-F631-4F84-9D6A-F7D84C166B3B}" name="Column16249"/>
    <tableColumn id="16253" xr3:uid="{B7C8BF95-6345-419F-B229-9CF8C94A3C39}" name="Column16250"/>
    <tableColumn id="16254" xr3:uid="{4661D4AC-B8BA-4F72-9FAE-09C3E2441F36}" name="Column16251"/>
    <tableColumn id="16255" xr3:uid="{C03C4CBE-CC1B-41A6-AD43-EC30FE427F1A}" name="Column16252"/>
    <tableColumn id="16256" xr3:uid="{A5866A38-2623-453C-A471-12BF3DCF0EA4}" name="Column16253"/>
    <tableColumn id="16257" xr3:uid="{0AE36BE3-C050-445F-B01C-7E7CCF3118AF}" name="Column16254"/>
    <tableColumn id="16258" xr3:uid="{C94B8388-D2E3-4DE9-92FA-6C7226718746}" name="Column16255"/>
    <tableColumn id="16259" xr3:uid="{E67FF04D-CF80-46B0-B618-EDBA4E0E61BD}" name="Column16256"/>
    <tableColumn id="16260" xr3:uid="{7D625EDD-EAF0-4169-83DA-BC3279EAC423}" name="Column16257"/>
    <tableColumn id="16261" xr3:uid="{0BBD7428-8CD9-4057-8B8C-4366C3ABC740}" name="Column16258"/>
    <tableColumn id="16262" xr3:uid="{4167AB8A-563D-41B3-9C7C-5DDFC593F960}" name="Column16259"/>
    <tableColumn id="16263" xr3:uid="{96BACCD0-7C63-4030-A327-BB2F13588E6B}" name="Column16260"/>
    <tableColumn id="16264" xr3:uid="{1278AB89-EEC3-4211-9EA9-4500CF2402E8}" name="Column16261"/>
    <tableColumn id="16265" xr3:uid="{3337DB63-B4FB-4D28-9F59-D4ED00350425}" name="Column16262"/>
    <tableColumn id="16266" xr3:uid="{367DEB65-5345-46DC-8A83-E19A562D8205}" name="Column16263"/>
    <tableColumn id="16267" xr3:uid="{A18EB538-7404-423C-8076-6A1E9942A989}" name="Column16264"/>
    <tableColumn id="16268" xr3:uid="{1969924F-7799-4D66-B0CC-AF649B9071FD}" name="Column16265"/>
    <tableColumn id="16269" xr3:uid="{D48E1CD0-8984-471A-A860-0FCE8E19A7C7}" name="Column16266"/>
    <tableColumn id="16270" xr3:uid="{C98569CD-CAE1-40F9-BEA2-7ECD641CC213}" name="Column16267"/>
    <tableColumn id="16271" xr3:uid="{B5549137-6332-4693-A224-923BB83C5FD8}" name="Column16268"/>
    <tableColumn id="16272" xr3:uid="{EEF92220-C51D-43B8-B610-29DC9044B613}" name="Column16269"/>
    <tableColumn id="16273" xr3:uid="{B00125FE-A620-49C0-A42D-ECDF5C868B68}" name="Column16270"/>
    <tableColumn id="16274" xr3:uid="{5543337E-7900-443A-8521-7863A7B848C9}" name="Column16271"/>
    <tableColumn id="16275" xr3:uid="{0F8BD5B7-E8EC-4D88-9F2B-31410A96AA9E}" name="Column16272"/>
    <tableColumn id="16276" xr3:uid="{D20A16E7-18BC-4B26-AC7F-F36B20EC73FD}" name="Column16273"/>
    <tableColumn id="16277" xr3:uid="{97C5D593-4844-4567-80A5-4E5B46236D4D}" name="Column16274"/>
    <tableColumn id="16278" xr3:uid="{1372DF35-3CF0-4965-80B7-58D243155B65}" name="Column16275"/>
    <tableColumn id="16279" xr3:uid="{C8E21F23-B070-46EF-870C-B1C584052131}" name="Column16276"/>
    <tableColumn id="16280" xr3:uid="{57C1F28C-5D8C-4EBD-BF2A-E7356762C0FD}" name="Column16277"/>
    <tableColumn id="16281" xr3:uid="{4926F64B-3F27-44ED-8026-8C58E9891198}" name="Column16278"/>
    <tableColumn id="16282" xr3:uid="{5D4CF0B5-CD18-4705-8E96-07565FAF407A}" name="Column16279"/>
    <tableColumn id="16283" xr3:uid="{6951D3B0-118E-44B5-A94B-9E9DBC791B3E}" name="Column16280"/>
    <tableColumn id="16284" xr3:uid="{4C3E40A7-248E-4955-A887-B2395023A45D}" name="Column16281"/>
    <tableColumn id="16285" xr3:uid="{D9BCE1D1-AE50-49D3-9A79-E4E7F1F54D48}" name="Column16282"/>
    <tableColumn id="16286" xr3:uid="{C25F81DF-E6AE-47FA-9661-2C78349432C3}" name="Column16283"/>
    <tableColumn id="16287" xr3:uid="{D11880CB-FB95-4B59-B801-B4751E7B88F1}" name="Column16284"/>
    <tableColumn id="16288" xr3:uid="{E6C4A416-7236-4557-9C51-FDFD8DA0E796}" name="Column16285"/>
    <tableColumn id="16289" xr3:uid="{F76B99FC-7C04-4D3C-A262-120A707281AD}" name="Column16286"/>
    <tableColumn id="16290" xr3:uid="{6BC71ABE-E0CC-4A77-82E6-70F5A28F983E}" name="Column16287"/>
    <tableColumn id="16291" xr3:uid="{F430B6D0-10BA-4F74-83FD-5CBBEC8CA650}" name="Column16288"/>
    <tableColumn id="16292" xr3:uid="{91AC68E0-F20D-40D8-83FD-BF7AB92EBC91}" name="Column16289"/>
    <tableColumn id="16293" xr3:uid="{0E2B67DF-371F-4556-A204-A1B937E2CD0A}" name="Column16290"/>
    <tableColumn id="16294" xr3:uid="{5A140AD1-97CA-4E48-B726-57064F012BC9}" name="Column16291"/>
    <tableColumn id="16295" xr3:uid="{4BCB2BA7-ABB6-44DD-B759-629B77003FD5}" name="Column16292"/>
    <tableColumn id="16296" xr3:uid="{03EE106C-6135-415A-98CC-F34F9120596D}" name="Column16293"/>
    <tableColumn id="16297" xr3:uid="{BAF0C7B6-1A7E-475E-82E2-4F150464A0B2}" name="Column16294"/>
    <tableColumn id="16298" xr3:uid="{982913F3-D9FD-44FD-A6EF-104F057060DE}" name="Column16295"/>
    <tableColumn id="16299" xr3:uid="{0410F61B-E3C7-4EE3-AA7D-B1A42C0DBA9F}" name="Column16296"/>
    <tableColumn id="16300" xr3:uid="{596B0058-D964-4D93-BF53-9A19B7E2DF69}" name="Column16297"/>
    <tableColumn id="16301" xr3:uid="{D3A19640-7EA3-470C-A796-0437F84A9328}" name="Column16298"/>
    <tableColumn id="16302" xr3:uid="{48922673-EBC4-4223-9004-CFCA9D732FFD}" name="Column16299"/>
    <tableColumn id="16303" xr3:uid="{86A76545-8B2D-4520-83A1-20F2905380DD}" name="Column16300"/>
    <tableColumn id="16304" xr3:uid="{7194730D-AF5D-4F80-BFD6-B1BDFB2B3FDC}" name="Column16301"/>
    <tableColumn id="16305" xr3:uid="{024FBCB2-9263-4C78-93B8-71E8F410ECFA}" name="Column16302"/>
    <tableColumn id="16306" xr3:uid="{A873DC50-241E-4F32-B185-E67D4E6B9845}" name="Column16303"/>
    <tableColumn id="16307" xr3:uid="{A04E2B9C-FC8C-42AF-A19D-C52BA14F7448}" name="Column16304"/>
    <tableColumn id="16308" xr3:uid="{33660BCC-FAEF-4546-BE7D-C2FB42C68ED8}" name="Column16305"/>
    <tableColumn id="16309" xr3:uid="{70B2B433-5B16-4F4D-9C1E-3C74EAD0F36E}" name="Column16306"/>
    <tableColumn id="16310" xr3:uid="{2742D05F-1DF8-4902-A084-4C4666A39EDD}" name="Column16307"/>
    <tableColumn id="16311" xr3:uid="{18F715DC-FFFB-4C2A-BF91-95DFEBF2FCA5}" name="Column16308"/>
    <tableColumn id="16312" xr3:uid="{27E1E842-31A2-4E90-8F65-187600BBFFB2}" name="Column16309"/>
    <tableColumn id="16313" xr3:uid="{564F8082-FE1C-457A-87CA-D3E16C2683F7}" name="Column16310"/>
    <tableColumn id="16314" xr3:uid="{B13E88B4-87BA-41AE-93EA-1EC76D96B386}" name="Column16311"/>
    <tableColumn id="16315" xr3:uid="{E7CD2316-94D6-459A-BCAB-F542C668F194}" name="Column16312"/>
    <tableColumn id="16316" xr3:uid="{E56824C3-7660-4374-BED8-9862AF077385}" name="Column16313"/>
    <tableColumn id="16317" xr3:uid="{3EF02A30-AA95-450D-A807-75D9583BF50E}" name="Column16314"/>
    <tableColumn id="16318" xr3:uid="{7FC1F8E6-B4F7-4874-8A7C-C20CF86DC83B}" name="Column16315"/>
    <tableColumn id="16319" xr3:uid="{16DB5DD6-2675-45B7-9992-9F83BDF87C14}" name="Column16316"/>
    <tableColumn id="16320" xr3:uid="{58DB98A1-EC4E-434A-9E38-7E698480EE1B}" name="Column16317"/>
    <tableColumn id="16321" xr3:uid="{79731DBB-D1C4-4159-99B3-E60599258F36}" name="Column16318"/>
    <tableColumn id="16322" xr3:uid="{A10A83D2-2C64-4B7F-807C-66B98EFB0AB1}" name="Column16319"/>
    <tableColumn id="16323" xr3:uid="{5DF0120A-4065-478F-8C87-32EE225B3BFB}" name="Column16320"/>
    <tableColumn id="16324" xr3:uid="{23380BEE-913F-4CD7-8F4A-5D7F934E4987}" name="Column16321"/>
    <tableColumn id="16325" xr3:uid="{FECCFB10-AF92-4C65-A4F8-261741C36AA6}" name="Column16322"/>
    <tableColumn id="16326" xr3:uid="{5B0E1659-1524-4ACB-A119-E34BD8FABD48}" name="Column16323"/>
    <tableColumn id="16327" xr3:uid="{6E9DB3D6-3A9A-478A-ADEB-0438E53E9C1A}" name="Column16324"/>
    <tableColumn id="16328" xr3:uid="{C87B5B44-43DF-4C50-8DEF-5533DD4866EB}" name="Column16325"/>
    <tableColumn id="16329" xr3:uid="{9A678F15-3A7A-481E-8C8B-253BB533CA36}" name="Column16326"/>
    <tableColumn id="16330" xr3:uid="{F9BEF492-CF20-4746-8A28-4C8F9C414857}" name="Column16327"/>
    <tableColumn id="16331" xr3:uid="{87B4DF03-34CF-4121-88DD-4939A2A855A4}" name="Column16328"/>
    <tableColumn id="16332" xr3:uid="{F93AFF37-87B3-4A56-9456-D0C1AAF17EEB}" name="Column16329"/>
    <tableColumn id="16333" xr3:uid="{488C3293-1DD1-40D0-B57D-43761214ED74}" name="Column16330"/>
    <tableColumn id="16334" xr3:uid="{517EFE9E-FE5C-42A4-A485-CDF4EFDBC606}" name="Column16331"/>
    <tableColumn id="16335" xr3:uid="{EAE4EF8C-A346-4778-8290-2803363E5D8C}" name="Column16332"/>
    <tableColumn id="16336" xr3:uid="{AFA9EA6A-5CF1-4202-9138-15324524FED5}" name="Column16333"/>
    <tableColumn id="16337" xr3:uid="{5CD9DD35-2933-4B87-BDFF-65B8EB45545D}" name="Column16334"/>
    <tableColumn id="16338" xr3:uid="{F14FF708-3E77-4E08-8704-FA82ED163C07}" name="Column16335"/>
    <tableColumn id="16339" xr3:uid="{2DFE60DD-316B-4639-B760-F13FC64F8523}" name="Column16336"/>
    <tableColumn id="16340" xr3:uid="{1402B863-ED8C-4891-8E60-9D085330C734}" name="Column16337"/>
    <tableColumn id="16341" xr3:uid="{9B5AD6B1-DAFB-4A0F-A1F4-8A974B3807F9}" name="Column16338"/>
    <tableColumn id="16342" xr3:uid="{F479C8BF-00E8-432E-A5D3-B5EF69512B81}" name="Column16339"/>
    <tableColumn id="16343" xr3:uid="{1270D4DB-66F2-4EEF-B612-CFB95E5AC3B8}" name="Column16340"/>
    <tableColumn id="16344" xr3:uid="{B28DEEB1-F0AE-4ECA-8229-40EB2EEB418E}" name="Column16341"/>
    <tableColumn id="16345" xr3:uid="{984123F5-8BBF-4FA8-ADFA-3FF89BFEA6DB}" name="Column16342"/>
    <tableColumn id="16346" xr3:uid="{A8136600-83B8-41D3-B999-B317D435FC54}" name="Column16343"/>
    <tableColumn id="16347" xr3:uid="{57FD972D-9DEE-40D0-BAB8-48A1AB921435}" name="Column16344"/>
    <tableColumn id="16348" xr3:uid="{ADC991E9-C7EE-449B-A10A-950EF4034575}" name="Column16345"/>
    <tableColumn id="16349" xr3:uid="{EF6F8B49-D680-4E95-98E3-11A7AD817CCF}" name="Column16346"/>
    <tableColumn id="16350" xr3:uid="{A81F53C9-C885-4608-BA60-2EFD129AA3AA}" name="Column16347"/>
    <tableColumn id="16351" xr3:uid="{8A307D3F-F3B5-4BD7-88BB-52B73BA24188}" name="Column16348"/>
    <tableColumn id="16352" xr3:uid="{E9BEDB98-6158-492F-A9CB-9AA9C45B2E04}" name="Column16349"/>
    <tableColumn id="16353" xr3:uid="{1BD7BBB1-7B74-43A1-B571-D95333298E95}" name="Column16350"/>
    <tableColumn id="16354" xr3:uid="{C5A460E9-EC0C-4ACA-85DF-DF4BC55E27CD}" name="Column16351"/>
    <tableColumn id="16355" xr3:uid="{8886B83E-F6CD-419F-A853-A65DE2D9CADF}" name="Column16352"/>
    <tableColumn id="16356" xr3:uid="{D41FB3F0-DEB4-46B9-B43F-B562519C8314}" name="Column16353"/>
    <tableColumn id="16357" xr3:uid="{FCB27546-B63C-4660-9C0E-74F4D6E76E1C}" name="Column16354"/>
    <tableColumn id="16358" xr3:uid="{80DD1850-A9DD-4013-82C8-2604AAF74EF3}" name="Column16355"/>
    <tableColumn id="16359" xr3:uid="{BA66C70B-511C-4E9E-AD43-A6E9B21AA3C2}" name="Column16356"/>
    <tableColumn id="16360" xr3:uid="{4E8F8EBA-0422-408A-8410-E5D3B4B558A5}" name="Column16357"/>
    <tableColumn id="16361" xr3:uid="{DD6B730F-B1BB-404A-9AED-A5BD15558502}" name="Column16358"/>
    <tableColumn id="16362" xr3:uid="{BFF03582-6FB7-4F15-A9C2-1ECD6269B9DF}" name="Column16359"/>
    <tableColumn id="16363" xr3:uid="{F8854BB4-9AEA-4C65-AF27-41AB50AC7A37}" name="Column16360"/>
    <tableColumn id="16364" xr3:uid="{06FC641B-E5B7-4A16-9A39-49E18D061D9F}" name="Column16361"/>
    <tableColumn id="16365" xr3:uid="{B2236F15-DCC3-4342-80F0-E8C2ED699F15}" name="Column16362"/>
    <tableColumn id="16366" xr3:uid="{0E4E75C7-BA74-4BFB-B1FB-A10FE63BDF19}" name="Column16363"/>
    <tableColumn id="16367" xr3:uid="{CDB573BE-6026-404F-8315-A10F56B7B90B}" name="Column16364"/>
    <tableColumn id="16368" xr3:uid="{DBA14C01-8C20-4BD9-8F6A-2C378861962C}" name="Column16365"/>
    <tableColumn id="16369" xr3:uid="{7D1BF8BF-99B6-4F6B-8FB9-D54B8BB97C30}" name="Column16366"/>
    <tableColumn id="16370" xr3:uid="{337D09B5-E281-45D6-8722-47ED15E43118}" name="Column16367"/>
    <tableColumn id="16371" xr3:uid="{B4D429E0-18F7-45D8-9BDB-ED0A4DE40126}" name="Column16368"/>
    <tableColumn id="16372" xr3:uid="{CE114A34-628B-4B5F-8F83-D0EB9863D750}" name="Column16369"/>
    <tableColumn id="16373" xr3:uid="{01D720AD-F18A-48DF-A004-A600390A411F}" name="Column16370"/>
    <tableColumn id="16374" xr3:uid="{A354637E-6DD0-4F96-A063-EC44DCA1A656}" name="Column16371"/>
    <tableColumn id="16375" xr3:uid="{7BFB9055-3AA4-4FF8-8896-DE48D7CA7A1A}" name="Column16372"/>
    <tableColumn id="16376" xr3:uid="{B8B69D80-44B4-4B79-9D86-975CC1A69F5D}" name="Column16373"/>
    <tableColumn id="16377" xr3:uid="{E2212698-BC66-4437-8FE1-32105F7B81DF}" name="Column16374"/>
    <tableColumn id="16378" xr3:uid="{83065A39-225D-4824-8C53-8ADF556519FC}" name="Column16375"/>
    <tableColumn id="16379" xr3:uid="{E2473AE6-EFA3-4556-8D44-7E18676B375C}" name="Column16376"/>
    <tableColumn id="16380" xr3:uid="{6D5F364E-A2E3-4FC6-9098-B1A23D503505}" name="Column16377"/>
    <tableColumn id="16381" xr3:uid="{9FE2E19A-EBBD-4E44-B98F-B21066DE0086}" name="Column16378"/>
    <tableColumn id="16382" xr3:uid="{C266E579-1CF1-4AB9-ACAE-711C460A49BA}" name="Column16379"/>
    <tableColumn id="16383" xr3:uid="{A832A80E-C06B-4D88-B3CD-42FAB1ACFFC4}" name="Column16380"/>
    <tableColumn id="16384" xr3:uid="{C5A0E664-B1EF-4650-A078-3175EBFB004D}" name="Column1638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3CCB-D6A6-4CED-B256-9F98883FC10B}">
  <dimension ref="A1:W40"/>
  <sheetViews>
    <sheetView showGridLines="0" showRowColHeaders="0" tabSelected="1" zoomScale="80" zoomScaleNormal="80" zoomScalePageLayoutView="87" workbookViewId="0">
      <selection activeCell="U21" sqref="U21"/>
    </sheetView>
  </sheetViews>
  <sheetFormatPr defaultRowHeight="15" x14ac:dyDescent="0.25"/>
  <cols>
    <col min="1" max="1" width="20" bestFit="1" customWidth="1"/>
    <col min="3" max="3" width="19" bestFit="1" customWidth="1"/>
    <col min="5" max="5" width="10.28515625" bestFit="1" customWidth="1"/>
    <col min="7" max="7" width="15.28515625" bestFit="1" customWidth="1"/>
  </cols>
  <sheetData>
    <row r="1" spans="1:23" ht="39" x14ac:dyDescent="0.6">
      <c r="A1" s="38" t="s">
        <v>16823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3" spans="1:23" ht="26.25" x14ac:dyDescent="0.4">
      <c r="A3" s="31" t="s">
        <v>16833</v>
      </c>
      <c r="B3" s="32"/>
      <c r="C3" s="32"/>
      <c r="D3" s="32"/>
      <c r="E3" s="32"/>
      <c r="F3" s="29" t="s">
        <v>16832</v>
      </c>
      <c r="G3" s="29"/>
      <c r="H3" s="29"/>
      <c r="I3" s="29"/>
      <c r="J3" s="29"/>
      <c r="K3" s="29"/>
      <c r="L3" s="27" t="s">
        <v>16831</v>
      </c>
      <c r="M3" s="27"/>
      <c r="N3" s="27"/>
      <c r="O3" s="27"/>
      <c r="P3" s="27"/>
      <c r="Q3" s="27"/>
      <c r="R3" s="24" t="s">
        <v>16830</v>
      </c>
      <c r="S3" s="25"/>
      <c r="T3" s="25"/>
      <c r="U3" s="25"/>
      <c r="V3" s="25"/>
      <c r="W3" s="25"/>
    </row>
    <row r="4" spans="1:23" ht="26.25" x14ac:dyDescent="0.4">
      <c r="A4" s="33">
        <f>KPI_Summary!B2</f>
        <v>230688870</v>
      </c>
      <c r="B4" s="34"/>
      <c r="C4" s="34"/>
      <c r="D4" s="34"/>
      <c r="E4" s="34"/>
      <c r="F4" s="30">
        <f>KPI_Summary!B4</f>
        <v>63830848.200000025</v>
      </c>
      <c r="G4" s="30"/>
      <c r="H4" s="30"/>
      <c r="I4" s="30"/>
      <c r="J4" s="30"/>
      <c r="K4" s="30"/>
      <c r="L4" s="28">
        <f>KPI_Summary!B5</f>
        <v>974</v>
      </c>
      <c r="M4" s="27"/>
      <c r="N4" s="27"/>
      <c r="O4" s="27"/>
      <c r="P4" s="27"/>
      <c r="Q4" s="27"/>
      <c r="R4" s="26">
        <f>KPI_Summary!B8</f>
        <v>0.27669669629054938</v>
      </c>
      <c r="S4" s="24"/>
      <c r="T4" s="24"/>
      <c r="U4" s="24"/>
      <c r="V4" s="24"/>
      <c r="W4" s="24"/>
    </row>
    <row r="37" spans="1:23" ht="26.25" x14ac:dyDescent="0.4">
      <c r="A37" s="27" t="s">
        <v>16826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ht="26.25" x14ac:dyDescent="0.4">
      <c r="A38" s="35" t="s">
        <v>16829</v>
      </c>
      <c r="B38" s="35"/>
      <c r="C38" s="35"/>
      <c r="D38" s="35"/>
      <c r="E38" s="35"/>
      <c r="F38" s="35" t="s">
        <v>16827</v>
      </c>
      <c r="G38" s="35"/>
      <c r="H38" s="35"/>
      <c r="I38" s="35"/>
      <c r="J38" s="35"/>
      <c r="K38" s="35"/>
      <c r="L38" s="35" t="s">
        <v>16835</v>
      </c>
      <c r="M38" s="36"/>
      <c r="N38" s="36"/>
      <c r="O38" s="36"/>
      <c r="P38" s="36"/>
      <c r="Q38" s="36"/>
      <c r="R38" s="35" t="s">
        <v>16828</v>
      </c>
      <c r="S38" s="36"/>
      <c r="T38" s="36"/>
      <c r="U38" s="36"/>
      <c r="V38" s="36"/>
      <c r="W38" s="36"/>
    </row>
    <row r="39" spans="1:23" ht="17.25" x14ac:dyDescent="0.3">
      <c r="A39" s="37" t="s">
        <v>16838</v>
      </c>
      <c r="B39" s="37"/>
      <c r="C39" s="37"/>
      <c r="D39" s="37"/>
      <c r="E39" s="37"/>
      <c r="F39" s="37" t="s">
        <v>16837</v>
      </c>
      <c r="G39" s="37"/>
      <c r="H39" s="37"/>
      <c r="I39" s="37"/>
      <c r="J39" s="37"/>
      <c r="K39" s="37"/>
      <c r="L39" s="37" t="s">
        <v>16836</v>
      </c>
      <c r="M39" s="36"/>
      <c r="N39" s="36"/>
      <c r="O39" s="36"/>
      <c r="P39" s="36"/>
      <c r="Q39" s="36"/>
      <c r="R39" s="37" t="s">
        <v>16834</v>
      </c>
      <c r="S39" s="36"/>
      <c r="T39" s="36"/>
      <c r="U39" s="36"/>
      <c r="V39" s="36"/>
      <c r="W39" s="36"/>
    </row>
    <row r="40" spans="1:23" hidden="1" x14ac:dyDescent="0.25"/>
  </sheetData>
  <mergeCells count="18">
    <mergeCell ref="A37:W37"/>
    <mergeCell ref="R38:W38"/>
    <mergeCell ref="R39:W39"/>
    <mergeCell ref="L38:Q38"/>
    <mergeCell ref="L39:Q39"/>
    <mergeCell ref="F38:K38"/>
    <mergeCell ref="F39:K39"/>
    <mergeCell ref="A38:E38"/>
    <mergeCell ref="A39:E39"/>
    <mergeCell ref="A1:W1"/>
    <mergeCell ref="R3:W3"/>
    <mergeCell ref="R4:W4"/>
    <mergeCell ref="L3:Q3"/>
    <mergeCell ref="L4:Q4"/>
    <mergeCell ref="F3:K3"/>
    <mergeCell ref="F4:K4"/>
    <mergeCell ref="A3:E3"/>
    <mergeCell ref="A4:E4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544B-B74F-4CF3-847F-FA6D0E0712F5}">
  <dimension ref="A1:D8"/>
  <sheetViews>
    <sheetView workbookViewId="0">
      <selection activeCell="B8" sqref="B8"/>
    </sheetView>
  </sheetViews>
  <sheetFormatPr defaultRowHeight="15" x14ac:dyDescent="0.25"/>
  <cols>
    <col min="1" max="1" width="32.140625" bestFit="1" customWidth="1"/>
    <col min="2" max="2" width="97.140625" bestFit="1" customWidth="1"/>
    <col min="3" max="3" width="19" style="19" bestFit="1" customWidth="1"/>
    <col min="4" max="4" width="13.7109375" bestFit="1" customWidth="1"/>
  </cols>
  <sheetData>
    <row r="1" spans="1:4" x14ac:dyDescent="0.25">
      <c r="A1" s="18" t="s">
        <v>16801</v>
      </c>
      <c r="B1" s="18" t="s">
        <v>16802</v>
      </c>
      <c r="C1" s="20" t="s">
        <v>16803</v>
      </c>
      <c r="D1" s="18" t="s">
        <v>16804</v>
      </c>
    </row>
    <row r="2" spans="1:4" x14ac:dyDescent="0.25">
      <c r="A2" t="s">
        <v>16805</v>
      </c>
    </row>
    <row r="3" spans="1:4" x14ac:dyDescent="0.25">
      <c r="A3" t="s">
        <v>16806</v>
      </c>
      <c r="B3" t="s">
        <v>16812</v>
      </c>
      <c r="C3" s="19">
        <v>82287020</v>
      </c>
      <c r="D3" t="s">
        <v>16816</v>
      </c>
    </row>
    <row r="4" spans="1:4" x14ac:dyDescent="0.25">
      <c r="A4" t="s">
        <v>16807</v>
      </c>
      <c r="B4" t="s">
        <v>16815</v>
      </c>
      <c r="C4" s="19">
        <v>85043210</v>
      </c>
      <c r="D4" t="s">
        <v>16817</v>
      </c>
    </row>
    <row r="5" spans="1:4" x14ac:dyDescent="0.25">
      <c r="A5" t="s">
        <v>16808</v>
      </c>
      <c r="B5" t="s">
        <v>16819</v>
      </c>
    </row>
    <row r="6" spans="1:4" x14ac:dyDescent="0.25">
      <c r="A6" t="s">
        <v>16809</v>
      </c>
      <c r="B6" t="s">
        <v>16820</v>
      </c>
      <c r="C6" s="19">
        <v>30099380</v>
      </c>
      <c r="D6" t="s">
        <v>16821</v>
      </c>
    </row>
    <row r="7" spans="1:4" x14ac:dyDescent="0.25">
      <c r="A7" t="s">
        <v>16810</v>
      </c>
      <c r="B7" t="s">
        <v>16822</v>
      </c>
    </row>
    <row r="8" spans="1:4" x14ac:dyDescent="0.25">
      <c r="A8" t="s">
        <v>16811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FC77-9A29-4FA3-9FAB-F0A266C51532}">
  <dimension ref="A1:O62"/>
  <sheetViews>
    <sheetView workbookViewId="0">
      <selection activeCell="A3" sqref="A3:O62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0.85546875" bestFit="1" customWidth="1"/>
    <col min="4" max="4" width="10.140625" bestFit="1" customWidth="1"/>
    <col min="5" max="5" width="12.7109375" bestFit="1" customWidth="1"/>
    <col min="6" max="6" width="12.28515625" bestFit="1" customWidth="1"/>
    <col min="7" max="7" width="11.85546875" bestFit="1" customWidth="1"/>
    <col min="8" max="8" width="16.28515625" bestFit="1" customWidth="1"/>
    <col min="9" max="9" width="19.5703125" bestFit="1" customWidth="1"/>
    <col min="10" max="10" width="11" bestFit="1" customWidth="1"/>
    <col min="11" max="11" width="18" bestFit="1" customWidth="1"/>
    <col min="12" max="12" width="16.140625" bestFit="1" customWidth="1"/>
    <col min="13" max="13" width="13.140625" bestFit="1" customWidth="1"/>
    <col min="14" max="14" width="12.42578125" bestFit="1" customWidth="1"/>
    <col min="15" max="15" width="13.5703125" bestFit="1" customWidth="1"/>
  </cols>
  <sheetData>
    <row r="1" spans="1:15" x14ac:dyDescent="0.25">
      <c r="A1" s="10" t="s">
        <v>16824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357</v>
      </c>
      <c r="B4" s="5">
        <v>46022</v>
      </c>
      <c r="C4" t="s">
        <v>327</v>
      </c>
      <c r="D4" t="s">
        <v>283</v>
      </c>
      <c r="E4" t="s">
        <v>18</v>
      </c>
      <c r="F4" t="s">
        <v>29</v>
      </c>
      <c r="G4" t="s">
        <v>53</v>
      </c>
      <c r="H4" t="s">
        <v>33</v>
      </c>
      <c r="I4" t="s">
        <v>34</v>
      </c>
      <c r="J4">
        <v>3</v>
      </c>
      <c r="K4">
        <v>350000</v>
      </c>
      <c r="L4">
        <v>0.02</v>
      </c>
      <c r="M4">
        <v>1029000</v>
      </c>
      <c r="N4">
        <v>711264.71</v>
      </c>
      <c r="O4">
        <v>317735.28999999998</v>
      </c>
    </row>
    <row r="5" spans="1:15" x14ac:dyDescent="0.25">
      <c r="A5" t="s">
        <v>356</v>
      </c>
      <c r="B5" s="5">
        <v>46021</v>
      </c>
      <c r="C5" t="s">
        <v>327</v>
      </c>
      <c r="D5" t="s">
        <v>283</v>
      </c>
      <c r="E5" t="s">
        <v>49</v>
      </c>
      <c r="F5" t="s">
        <v>19</v>
      </c>
      <c r="G5" t="s">
        <v>53</v>
      </c>
      <c r="H5" t="s">
        <v>30</v>
      </c>
      <c r="I5" t="s">
        <v>31</v>
      </c>
      <c r="J5">
        <v>4</v>
      </c>
      <c r="K5">
        <v>216000</v>
      </c>
      <c r="L5">
        <v>0</v>
      </c>
      <c r="M5">
        <v>864000</v>
      </c>
      <c r="N5">
        <v>660919.69999999995</v>
      </c>
      <c r="O5">
        <v>203080.3</v>
      </c>
    </row>
    <row r="6" spans="1:15" x14ac:dyDescent="0.25">
      <c r="A6" t="s">
        <v>353</v>
      </c>
      <c r="B6" s="5">
        <v>46019</v>
      </c>
      <c r="C6" t="s">
        <v>327</v>
      </c>
      <c r="D6" t="s">
        <v>283</v>
      </c>
      <c r="E6" t="s">
        <v>28</v>
      </c>
      <c r="F6" t="s">
        <v>25</v>
      </c>
      <c r="G6" t="s">
        <v>53</v>
      </c>
      <c r="H6" t="s">
        <v>30</v>
      </c>
      <c r="I6" t="s">
        <v>22</v>
      </c>
      <c r="J6">
        <v>3</v>
      </c>
      <c r="K6">
        <v>350000</v>
      </c>
      <c r="L6">
        <v>0</v>
      </c>
      <c r="M6">
        <v>1050000</v>
      </c>
      <c r="N6">
        <v>680405.06</v>
      </c>
      <c r="O6">
        <v>369594.94</v>
      </c>
    </row>
    <row r="7" spans="1:15" x14ac:dyDescent="0.25">
      <c r="A7" t="s">
        <v>351</v>
      </c>
      <c r="B7" s="5">
        <v>46017</v>
      </c>
      <c r="C7" t="s">
        <v>327</v>
      </c>
      <c r="D7" t="s">
        <v>283</v>
      </c>
      <c r="E7" t="s">
        <v>47</v>
      </c>
      <c r="F7" t="s">
        <v>29</v>
      </c>
      <c r="G7" t="s">
        <v>53</v>
      </c>
      <c r="H7" t="s">
        <v>21</v>
      </c>
      <c r="I7" t="s">
        <v>22</v>
      </c>
      <c r="J7">
        <v>1</v>
      </c>
      <c r="K7">
        <v>240000</v>
      </c>
      <c r="L7">
        <v>0</v>
      </c>
      <c r="M7">
        <v>240000</v>
      </c>
      <c r="N7">
        <v>179561.99</v>
      </c>
      <c r="O7">
        <v>60438.01</v>
      </c>
    </row>
    <row r="8" spans="1:15" x14ac:dyDescent="0.25">
      <c r="A8" t="s">
        <v>345</v>
      </c>
      <c r="B8" s="5">
        <v>46015</v>
      </c>
      <c r="C8" t="s">
        <v>327</v>
      </c>
      <c r="D8" t="s">
        <v>283</v>
      </c>
      <c r="E8" t="s">
        <v>28</v>
      </c>
      <c r="F8" t="s">
        <v>68</v>
      </c>
      <c r="G8" t="s">
        <v>53</v>
      </c>
      <c r="H8" t="s">
        <v>21</v>
      </c>
      <c r="I8" t="s">
        <v>31</v>
      </c>
      <c r="J8">
        <v>6</v>
      </c>
      <c r="K8">
        <v>206000</v>
      </c>
      <c r="L8">
        <v>0.05</v>
      </c>
      <c r="M8">
        <v>1174200</v>
      </c>
      <c r="N8">
        <v>962777.7</v>
      </c>
      <c r="O8">
        <v>211422.3</v>
      </c>
    </row>
    <row r="9" spans="1:15" x14ac:dyDescent="0.25">
      <c r="A9" t="s">
        <v>344</v>
      </c>
      <c r="B9" s="5">
        <v>46013</v>
      </c>
      <c r="C9" t="s">
        <v>327</v>
      </c>
      <c r="D9" t="s">
        <v>283</v>
      </c>
      <c r="E9" t="s">
        <v>24</v>
      </c>
      <c r="F9" t="s">
        <v>25</v>
      </c>
      <c r="G9" t="s">
        <v>53</v>
      </c>
      <c r="H9" t="s">
        <v>21</v>
      </c>
      <c r="I9" t="s">
        <v>22</v>
      </c>
      <c r="J9">
        <v>6</v>
      </c>
      <c r="K9">
        <v>254000</v>
      </c>
      <c r="L9">
        <v>0</v>
      </c>
      <c r="M9">
        <v>1524000</v>
      </c>
      <c r="N9">
        <v>1242323.73</v>
      </c>
      <c r="O9">
        <v>281676.27</v>
      </c>
    </row>
    <row r="10" spans="1:15" x14ac:dyDescent="0.25">
      <c r="A10" t="s">
        <v>340</v>
      </c>
      <c r="B10" s="5">
        <v>46007</v>
      </c>
      <c r="C10" t="s">
        <v>327</v>
      </c>
      <c r="D10" t="s">
        <v>283</v>
      </c>
      <c r="E10" t="s">
        <v>18</v>
      </c>
      <c r="F10" t="s">
        <v>68</v>
      </c>
      <c r="G10" t="s">
        <v>53</v>
      </c>
      <c r="H10" t="s">
        <v>21</v>
      </c>
      <c r="I10" t="s">
        <v>22</v>
      </c>
      <c r="J10">
        <v>3</v>
      </c>
      <c r="K10">
        <v>351000</v>
      </c>
      <c r="L10">
        <v>0.05</v>
      </c>
      <c r="M10">
        <v>1000350</v>
      </c>
      <c r="N10">
        <v>637800.68000000005</v>
      </c>
      <c r="O10">
        <v>362549.32</v>
      </c>
    </row>
    <row r="11" spans="1:15" x14ac:dyDescent="0.25">
      <c r="A11" t="s">
        <v>339</v>
      </c>
      <c r="B11" s="5">
        <v>46007</v>
      </c>
      <c r="C11" t="s">
        <v>327</v>
      </c>
      <c r="D11" t="s">
        <v>283</v>
      </c>
      <c r="E11" t="s">
        <v>18</v>
      </c>
      <c r="F11" t="s">
        <v>29</v>
      </c>
      <c r="G11" t="s">
        <v>53</v>
      </c>
      <c r="H11" t="s">
        <v>30</v>
      </c>
      <c r="I11" t="s">
        <v>41</v>
      </c>
      <c r="J11">
        <v>3</v>
      </c>
      <c r="K11">
        <v>260000</v>
      </c>
      <c r="L11">
        <v>0.02</v>
      </c>
      <c r="M11">
        <v>764400</v>
      </c>
      <c r="N11">
        <v>554953.1</v>
      </c>
      <c r="O11">
        <v>209446.9</v>
      </c>
    </row>
    <row r="12" spans="1:15" x14ac:dyDescent="0.25">
      <c r="A12" t="s">
        <v>338</v>
      </c>
      <c r="B12" s="5">
        <v>46007</v>
      </c>
      <c r="C12" t="s">
        <v>327</v>
      </c>
      <c r="D12" t="s">
        <v>283</v>
      </c>
      <c r="E12" t="s">
        <v>24</v>
      </c>
      <c r="F12" t="s">
        <v>25</v>
      </c>
      <c r="G12" t="s">
        <v>53</v>
      </c>
      <c r="H12" t="s">
        <v>30</v>
      </c>
      <c r="I12" t="s">
        <v>22</v>
      </c>
      <c r="J12">
        <v>10</v>
      </c>
      <c r="K12">
        <v>445000</v>
      </c>
      <c r="L12">
        <v>0</v>
      </c>
      <c r="M12">
        <v>4450000</v>
      </c>
      <c r="N12">
        <v>3382224.24</v>
      </c>
      <c r="O12">
        <v>1067775.76</v>
      </c>
    </row>
    <row r="13" spans="1:15" x14ac:dyDescent="0.25">
      <c r="A13" t="s">
        <v>337</v>
      </c>
      <c r="B13" s="5">
        <v>46006</v>
      </c>
      <c r="C13" t="s">
        <v>327</v>
      </c>
      <c r="D13" t="s">
        <v>283</v>
      </c>
      <c r="E13" t="s">
        <v>49</v>
      </c>
      <c r="F13" t="s">
        <v>43</v>
      </c>
      <c r="G13" t="s">
        <v>53</v>
      </c>
      <c r="H13" t="s">
        <v>21</v>
      </c>
      <c r="I13" t="s">
        <v>34</v>
      </c>
      <c r="J13">
        <v>2</v>
      </c>
      <c r="K13">
        <v>622000</v>
      </c>
      <c r="L13">
        <v>0</v>
      </c>
      <c r="M13">
        <v>1244000</v>
      </c>
      <c r="N13">
        <v>988415.29</v>
      </c>
      <c r="O13">
        <v>255584.71</v>
      </c>
    </row>
    <row r="14" spans="1:15" x14ac:dyDescent="0.25">
      <c r="A14" t="s">
        <v>334</v>
      </c>
      <c r="B14" s="5">
        <v>46003</v>
      </c>
      <c r="C14" t="s">
        <v>327</v>
      </c>
      <c r="D14" t="s">
        <v>283</v>
      </c>
      <c r="E14" t="s">
        <v>49</v>
      </c>
      <c r="F14" t="s">
        <v>58</v>
      </c>
      <c r="G14" t="s">
        <v>53</v>
      </c>
      <c r="H14" t="s">
        <v>33</v>
      </c>
      <c r="I14" t="s">
        <v>22</v>
      </c>
      <c r="J14">
        <v>4</v>
      </c>
      <c r="K14">
        <v>418000</v>
      </c>
      <c r="L14">
        <v>0.05</v>
      </c>
      <c r="M14">
        <v>1588400</v>
      </c>
      <c r="N14">
        <v>1088358.6299999999</v>
      </c>
      <c r="O14">
        <v>500041.37</v>
      </c>
    </row>
    <row r="15" spans="1:15" x14ac:dyDescent="0.25">
      <c r="A15" t="s">
        <v>325</v>
      </c>
      <c r="B15" s="5">
        <v>45988</v>
      </c>
      <c r="C15" t="s">
        <v>309</v>
      </c>
      <c r="D15" t="s">
        <v>283</v>
      </c>
      <c r="E15" t="s">
        <v>18</v>
      </c>
      <c r="F15" t="s">
        <v>68</v>
      </c>
      <c r="G15" t="s">
        <v>53</v>
      </c>
      <c r="H15" t="s">
        <v>21</v>
      </c>
      <c r="I15" t="s">
        <v>22</v>
      </c>
      <c r="J15">
        <v>2</v>
      </c>
      <c r="K15">
        <v>229000</v>
      </c>
      <c r="L15">
        <v>0</v>
      </c>
      <c r="M15">
        <v>458000</v>
      </c>
      <c r="N15">
        <v>322112.31</v>
      </c>
      <c r="O15">
        <v>135887.69</v>
      </c>
    </row>
    <row r="16" spans="1:15" x14ac:dyDescent="0.25">
      <c r="A16" t="s">
        <v>52</v>
      </c>
      <c r="B16" s="5">
        <v>45678</v>
      </c>
      <c r="C16" t="s">
        <v>16</v>
      </c>
      <c r="D16" t="s">
        <v>17</v>
      </c>
      <c r="E16" t="s">
        <v>49</v>
      </c>
      <c r="F16" t="s">
        <v>29</v>
      </c>
      <c r="G16" t="s">
        <v>53</v>
      </c>
      <c r="H16" t="s">
        <v>21</v>
      </c>
      <c r="I16" t="s">
        <v>34</v>
      </c>
      <c r="J16">
        <v>1</v>
      </c>
      <c r="K16">
        <v>580000</v>
      </c>
      <c r="L16">
        <v>0.02</v>
      </c>
      <c r="M16">
        <v>568400</v>
      </c>
      <c r="N16">
        <v>416295.35</v>
      </c>
      <c r="O16">
        <v>152104.65</v>
      </c>
    </row>
    <row r="17" spans="1:15" x14ac:dyDescent="0.25">
      <c r="A17" t="s">
        <v>54</v>
      </c>
      <c r="B17" s="5">
        <v>45678</v>
      </c>
      <c r="C17" t="s">
        <v>16</v>
      </c>
      <c r="D17" t="s">
        <v>17</v>
      </c>
      <c r="E17" t="s">
        <v>49</v>
      </c>
      <c r="F17" t="s">
        <v>55</v>
      </c>
      <c r="G17" t="s">
        <v>53</v>
      </c>
      <c r="H17" t="s">
        <v>21</v>
      </c>
      <c r="I17" t="s">
        <v>41</v>
      </c>
      <c r="J17">
        <v>3</v>
      </c>
      <c r="K17">
        <v>421000</v>
      </c>
      <c r="L17">
        <v>0</v>
      </c>
      <c r="M17">
        <v>1263000</v>
      </c>
      <c r="N17">
        <v>936525.83</v>
      </c>
      <c r="O17">
        <v>326474.17</v>
      </c>
    </row>
    <row r="18" spans="1:15" x14ac:dyDescent="0.25">
      <c r="A18" t="s">
        <v>324</v>
      </c>
      <c r="B18" s="5">
        <v>45988</v>
      </c>
      <c r="C18" t="s">
        <v>309</v>
      </c>
      <c r="D18" t="s">
        <v>283</v>
      </c>
      <c r="E18" t="s">
        <v>24</v>
      </c>
      <c r="F18" t="s">
        <v>36</v>
      </c>
      <c r="G18" t="s">
        <v>53</v>
      </c>
      <c r="H18" t="s">
        <v>33</v>
      </c>
      <c r="I18" t="s">
        <v>41</v>
      </c>
      <c r="J18">
        <v>2</v>
      </c>
      <c r="K18">
        <v>340000</v>
      </c>
      <c r="L18">
        <v>0</v>
      </c>
      <c r="M18">
        <v>680000</v>
      </c>
      <c r="N18">
        <v>454111.53</v>
      </c>
      <c r="O18">
        <v>225888.47</v>
      </c>
    </row>
    <row r="19" spans="1:15" x14ac:dyDescent="0.25">
      <c r="A19" t="s">
        <v>317</v>
      </c>
      <c r="B19" s="5">
        <v>45972</v>
      </c>
      <c r="C19" t="s">
        <v>309</v>
      </c>
      <c r="D19" t="s">
        <v>283</v>
      </c>
      <c r="E19" t="s">
        <v>49</v>
      </c>
      <c r="F19" t="s">
        <v>55</v>
      </c>
      <c r="G19" t="s">
        <v>53</v>
      </c>
      <c r="H19" t="s">
        <v>30</v>
      </c>
      <c r="I19" t="s">
        <v>34</v>
      </c>
      <c r="J19">
        <v>1</v>
      </c>
      <c r="K19">
        <v>200000</v>
      </c>
      <c r="L19">
        <v>0.02</v>
      </c>
      <c r="M19">
        <v>196000</v>
      </c>
      <c r="N19">
        <v>125244.46</v>
      </c>
      <c r="O19">
        <v>70755.539999999994</v>
      </c>
    </row>
    <row r="20" spans="1:15" x14ac:dyDescent="0.25">
      <c r="A20" t="s">
        <v>301</v>
      </c>
      <c r="B20" s="5">
        <v>45955</v>
      </c>
      <c r="C20" t="s">
        <v>282</v>
      </c>
      <c r="D20" t="s">
        <v>283</v>
      </c>
      <c r="E20" t="s">
        <v>28</v>
      </c>
      <c r="F20" t="s">
        <v>43</v>
      </c>
      <c r="G20" t="s">
        <v>53</v>
      </c>
      <c r="H20" t="s">
        <v>30</v>
      </c>
      <c r="I20" t="s">
        <v>22</v>
      </c>
      <c r="J20">
        <v>4</v>
      </c>
      <c r="K20">
        <v>426000</v>
      </c>
      <c r="L20">
        <v>0</v>
      </c>
      <c r="M20">
        <v>1704000</v>
      </c>
      <c r="N20">
        <v>1249820</v>
      </c>
      <c r="O20">
        <v>454180</v>
      </c>
    </row>
    <row r="21" spans="1:15" x14ac:dyDescent="0.25">
      <c r="A21" t="s">
        <v>290</v>
      </c>
      <c r="B21" s="5">
        <v>45943</v>
      </c>
      <c r="C21" t="s">
        <v>282</v>
      </c>
      <c r="D21" t="s">
        <v>283</v>
      </c>
      <c r="E21" t="s">
        <v>18</v>
      </c>
      <c r="F21" t="s">
        <v>29</v>
      </c>
      <c r="G21" t="s">
        <v>53</v>
      </c>
      <c r="H21" t="s">
        <v>30</v>
      </c>
      <c r="I21" t="s">
        <v>31</v>
      </c>
      <c r="J21">
        <v>1</v>
      </c>
      <c r="K21">
        <v>590000</v>
      </c>
      <c r="L21">
        <v>0.02</v>
      </c>
      <c r="M21">
        <v>578200</v>
      </c>
      <c r="N21">
        <v>421010.37</v>
      </c>
      <c r="O21">
        <v>157189.63</v>
      </c>
    </row>
    <row r="22" spans="1:15" x14ac:dyDescent="0.25">
      <c r="A22" t="s">
        <v>62</v>
      </c>
      <c r="B22" s="5">
        <v>45686</v>
      </c>
      <c r="C22" t="s">
        <v>16</v>
      </c>
      <c r="D22" t="s">
        <v>17</v>
      </c>
      <c r="E22" t="s">
        <v>24</v>
      </c>
      <c r="F22" t="s">
        <v>25</v>
      </c>
      <c r="G22" t="s">
        <v>53</v>
      </c>
      <c r="H22" t="s">
        <v>33</v>
      </c>
      <c r="I22" t="s">
        <v>41</v>
      </c>
      <c r="J22">
        <v>8</v>
      </c>
      <c r="K22">
        <v>360000</v>
      </c>
      <c r="L22">
        <v>0</v>
      </c>
      <c r="M22">
        <v>2880000</v>
      </c>
      <c r="N22">
        <v>1791063.61</v>
      </c>
      <c r="O22">
        <v>1088936.3899999999</v>
      </c>
    </row>
    <row r="23" spans="1:15" x14ac:dyDescent="0.25">
      <c r="A23" t="s">
        <v>286</v>
      </c>
      <c r="B23" s="5">
        <v>45937</v>
      </c>
      <c r="C23" t="s">
        <v>282</v>
      </c>
      <c r="D23" t="s">
        <v>283</v>
      </c>
      <c r="E23" t="s">
        <v>28</v>
      </c>
      <c r="F23" t="s">
        <v>25</v>
      </c>
      <c r="G23" t="s">
        <v>53</v>
      </c>
      <c r="H23" t="s">
        <v>30</v>
      </c>
      <c r="I23" t="s">
        <v>22</v>
      </c>
      <c r="J23">
        <v>3</v>
      </c>
      <c r="K23">
        <v>634000</v>
      </c>
      <c r="L23">
        <v>0</v>
      </c>
      <c r="M23">
        <v>1902000</v>
      </c>
      <c r="N23">
        <v>1400049.88</v>
      </c>
      <c r="O23">
        <v>501950.12</v>
      </c>
    </row>
    <row r="24" spans="1:15" x14ac:dyDescent="0.25">
      <c r="A24" t="s">
        <v>269</v>
      </c>
      <c r="B24" s="5">
        <v>45919</v>
      </c>
      <c r="C24" t="s">
        <v>256</v>
      </c>
      <c r="D24" t="s">
        <v>201</v>
      </c>
      <c r="E24" t="s">
        <v>24</v>
      </c>
      <c r="F24" t="s">
        <v>36</v>
      </c>
      <c r="G24" t="s">
        <v>53</v>
      </c>
      <c r="H24" t="s">
        <v>21</v>
      </c>
      <c r="I24" t="s">
        <v>31</v>
      </c>
      <c r="J24">
        <v>2</v>
      </c>
      <c r="K24">
        <v>262000</v>
      </c>
      <c r="L24">
        <v>0</v>
      </c>
      <c r="M24">
        <v>524000</v>
      </c>
      <c r="N24">
        <v>406580.45</v>
      </c>
      <c r="O24">
        <v>117419.55</v>
      </c>
    </row>
    <row r="25" spans="1:15" x14ac:dyDescent="0.25">
      <c r="A25" t="s">
        <v>262</v>
      </c>
      <c r="B25" s="5">
        <v>45913</v>
      </c>
      <c r="C25" t="s">
        <v>256</v>
      </c>
      <c r="D25" t="s">
        <v>201</v>
      </c>
      <c r="E25" t="s">
        <v>49</v>
      </c>
      <c r="F25" t="s">
        <v>55</v>
      </c>
      <c r="G25" t="s">
        <v>53</v>
      </c>
      <c r="H25" t="s">
        <v>21</v>
      </c>
      <c r="I25" t="s">
        <v>22</v>
      </c>
      <c r="J25">
        <v>3</v>
      </c>
      <c r="K25">
        <v>358000</v>
      </c>
      <c r="L25">
        <v>0</v>
      </c>
      <c r="M25">
        <v>1074000</v>
      </c>
      <c r="N25">
        <v>799947.19</v>
      </c>
      <c r="O25">
        <v>274052.81</v>
      </c>
    </row>
    <row r="26" spans="1:15" x14ac:dyDescent="0.25">
      <c r="A26" t="s">
        <v>260</v>
      </c>
      <c r="B26" s="5">
        <v>45911</v>
      </c>
      <c r="C26" t="s">
        <v>256</v>
      </c>
      <c r="D26" t="s">
        <v>201</v>
      </c>
      <c r="E26" t="s">
        <v>28</v>
      </c>
      <c r="F26" t="s">
        <v>25</v>
      </c>
      <c r="G26" t="s">
        <v>53</v>
      </c>
      <c r="H26" t="s">
        <v>21</v>
      </c>
      <c r="I26" t="s">
        <v>22</v>
      </c>
      <c r="J26">
        <v>3</v>
      </c>
      <c r="K26">
        <v>641000</v>
      </c>
      <c r="L26">
        <v>0</v>
      </c>
      <c r="M26">
        <v>1923000</v>
      </c>
      <c r="N26">
        <v>1575419.17</v>
      </c>
      <c r="O26">
        <v>347580.83</v>
      </c>
    </row>
    <row r="27" spans="1:15" x14ac:dyDescent="0.25">
      <c r="A27" t="s">
        <v>69</v>
      </c>
      <c r="B27" s="5">
        <v>45692</v>
      </c>
      <c r="C27" t="s">
        <v>65</v>
      </c>
      <c r="D27" t="s">
        <v>17</v>
      </c>
      <c r="E27" t="s">
        <v>24</v>
      </c>
      <c r="F27" t="s">
        <v>55</v>
      </c>
      <c r="G27" t="s">
        <v>53</v>
      </c>
      <c r="H27" t="s">
        <v>33</v>
      </c>
      <c r="I27" t="s">
        <v>31</v>
      </c>
      <c r="J27">
        <v>3</v>
      </c>
      <c r="K27">
        <v>373000</v>
      </c>
      <c r="L27">
        <v>0</v>
      </c>
      <c r="M27">
        <v>1119000</v>
      </c>
      <c r="N27">
        <v>723586.83</v>
      </c>
      <c r="O27">
        <v>395413.17</v>
      </c>
    </row>
    <row r="28" spans="1:15" x14ac:dyDescent="0.25">
      <c r="A28" t="s">
        <v>251</v>
      </c>
      <c r="B28" s="5">
        <v>45894</v>
      </c>
      <c r="C28" t="s">
        <v>229</v>
      </c>
      <c r="D28" t="s">
        <v>201</v>
      </c>
      <c r="E28" t="s">
        <v>18</v>
      </c>
      <c r="F28" t="s">
        <v>19</v>
      </c>
      <c r="G28" t="s">
        <v>53</v>
      </c>
      <c r="H28" t="s">
        <v>30</v>
      </c>
      <c r="I28" t="s">
        <v>41</v>
      </c>
      <c r="J28">
        <v>2</v>
      </c>
      <c r="K28">
        <v>253000</v>
      </c>
      <c r="L28">
        <v>0</v>
      </c>
      <c r="M28">
        <v>506000</v>
      </c>
      <c r="N28">
        <v>386037.11</v>
      </c>
      <c r="O28">
        <v>119962.89</v>
      </c>
    </row>
    <row r="29" spans="1:15" x14ac:dyDescent="0.25">
      <c r="A29" t="s">
        <v>249</v>
      </c>
      <c r="B29" s="5">
        <v>45892</v>
      </c>
      <c r="C29" t="s">
        <v>229</v>
      </c>
      <c r="D29" t="s">
        <v>201</v>
      </c>
      <c r="E29" t="s">
        <v>49</v>
      </c>
      <c r="F29" t="s">
        <v>55</v>
      </c>
      <c r="G29" t="s">
        <v>53</v>
      </c>
      <c r="H29" t="s">
        <v>30</v>
      </c>
      <c r="I29" t="s">
        <v>31</v>
      </c>
      <c r="J29">
        <v>3</v>
      </c>
      <c r="K29">
        <v>434000</v>
      </c>
      <c r="L29">
        <v>0</v>
      </c>
      <c r="M29">
        <v>1302000</v>
      </c>
      <c r="N29">
        <v>843528.32</v>
      </c>
      <c r="O29">
        <v>458471.67999999999</v>
      </c>
    </row>
    <row r="30" spans="1:15" x14ac:dyDescent="0.25">
      <c r="A30" t="s">
        <v>242</v>
      </c>
      <c r="B30" s="5">
        <v>45877</v>
      </c>
      <c r="C30" t="s">
        <v>229</v>
      </c>
      <c r="D30" t="s">
        <v>201</v>
      </c>
      <c r="E30" t="s">
        <v>18</v>
      </c>
      <c r="F30" t="s">
        <v>19</v>
      </c>
      <c r="G30" t="s">
        <v>53</v>
      </c>
      <c r="H30" t="s">
        <v>33</v>
      </c>
      <c r="I30" t="s">
        <v>41</v>
      </c>
      <c r="J30">
        <v>2</v>
      </c>
      <c r="K30">
        <v>468000</v>
      </c>
      <c r="L30">
        <v>0.05</v>
      </c>
      <c r="M30">
        <v>889200</v>
      </c>
      <c r="N30">
        <v>581333.03</v>
      </c>
      <c r="O30">
        <v>307866.96999999997</v>
      </c>
    </row>
    <row r="31" spans="1:15" x14ac:dyDescent="0.25">
      <c r="A31" t="s">
        <v>234</v>
      </c>
      <c r="B31" s="5">
        <v>45874</v>
      </c>
      <c r="C31" t="s">
        <v>229</v>
      </c>
      <c r="D31" t="s">
        <v>201</v>
      </c>
      <c r="E31" t="s">
        <v>24</v>
      </c>
      <c r="F31" t="s">
        <v>29</v>
      </c>
      <c r="G31" t="s">
        <v>53</v>
      </c>
      <c r="H31" t="s">
        <v>30</v>
      </c>
      <c r="I31" t="s">
        <v>31</v>
      </c>
      <c r="J31">
        <v>4</v>
      </c>
      <c r="K31">
        <v>413000</v>
      </c>
      <c r="L31">
        <v>0</v>
      </c>
      <c r="M31">
        <v>1652000</v>
      </c>
      <c r="N31">
        <v>1333708.55</v>
      </c>
      <c r="O31">
        <v>318291.45</v>
      </c>
    </row>
    <row r="32" spans="1:15" x14ac:dyDescent="0.25">
      <c r="A32" t="s">
        <v>228</v>
      </c>
      <c r="B32" s="5">
        <v>45870</v>
      </c>
      <c r="C32" t="s">
        <v>229</v>
      </c>
      <c r="D32" t="s">
        <v>201</v>
      </c>
      <c r="E32" t="s">
        <v>18</v>
      </c>
      <c r="F32" t="s">
        <v>43</v>
      </c>
      <c r="G32" t="s">
        <v>53</v>
      </c>
      <c r="H32" t="s">
        <v>33</v>
      </c>
      <c r="I32" t="s">
        <v>34</v>
      </c>
      <c r="J32">
        <v>2</v>
      </c>
      <c r="K32">
        <v>241000</v>
      </c>
      <c r="L32">
        <v>0.05</v>
      </c>
      <c r="M32">
        <v>457900</v>
      </c>
      <c r="N32">
        <v>327129.28999999998</v>
      </c>
      <c r="O32">
        <v>130770.71</v>
      </c>
    </row>
    <row r="33" spans="1:15" x14ac:dyDescent="0.25">
      <c r="A33" t="s">
        <v>75</v>
      </c>
      <c r="B33" s="5">
        <v>45696</v>
      </c>
      <c r="C33" t="s">
        <v>65</v>
      </c>
      <c r="D33" t="s">
        <v>17</v>
      </c>
      <c r="E33" t="s">
        <v>49</v>
      </c>
      <c r="F33" t="s">
        <v>58</v>
      </c>
      <c r="G33" t="s">
        <v>53</v>
      </c>
      <c r="H33" t="s">
        <v>33</v>
      </c>
      <c r="I33" t="s">
        <v>22</v>
      </c>
      <c r="J33">
        <v>3</v>
      </c>
      <c r="K33">
        <v>564000</v>
      </c>
      <c r="L33">
        <v>0.05</v>
      </c>
      <c r="M33">
        <v>1607400</v>
      </c>
      <c r="N33">
        <v>1181368.1299999999</v>
      </c>
      <c r="O33">
        <v>426031.87</v>
      </c>
    </row>
    <row r="34" spans="1:15" x14ac:dyDescent="0.25">
      <c r="A34" t="s">
        <v>76</v>
      </c>
      <c r="B34" s="5">
        <v>45697</v>
      </c>
      <c r="C34" t="s">
        <v>65</v>
      </c>
      <c r="D34" t="s">
        <v>17</v>
      </c>
      <c r="E34" t="s">
        <v>24</v>
      </c>
      <c r="F34" t="s">
        <v>68</v>
      </c>
      <c r="G34" t="s">
        <v>53</v>
      </c>
      <c r="H34" t="s">
        <v>33</v>
      </c>
      <c r="I34" t="s">
        <v>31</v>
      </c>
      <c r="J34">
        <v>4</v>
      </c>
      <c r="K34">
        <v>263000</v>
      </c>
      <c r="L34">
        <v>0.02</v>
      </c>
      <c r="M34">
        <v>1030960</v>
      </c>
      <c r="N34">
        <v>769753.84</v>
      </c>
      <c r="O34">
        <v>261206.16</v>
      </c>
    </row>
    <row r="35" spans="1:15" x14ac:dyDescent="0.25">
      <c r="A35" t="s">
        <v>222</v>
      </c>
      <c r="B35" s="5">
        <v>45861</v>
      </c>
      <c r="C35" t="s">
        <v>200</v>
      </c>
      <c r="D35" t="s">
        <v>201</v>
      </c>
      <c r="E35" t="s">
        <v>49</v>
      </c>
      <c r="F35" t="s">
        <v>29</v>
      </c>
      <c r="G35" t="s">
        <v>53</v>
      </c>
      <c r="H35" t="s">
        <v>30</v>
      </c>
      <c r="I35" t="s">
        <v>41</v>
      </c>
      <c r="J35">
        <v>2</v>
      </c>
      <c r="K35">
        <v>348000</v>
      </c>
      <c r="L35">
        <v>0.02</v>
      </c>
      <c r="M35">
        <v>682080</v>
      </c>
      <c r="N35">
        <v>471553.56</v>
      </c>
      <c r="O35">
        <v>210526.44</v>
      </c>
    </row>
    <row r="36" spans="1:15" x14ac:dyDescent="0.25">
      <c r="A36" t="s">
        <v>208</v>
      </c>
      <c r="B36" s="5">
        <v>45846</v>
      </c>
      <c r="C36" t="s">
        <v>200</v>
      </c>
      <c r="D36" t="s">
        <v>201</v>
      </c>
      <c r="E36" t="s">
        <v>24</v>
      </c>
      <c r="F36" t="s">
        <v>58</v>
      </c>
      <c r="G36" t="s">
        <v>53</v>
      </c>
      <c r="H36" t="s">
        <v>33</v>
      </c>
      <c r="I36" t="s">
        <v>22</v>
      </c>
      <c r="J36">
        <v>5</v>
      </c>
      <c r="K36">
        <v>417000</v>
      </c>
      <c r="L36">
        <v>0.02</v>
      </c>
      <c r="M36">
        <v>2043300</v>
      </c>
      <c r="N36">
        <v>1488436.66</v>
      </c>
      <c r="O36">
        <v>554863.34</v>
      </c>
    </row>
    <row r="37" spans="1:15" x14ac:dyDescent="0.25">
      <c r="A37" t="s">
        <v>79</v>
      </c>
      <c r="B37" s="5">
        <v>45698</v>
      </c>
      <c r="C37" t="s">
        <v>65</v>
      </c>
      <c r="D37" t="s">
        <v>17</v>
      </c>
      <c r="E37" t="s">
        <v>18</v>
      </c>
      <c r="F37" t="s">
        <v>58</v>
      </c>
      <c r="G37" t="s">
        <v>53</v>
      </c>
      <c r="H37" t="s">
        <v>30</v>
      </c>
      <c r="I37" t="s">
        <v>31</v>
      </c>
      <c r="J37">
        <v>2</v>
      </c>
      <c r="K37">
        <v>397000</v>
      </c>
      <c r="L37">
        <v>0.02</v>
      </c>
      <c r="M37">
        <v>778120</v>
      </c>
      <c r="N37">
        <v>494531.78</v>
      </c>
      <c r="O37">
        <v>283588.21999999997</v>
      </c>
    </row>
    <row r="38" spans="1:15" x14ac:dyDescent="0.25">
      <c r="A38" t="s">
        <v>204</v>
      </c>
      <c r="B38" s="5">
        <v>45844</v>
      </c>
      <c r="C38" t="s">
        <v>200</v>
      </c>
      <c r="D38" t="s">
        <v>201</v>
      </c>
      <c r="E38" t="s">
        <v>47</v>
      </c>
      <c r="F38" t="s">
        <v>43</v>
      </c>
      <c r="G38" t="s">
        <v>53</v>
      </c>
      <c r="H38" t="s">
        <v>21</v>
      </c>
      <c r="I38" t="s">
        <v>31</v>
      </c>
      <c r="J38">
        <v>4</v>
      </c>
      <c r="K38">
        <v>372000</v>
      </c>
      <c r="L38">
        <v>0</v>
      </c>
      <c r="M38">
        <v>1488000</v>
      </c>
      <c r="N38">
        <v>945469.22</v>
      </c>
      <c r="O38">
        <v>542530.78</v>
      </c>
    </row>
    <row r="39" spans="1:15" x14ac:dyDescent="0.25">
      <c r="A39" t="s">
        <v>199</v>
      </c>
      <c r="B39" s="5">
        <v>45839</v>
      </c>
      <c r="C39" t="s">
        <v>200</v>
      </c>
      <c r="D39" t="s">
        <v>201</v>
      </c>
      <c r="E39" t="s">
        <v>49</v>
      </c>
      <c r="F39" t="s">
        <v>29</v>
      </c>
      <c r="G39" t="s">
        <v>53</v>
      </c>
      <c r="H39" t="s">
        <v>21</v>
      </c>
      <c r="I39" t="s">
        <v>41</v>
      </c>
      <c r="J39">
        <v>6</v>
      </c>
      <c r="K39">
        <v>296000</v>
      </c>
      <c r="L39">
        <v>0</v>
      </c>
      <c r="M39">
        <v>1776000</v>
      </c>
      <c r="N39">
        <v>1197716.54</v>
      </c>
      <c r="O39">
        <v>578283.46</v>
      </c>
    </row>
    <row r="40" spans="1:15" x14ac:dyDescent="0.25">
      <c r="A40" t="s">
        <v>197</v>
      </c>
      <c r="B40" s="5">
        <v>45838</v>
      </c>
      <c r="C40" t="s">
        <v>172</v>
      </c>
      <c r="D40" t="s">
        <v>125</v>
      </c>
      <c r="E40" t="s">
        <v>28</v>
      </c>
      <c r="F40" t="s">
        <v>55</v>
      </c>
      <c r="G40" t="s">
        <v>53</v>
      </c>
      <c r="H40" t="s">
        <v>30</v>
      </c>
      <c r="I40" t="s">
        <v>34</v>
      </c>
      <c r="J40">
        <v>3</v>
      </c>
      <c r="K40">
        <v>393000</v>
      </c>
      <c r="L40">
        <v>0</v>
      </c>
      <c r="M40">
        <v>1179000</v>
      </c>
      <c r="N40">
        <v>918864.93</v>
      </c>
      <c r="O40">
        <v>260135.07</v>
      </c>
    </row>
    <row r="41" spans="1:15" x14ac:dyDescent="0.25">
      <c r="A41" t="s">
        <v>194</v>
      </c>
      <c r="B41" s="5">
        <v>45836</v>
      </c>
      <c r="C41" t="s">
        <v>172</v>
      </c>
      <c r="D41" t="s">
        <v>125</v>
      </c>
      <c r="E41" t="s">
        <v>18</v>
      </c>
      <c r="F41" t="s">
        <v>68</v>
      </c>
      <c r="G41" t="s">
        <v>53</v>
      </c>
      <c r="H41" t="s">
        <v>33</v>
      </c>
      <c r="I41" t="s">
        <v>41</v>
      </c>
      <c r="J41">
        <v>8</v>
      </c>
      <c r="K41">
        <v>260000</v>
      </c>
      <c r="L41">
        <v>0</v>
      </c>
      <c r="M41">
        <v>2080000</v>
      </c>
      <c r="N41">
        <v>1617741.74</v>
      </c>
      <c r="O41">
        <v>462258.26</v>
      </c>
    </row>
    <row r="42" spans="1:15" x14ac:dyDescent="0.25">
      <c r="A42" t="s">
        <v>184</v>
      </c>
      <c r="B42" s="5">
        <v>45821</v>
      </c>
      <c r="C42" t="s">
        <v>172</v>
      </c>
      <c r="D42" t="s">
        <v>125</v>
      </c>
      <c r="E42" t="s">
        <v>28</v>
      </c>
      <c r="F42" t="s">
        <v>68</v>
      </c>
      <c r="G42" t="s">
        <v>53</v>
      </c>
      <c r="H42" t="s">
        <v>33</v>
      </c>
      <c r="I42" t="s">
        <v>34</v>
      </c>
      <c r="J42">
        <v>8</v>
      </c>
      <c r="K42">
        <v>363000</v>
      </c>
      <c r="L42">
        <v>0</v>
      </c>
      <c r="M42">
        <v>2904000</v>
      </c>
      <c r="N42">
        <v>2181912.65</v>
      </c>
      <c r="O42">
        <v>722087.35</v>
      </c>
    </row>
    <row r="43" spans="1:15" x14ac:dyDescent="0.25">
      <c r="A43" t="s">
        <v>178</v>
      </c>
      <c r="B43" s="5">
        <v>45815</v>
      </c>
      <c r="C43" t="s">
        <v>172</v>
      </c>
      <c r="D43" t="s">
        <v>125</v>
      </c>
      <c r="E43" t="s">
        <v>28</v>
      </c>
      <c r="F43" t="s">
        <v>25</v>
      </c>
      <c r="G43" t="s">
        <v>53</v>
      </c>
      <c r="H43" t="s">
        <v>33</v>
      </c>
      <c r="I43" t="s">
        <v>22</v>
      </c>
      <c r="J43">
        <v>3</v>
      </c>
      <c r="K43">
        <v>190000</v>
      </c>
      <c r="L43">
        <v>0.05</v>
      </c>
      <c r="M43">
        <v>541500</v>
      </c>
      <c r="N43">
        <v>395184.58</v>
      </c>
      <c r="O43">
        <v>146315.42000000001</v>
      </c>
    </row>
    <row r="44" spans="1:15" x14ac:dyDescent="0.25">
      <c r="A44" t="s">
        <v>86</v>
      </c>
      <c r="B44" s="5">
        <v>45706</v>
      </c>
      <c r="C44" t="s">
        <v>65</v>
      </c>
      <c r="D44" t="s">
        <v>17</v>
      </c>
      <c r="E44" t="s">
        <v>18</v>
      </c>
      <c r="F44" t="s">
        <v>36</v>
      </c>
      <c r="G44" t="s">
        <v>53</v>
      </c>
      <c r="H44" t="s">
        <v>21</v>
      </c>
      <c r="I44" t="s">
        <v>41</v>
      </c>
      <c r="J44">
        <v>2</v>
      </c>
      <c r="K44">
        <v>467000</v>
      </c>
      <c r="L44">
        <v>0</v>
      </c>
      <c r="M44">
        <v>934000</v>
      </c>
      <c r="N44">
        <v>675575.77</v>
      </c>
      <c r="O44">
        <v>258424.23</v>
      </c>
    </row>
    <row r="45" spans="1:15" x14ac:dyDescent="0.25">
      <c r="A45" t="s">
        <v>171</v>
      </c>
      <c r="B45" s="5">
        <v>45809</v>
      </c>
      <c r="C45" t="s">
        <v>172</v>
      </c>
      <c r="D45" t="s">
        <v>125</v>
      </c>
      <c r="E45" t="s">
        <v>47</v>
      </c>
      <c r="F45" t="s">
        <v>25</v>
      </c>
      <c r="G45" t="s">
        <v>53</v>
      </c>
      <c r="H45" t="s">
        <v>30</v>
      </c>
      <c r="I45" t="s">
        <v>41</v>
      </c>
      <c r="J45">
        <v>4</v>
      </c>
      <c r="K45">
        <v>547000</v>
      </c>
      <c r="L45">
        <v>0</v>
      </c>
      <c r="M45">
        <v>2188000</v>
      </c>
      <c r="N45">
        <v>1499140.2</v>
      </c>
      <c r="O45">
        <v>688859.8</v>
      </c>
    </row>
    <row r="46" spans="1:15" x14ac:dyDescent="0.25">
      <c r="A46" t="s">
        <v>88</v>
      </c>
      <c r="B46" s="5">
        <v>45706</v>
      </c>
      <c r="C46" t="s">
        <v>65</v>
      </c>
      <c r="D46" t="s">
        <v>17</v>
      </c>
      <c r="E46" t="s">
        <v>18</v>
      </c>
      <c r="F46" t="s">
        <v>29</v>
      </c>
      <c r="G46" t="s">
        <v>53</v>
      </c>
      <c r="H46" t="s">
        <v>30</v>
      </c>
      <c r="I46" t="s">
        <v>31</v>
      </c>
      <c r="J46">
        <v>3</v>
      </c>
      <c r="K46">
        <v>408000</v>
      </c>
      <c r="L46">
        <v>0</v>
      </c>
      <c r="M46">
        <v>1224000</v>
      </c>
      <c r="N46">
        <v>788991.21</v>
      </c>
      <c r="O46">
        <v>435008.79</v>
      </c>
    </row>
    <row r="47" spans="1:15" x14ac:dyDescent="0.25">
      <c r="A47" t="s">
        <v>89</v>
      </c>
      <c r="B47" s="5">
        <v>45709</v>
      </c>
      <c r="C47" t="s">
        <v>65</v>
      </c>
      <c r="D47" t="s">
        <v>17</v>
      </c>
      <c r="E47" t="s">
        <v>47</v>
      </c>
      <c r="F47" t="s">
        <v>25</v>
      </c>
      <c r="G47" t="s">
        <v>53</v>
      </c>
      <c r="H47" t="s">
        <v>21</v>
      </c>
      <c r="I47" t="s">
        <v>22</v>
      </c>
      <c r="J47">
        <v>1</v>
      </c>
      <c r="K47">
        <v>405000</v>
      </c>
      <c r="L47">
        <v>0</v>
      </c>
      <c r="M47">
        <v>405000</v>
      </c>
      <c r="N47">
        <v>301105.49</v>
      </c>
      <c r="O47">
        <v>103894.51</v>
      </c>
    </row>
    <row r="48" spans="1:15" x14ac:dyDescent="0.25">
      <c r="A48" t="s">
        <v>170</v>
      </c>
      <c r="B48" s="5">
        <v>45808</v>
      </c>
      <c r="C48" t="s">
        <v>150</v>
      </c>
      <c r="D48" t="s">
        <v>125</v>
      </c>
      <c r="E48" t="s">
        <v>49</v>
      </c>
      <c r="F48" t="s">
        <v>55</v>
      </c>
      <c r="G48" t="s">
        <v>53</v>
      </c>
      <c r="H48" t="s">
        <v>33</v>
      </c>
      <c r="I48" t="s">
        <v>41</v>
      </c>
      <c r="J48">
        <v>2</v>
      </c>
      <c r="K48">
        <v>504000</v>
      </c>
      <c r="L48">
        <v>0.05</v>
      </c>
      <c r="M48">
        <v>957600</v>
      </c>
      <c r="N48">
        <v>620050.01</v>
      </c>
      <c r="O48">
        <v>337549.99</v>
      </c>
    </row>
    <row r="49" spans="1:15" x14ac:dyDescent="0.25">
      <c r="A49" t="s">
        <v>91</v>
      </c>
      <c r="B49" s="5">
        <v>45715</v>
      </c>
      <c r="C49" t="s">
        <v>65</v>
      </c>
      <c r="D49" t="s">
        <v>17</v>
      </c>
      <c r="E49" t="s">
        <v>18</v>
      </c>
      <c r="F49" t="s">
        <v>36</v>
      </c>
      <c r="G49" t="s">
        <v>53</v>
      </c>
      <c r="H49" t="s">
        <v>33</v>
      </c>
      <c r="I49" t="s">
        <v>41</v>
      </c>
      <c r="J49">
        <v>6</v>
      </c>
      <c r="K49">
        <v>433000</v>
      </c>
      <c r="L49">
        <v>0.02</v>
      </c>
      <c r="M49">
        <v>2546040</v>
      </c>
      <c r="N49">
        <v>1849931.17</v>
      </c>
      <c r="O49">
        <v>696108.83</v>
      </c>
    </row>
    <row r="50" spans="1:15" x14ac:dyDescent="0.25">
      <c r="A50" t="s">
        <v>169</v>
      </c>
      <c r="B50" s="5">
        <v>45806</v>
      </c>
      <c r="C50" t="s">
        <v>150</v>
      </c>
      <c r="D50" t="s">
        <v>125</v>
      </c>
      <c r="E50" t="s">
        <v>18</v>
      </c>
      <c r="F50" t="s">
        <v>25</v>
      </c>
      <c r="G50" t="s">
        <v>53</v>
      </c>
      <c r="H50" t="s">
        <v>33</v>
      </c>
      <c r="I50" t="s">
        <v>41</v>
      </c>
      <c r="J50">
        <v>6</v>
      </c>
      <c r="K50">
        <v>612000</v>
      </c>
      <c r="L50">
        <v>0</v>
      </c>
      <c r="M50">
        <v>3672000</v>
      </c>
      <c r="N50">
        <v>2710872.68</v>
      </c>
      <c r="O50">
        <v>961127.32</v>
      </c>
    </row>
    <row r="51" spans="1:15" x14ac:dyDescent="0.25">
      <c r="A51" t="s">
        <v>165</v>
      </c>
      <c r="B51" s="5">
        <v>45793</v>
      </c>
      <c r="C51" t="s">
        <v>150</v>
      </c>
      <c r="D51" t="s">
        <v>125</v>
      </c>
      <c r="E51" t="s">
        <v>49</v>
      </c>
      <c r="F51" t="s">
        <v>19</v>
      </c>
      <c r="G51" t="s">
        <v>53</v>
      </c>
      <c r="H51" t="s">
        <v>21</v>
      </c>
      <c r="I51" t="s">
        <v>41</v>
      </c>
      <c r="J51">
        <v>3</v>
      </c>
      <c r="K51">
        <v>224000</v>
      </c>
      <c r="L51">
        <v>0.05</v>
      </c>
      <c r="M51">
        <v>638400</v>
      </c>
      <c r="N51">
        <v>451195.65</v>
      </c>
      <c r="O51">
        <v>187204.35</v>
      </c>
    </row>
    <row r="52" spans="1:15" x14ac:dyDescent="0.25">
      <c r="A52" t="s">
        <v>156</v>
      </c>
      <c r="B52" s="5">
        <v>45783</v>
      </c>
      <c r="C52" t="s">
        <v>150</v>
      </c>
      <c r="D52" t="s">
        <v>125</v>
      </c>
      <c r="E52" t="s">
        <v>47</v>
      </c>
      <c r="F52" t="s">
        <v>29</v>
      </c>
      <c r="G52" t="s">
        <v>53</v>
      </c>
      <c r="H52" t="s">
        <v>30</v>
      </c>
      <c r="I52" t="s">
        <v>31</v>
      </c>
      <c r="J52">
        <v>3</v>
      </c>
      <c r="K52">
        <v>191000</v>
      </c>
      <c r="L52">
        <v>0.02</v>
      </c>
      <c r="M52">
        <v>561540</v>
      </c>
      <c r="N52">
        <v>386407.37</v>
      </c>
      <c r="O52">
        <v>175132.63</v>
      </c>
    </row>
    <row r="53" spans="1:15" x14ac:dyDescent="0.25">
      <c r="A53" t="s">
        <v>153</v>
      </c>
      <c r="B53" s="5">
        <v>45782</v>
      </c>
      <c r="C53" t="s">
        <v>150</v>
      </c>
      <c r="D53" t="s">
        <v>125</v>
      </c>
      <c r="E53" t="s">
        <v>24</v>
      </c>
      <c r="F53" t="s">
        <v>43</v>
      </c>
      <c r="G53" t="s">
        <v>53</v>
      </c>
      <c r="H53" t="s">
        <v>33</v>
      </c>
      <c r="I53" t="s">
        <v>41</v>
      </c>
      <c r="J53">
        <v>5</v>
      </c>
      <c r="K53">
        <v>624000</v>
      </c>
      <c r="L53">
        <v>0.02</v>
      </c>
      <c r="M53">
        <v>3057600</v>
      </c>
      <c r="N53">
        <v>2178414.98</v>
      </c>
      <c r="O53">
        <v>879185.02</v>
      </c>
    </row>
    <row r="54" spans="1:15" x14ac:dyDescent="0.25">
      <c r="A54" t="s">
        <v>149</v>
      </c>
      <c r="B54" s="5">
        <v>45779</v>
      </c>
      <c r="C54" t="s">
        <v>150</v>
      </c>
      <c r="D54" t="s">
        <v>125</v>
      </c>
      <c r="E54" t="s">
        <v>24</v>
      </c>
      <c r="F54" t="s">
        <v>68</v>
      </c>
      <c r="G54" t="s">
        <v>53</v>
      </c>
      <c r="H54" t="s">
        <v>21</v>
      </c>
      <c r="I54" t="s">
        <v>41</v>
      </c>
      <c r="J54">
        <v>4</v>
      </c>
      <c r="K54">
        <v>616000</v>
      </c>
      <c r="L54">
        <v>0</v>
      </c>
      <c r="M54">
        <v>2464000</v>
      </c>
      <c r="N54">
        <v>1533945.9</v>
      </c>
      <c r="O54">
        <v>930054.1</v>
      </c>
    </row>
    <row r="55" spans="1:15" x14ac:dyDescent="0.25">
      <c r="A55" t="s">
        <v>138</v>
      </c>
      <c r="B55" s="5">
        <v>45766</v>
      </c>
      <c r="C55" t="s">
        <v>124</v>
      </c>
      <c r="D55" t="s">
        <v>125</v>
      </c>
      <c r="E55" t="s">
        <v>47</v>
      </c>
      <c r="F55" t="s">
        <v>19</v>
      </c>
      <c r="G55" t="s">
        <v>53</v>
      </c>
      <c r="H55" t="s">
        <v>33</v>
      </c>
      <c r="I55" t="s">
        <v>34</v>
      </c>
      <c r="J55">
        <v>2</v>
      </c>
      <c r="K55">
        <v>309000</v>
      </c>
      <c r="L55">
        <v>0</v>
      </c>
      <c r="M55">
        <v>618000</v>
      </c>
      <c r="N55">
        <v>433962.2</v>
      </c>
      <c r="O55">
        <v>184037.8</v>
      </c>
    </row>
    <row r="56" spans="1:15" x14ac:dyDescent="0.25">
      <c r="A56" t="s">
        <v>134</v>
      </c>
      <c r="B56" s="5">
        <v>45760</v>
      </c>
      <c r="C56" t="s">
        <v>124</v>
      </c>
      <c r="D56" t="s">
        <v>125</v>
      </c>
      <c r="E56" t="s">
        <v>18</v>
      </c>
      <c r="F56" t="s">
        <v>68</v>
      </c>
      <c r="G56" t="s">
        <v>53</v>
      </c>
      <c r="H56" t="s">
        <v>33</v>
      </c>
      <c r="I56" t="s">
        <v>41</v>
      </c>
      <c r="J56">
        <v>10</v>
      </c>
      <c r="K56">
        <v>614000</v>
      </c>
      <c r="L56">
        <v>0.05</v>
      </c>
      <c r="M56">
        <v>5833000</v>
      </c>
      <c r="N56">
        <v>4169678.31</v>
      </c>
      <c r="O56">
        <v>1663321.69</v>
      </c>
    </row>
    <row r="57" spans="1:15" x14ac:dyDescent="0.25">
      <c r="A57" t="s">
        <v>132</v>
      </c>
      <c r="B57" s="5">
        <v>45755</v>
      </c>
      <c r="C57" t="s">
        <v>124</v>
      </c>
      <c r="D57" t="s">
        <v>125</v>
      </c>
      <c r="E57" t="s">
        <v>49</v>
      </c>
      <c r="F57" t="s">
        <v>19</v>
      </c>
      <c r="G57" t="s">
        <v>53</v>
      </c>
      <c r="H57" t="s">
        <v>33</v>
      </c>
      <c r="I57" t="s">
        <v>41</v>
      </c>
      <c r="J57">
        <v>3</v>
      </c>
      <c r="K57">
        <v>285000</v>
      </c>
      <c r="L57">
        <v>0.02</v>
      </c>
      <c r="M57">
        <v>837900</v>
      </c>
      <c r="N57">
        <v>616708.85</v>
      </c>
      <c r="O57">
        <v>221191.15</v>
      </c>
    </row>
    <row r="58" spans="1:15" x14ac:dyDescent="0.25">
      <c r="A58" t="s">
        <v>131</v>
      </c>
      <c r="B58" s="5">
        <v>45755</v>
      </c>
      <c r="C58" t="s">
        <v>124</v>
      </c>
      <c r="D58" t="s">
        <v>125</v>
      </c>
      <c r="E58" t="s">
        <v>18</v>
      </c>
      <c r="F58" t="s">
        <v>36</v>
      </c>
      <c r="G58" t="s">
        <v>53</v>
      </c>
      <c r="H58" t="s">
        <v>21</v>
      </c>
      <c r="I58" t="s">
        <v>34</v>
      </c>
      <c r="J58">
        <v>3</v>
      </c>
      <c r="K58">
        <v>369000</v>
      </c>
      <c r="L58">
        <v>0.05</v>
      </c>
      <c r="M58">
        <v>1051650</v>
      </c>
      <c r="N58">
        <v>767460.23</v>
      </c>
      <c r="O58">
        <v>284189.77</v>
      </c>
    </row>
    <row r="59" spans="1:15" x14ac:dyDescent="0.25">
      <c r="A59" t="s">
        <v>129</v>
      </c>
      <c r="B59" s="5">
        <v>45753</v>
      </c>
      <c r="C59" t="s">
        <v>124</v>
      </c>
      <c r="D59" t="s">
        <v>125</v>
      </c>
      <c r="E59" t="s">
        <v>49</v>
      </c>
      <c r="F59" t="s">
        <v>43</v>
      </c>
      <c r="G59" t="s">
        <v>53</v>
      </c>
      <c r="H59" t="s">
        <v>33</v>
      </c>
      <c r="I59" t="s">
        <v>31</v>
      </c>
      <c r="J59">
        <v>2</v>
      </c>
      <c r="K59">
        <v>236000</v>
      </c>
      <c r="L59">
        <v>0.05</v>
      </c>
      <c r="M59">
        <v>448400</v>
      </c>
      <c r="N59">
        <v>306992.84000000003</v>
      </c>
      <c r="O59">
        <v>141407.16</v>
      </c>
    </row>
    <row r="60" spans="1:15" x14ac:dyDescent="0.25">
      <c r="A60" t="s">
        <v>118</v>
      </c>
      <c r="B60" s="5">
        <v>45745</v>
      </c>
      <c r="C60" t="s">
        <v>94</v>
      </c>
      <c r="D60" t="s">
        <v>17</v>
      </c>
      <c r="E60" t="s">
        <v>24</v>
      </c>
      <c r="F60" t="s">
        <v>29</v>
      </c>
      <c r="G60" t="s">
        <v>53</v>
      </c>
      <c r="H60" t="s">
        <v>33</v>
      </c>
      <c r="I60" t="s">
        <v>41</v>
      </c>
      <c r="J60">
        <v>4</v>
      </c>
      <c r="K60">
        <v>548000</v>
      </c>
      <c r="L60">
        <v>0.02</v>
      </c>
      <c r="M60">
        <v>2148160</v>
      </c>
      <c r="N60">
        <v>1716692.06</v>
      </c>
      <c r="O60">
        <v>431467.94</v>
      </c>
    </row>
    <row r="61" spans="1:15" x14ac:dyDescent="0.25">
      <c r="A61" t="s">
        <v>110</v>
      </c>
      <c r="B61" s="5">
        <v>45738</v>
      </c>
      <c r="C61" t="s">
        <v>94</v>
      </c>
      <c r="D61" t="s">
        <v>17</v>
      </c>
      <c r="E61" t="s">
        <v>18</v>
      </c>
      <c r="F61" t="s">
        <v>55</v>
      </c>
      <c r="G61" t="s">
        <v>53</v>
      </c>
      <c r="H61" t="s">
        <v>30</v>
      </c>
      <c r="I61" t="s">
        <v>34</v>
      </c>
      <c r="J61">
        <v>4</v>
      </c>
      <c r="K61">
        <v>296000</v>
      </c>
      <c r="L61">
        <v>0.02</v>
      </c>
      <c r="M61">
        <v>1160320</v>
      </c>
      <c r="N61">
        <v>753764.05</v>
      </c>
      <c r="O61">
        <v>406555.95</v>
      </c>
    </row>
    <row r="62" spans="1:15" x14ac:dyDescent="0.25">
      <c r="A62" t="s">
        <v>106</v>
      </c>
      <c r="B62" s="5">
        <v>45732</v>
      </c>
      <c r="C62" t="s">
        <v>94</v>
      </c>
      <c r="D62" t="s">
        <v>17</v>
      </c>
      <c r="E62" t="s">
        <v>18</v>
      </c>
      <c r="F62" t="s">
        <v>29</v>
      </c>
      <c r="G62" t="s">
        <v>53</v>
      </c>
      <c r="H62" t="s">
        <v>33</v>
      </c>
      <c r="I62" t="s">
        <v>22</v>
      </c>
      <c r="J62">
        <v>2</v>
      </c>
      <c r="K62">
        <v>413000</v>
      </c>
      <c r="L62">
        <v>0</v>
      </c>
      <c r="M62">
        <v>826000</v>
      </c>
      <c r="N62">
        <v>616122.93000000005</v>
      </c>
      <c r="O62">
        <v>209877.07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F034-041D-4AF5-8897-043412324868}">
  <dimension ref="A1:O62"/>
  <sheetViews>
    <sheetView workbookViewId="0">
      <selection activeCell="A3" sqref="A3:O62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0.85546875" bestFit="1" customWidth="1"/>
    <col min="4" max="4" width="10.140625" bestFit="1" customWidth="1"/>
    <col min="5" max="5" width="12.7109375" bestFit="1" customWidth="1"/>
    <col min="6" max="6" width="12.28515625" bestFit="1" customWidth="1"/>
    <col min="7" max="7" width="11.85546875" bestFit="1" customWidth="1"/>
    <col min="8" max="8" width="16.28515625" bestFit="1" customWidth="1"/>
    <col min="9" max="9" width="19.5703125" bestFit="1" customWidth="1"/>
    <col min="10" max="10" width="11" bestFit="1" customWidth="1"/>
    <col min="11" max="11" width="18" bestFit="1" customWidth="1"/>
    <col min="12" max="12" width="16.140625" bestFit="1" customWidth="1"/>
    <col min="13" max="13" width="13.140625" bestFit="1" customWidth="1"/>
    <col min="14" max="14" width="12.42578125" bestFit="1" customWidth="1"/>
    <col min="15" max="15" width="13.5703125" bestFit="1" customWidth="1"/>
  </cols>
  <sheetData>
    <row r="1" spans="1:15" x14ac:dyDescent="0.25">
      <c r="A1" s="10" t="s">
        <v>16824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357</v>
      </c>
      <c r="B4" s="5">
        <v>46022</v>
      </c>
      <c r="C4" t="s">
        <v>327</v>
      </c>
      <c r="D4" t="s">
        <v>283</v>
      </c>
      <c r="E4" t="s">
        <v>18</v>
      </c>
      <c r="F4" t="s">
        <v>29</v>
      </c>
      <c r="G4" t="s">
        <v>53</v>
      </c>
      <c r="H4" t="s">
        <v>33</v>
      </c>
      <c r="I4" t="s">
        <v>34</v>
      </c>
      <c r="J4">
        <v>3</v>
      </c>
      <c r="K4">
        <v>350000</v>
      </c>
      <c r="L4">
        <v>0.02</v>
      </c>
      <c r="M4">
        <v>1029000</v>
      </c>
      <c r="N4">
        <v>711264.71</v>
      </c>
      <c r="O4">
        <v>317735.28999999998</v>
      </c>
    </row>
    <row r="5" spans="1:15" x14ac:dyDescent="0.25">
      <c r="A5" t="s">
        <v>356</v>
      </c>
      <c r="B5" s="5">
        <v>46021</v>
      </c>
      <c r="C5" t="s">
        <v>327</v>
      </c>
      <c r="D5" t="s">
        <v>283</v>
      </c>
      <c r="E5" t="s">
        <v>49</v>
      </c>
      <c r="F5" t="s">
        <v>19</v>
      </c>
      <c r="G5" t="s">
        <v>53</v>
      </c>
      <c r="H5" t="s">
        <v>30</v>
      </c>
      <c r="I5" t="s">
        <v>31</v>
      </c>
      <c r="J5">
        <v>4</v>
      </c>
      <c r="K5">
        <v>216000</v>
      </c>
      <c r="L5">
        <v>0</v>
      </c>
      <c r="M5">
        <v>864000</v>
      </c>
      <c r="N5">
        <v>660919.69999999995</v>
      </c>
      <c r="O5">
        <v>203080.3</v>
      </c>
    </row>
    <row r="6" spans="1:15" x14ac:dyDescent="0.25">
      <c r="A6" t="s">
        <v>353</v>
      </c>
      <c r="B6" s="5">
        <v>46019</v>
      </c>
      <c r="C6" t="s">
        <v>327</v>
      </c>
      <c r="D6" t="s">
        <v>283</v>
      </c>
      <c r="E6" t="s">
        <v>28</v>
      </c>
      <c r="F6" t="s">
        <v>25</v>
      </c>
      <c r="G6" t="s">
        <v>53</v>
      </c>
      <c r="H6" t="s">
        <v>30</v>
      </c>
      <c r="I6" t="s">
        <v>22</v>
      </c>
      <c r="J6">
        <v>3</v>
      </c>
      <c r="K6">
        <v>350000</v>
      </c>
      <c r="L6">
        <v>0</v>
      </c>
      <c r="M6">
        <v>1050000</v>
      </c>
      <c r="N6">
        <v>680405.06</v>
      </c>
      <c r="O6">
        <v>369594.94</v>
      </c>
    </row>
    <row r="7" spans="1:15" x14ac:dyDescent="0.25">
      <c r="A7" t="s">
        <v>351</v>
      </c>
      <c r="B7" s="5">
        <v>46017</v>
      </c>
      <c r="C7" t="s">
        <v>327</v>
      </c>
      <c r="D7" t="s">
        <v>283</v>
      </c>
      <c r="E7" t="s">
        <v>47</v>
      </c>
      <c r="F7" t="s">
        <v>29</v>
      </c>
      <c r="G7" t="s">
        <v>53</v>
      </c>
      <c r="H7" t="s">
        <v>21</v>
      </c>
      <c r="I7" t="s">
        <v>22</v>
      </c>
      <c r="J7">
        <v>1</v>
      </c>
      <c r="K7">
        <v>240000</v>
      </c>
      <c r="L7">
        <v>0</v>
      </c>
      <c r="M7">
        <v>240000</v>
      </c>
      <c r="N7">
        <v>179561.99</v>
      </c>
      <c r="O7">
        <v>60438.01</v>
      </c>
    </row>
    <row r="8" spans="1:15" x14ac:dyDescent="0.25">
      <c r="A8" t="s">
        <v>345</v>
      </c>
      <c r="B8" s="5">
        <v>46015</v>
      </c>
      <c r="C8" t="s">
        <v>327</v>
      </c>
      <c r="D8" t="s">
        <v>283</v>
      </c>
      <c r="E8" t="s">
        <v>28</v>
      </c>
      <c r="F8" t="s">
        <v>68</v>
      </c>
      <c r="G8" t="s">
        <v>53</v>
      </c>
      <c r="H8" t="s">
        <v>21</v>
      </c>
      <c r="I8" t="s">
        <v>31</v>
      </c>
      <c r="J8">
        <v>6</v>
      </c>
      <c r="K8">
        <v>206000</v>
      </c>
      <c r="L8">
        <v>0.05</v>
      </c>
      <c r="M8">
        <v>1174200</v>
      </c>
      <c r="N8">
        <v>962777.7</v>
      </c>
      <c r="O8">
        <v>211422.3</v>
      </c>
    </row>
    <row r="9" spans="1:15" x14ac:dyDescent="0.25">
      <c r="A9" t="s">
        <v>344</v>
      </c>
      <c r="B9" s="5">
        <v>46013</v>
      </c>
      <c r="C9" t="s">
        <v>327</v>
      </c>
      <c r="D9" t="s">
        <v>283</v>
      </c>
      <c r="E9" t="s">
        <v>24</v>
      </c>
      <c r="F9" t="s">
        <v>25</v>
      </c>
      <c r="G9" t="s">
        <v>53</v>
      </c>
      <c r="H9" t="s">
        <v>21</v>
      </c>
      <c r="I9" t="s">
        <v>22</v>
      </c>
      <c r="J9">
        <v>6</v>
      </c>
      <c r="K9">
        <v>254000</v>
      </c>
      <c r="L9">
        <v>0</v>
      </c>
      <c r="M9">
        <v>1524000</v>
      </c>
      <c r="N9">
        <v>1242323.73</v>
      </c>
      <c r="O9">
        <v>281676.27</v>
      </c>
    </row>
    <row r="10" spans="1:15" x14ac:dyDescent="0.25">
      <c r="A10" t="s">
        <v>340</v>
      </c>
      <c r="B10" s="5">
        <v>46007</v>
      </c>
      <c r="C10" t="s">
        <v>327</v>
      </c>
      <c r="D10" t="s">
        <v>283</v>
      </c>
      <c r="E10" t="s">
        <v>18</v>
      </c>
      <c r="F10" t="s">
        <v>68</v>
      </c>
      <c r="G10" t="s">
        <v>53</v>
      </c>
      <c r="H10" t="s">
        <v>21</v>
      </c>
      <c r="I10" t="s">
        <v>22</v>
      </c>
      <c r="J10">
        <v>3</v>
      </c>
      <c r="K10">
        <v>351000</v>
      </c>
      <c r="L10">
        <v>0.05</v>
      </c>
      <c r="M10">
        <v>1000350</v>
      </c>
      <c r="N10">
        <v>637800.68000000005</v>
      </c>
      <c r="O10">
        <v>362549.32</v>
      </c>
    </row>
    <row r="11" spans="1:15" x14ac:dyDescent="0.25">
      <c r="A11" t="s">
        <v>339</v>
      </c>
      <c r="B11" s="5">
        <v>46007</v>
      </c>
      <c r="C11" t="s">
        <v>327</v>
      </c>
      <c r="D11" t="s">
        <v>283</v>
      </c>
      <c r="E11" t="s">
        <v>18</v>
      </c>
      <c r="F11" t="s">
        <v>29</v>
      </c>
      <c r="G11" t="s">
        <v>53</v>
      </c>
      <c r="H11" t="s">
        <v>30</v>
      </c>
      <c r="I11" t="s">
        <v>41</v>
      </c>
      <c r="J11">
        <v>3</v>
      </c>
      <c r="K11">
        <v>260000</v>
      </c>
      <c r="L11">
        <v>0.02</v>
      </c>
      <c r="M11">
        <v>764400</v>
      </c>
      <c r="N11">
        <v>554953.1</v>
      </c>
      <c r="O11">
        <v>209446.9</v>
      </c>
    </row>
    <row r="12" spans="1:15" x14ac:dyDescent="0.25">
      <c r="A12" t="s">
        <v>338</v>
      </c>
      <c r="B12" s="5">
        <v>46007</v>
      </c>
      <c r="C12" t="s">
        <v>327</v>
      </c>
      <c r="D12" t="s">
        <v>283</v>
      </c>
      <c r="E12" t="s">
        <v>24</v>
      </c>
      <c r="F12" t="s">
        <v>25</v>
      </c>
      <c r="G12" t="s">
        <v>53</v>
      </c>
      <c r="H12" t="s">
        <v>30</v>
      </c>
      <c r="I12" t="s">
        <v>22</v>
      </c>
      <c r="J12">
        <v>10</v>
      </c>
      <c r="K12">
        <v>445000</v>
      </c>
      <c r="L12">
        <v>0</v>
      </c>
      <c r="M12">
        <v>4450000</v>
      </c>
      <c r="N12">
        <v>3382224.24</v>
      </c>
      <c r="O12">
        <v>1067775.76</v>
      </c>
    </row>
    <row r="13" spans="1:15" x14ac:dyDescent="0.25">
      <c r="A13" t="s">
        <v>337</v>
      </c>
      <c r="B13" s="5">
        <v>46006</v>
      </c>
      <c r="C13" t="s">
        <v>327</v>
      </c>
      <c r="D13" t="s">
        <v>283</v>
      </c>
      <c r="E13" t="s">
        <v>49</v>
      </c>
      <c r="F13" t="s">
        <v>43</v>
      </c>
      <c r="G13" t="s">
        <v>53</v>
      </c>
      <c r="H13" t="s">
        <v>21</v>
      </c>
      <c r="I13" t="s">
        <v>34</v>
      </c>
      <c r="J13">
        <v>2</v>
      </c>
      <c r="K13">
        <v>622000</v>
      </c>
      <c r="L13">
        <v>0</v>
      </c>
      <c r="M13">
        <v>1244000</v>
      </c>
      <c r="N13">
        <v>988415.29</v>
      </c>
      <c r="O13">
        <v>255584.71</v>
      </c>
    </row>
    <row r="14" spans="1:15" x14ac:dyDescent="0.25">
      <c r="A14" t="s">
        <v>334</v>
      </c>
      <c r="B14" s="5">
        <v>46003</v>
      </c>
      <c r="C14" t="s">
        <v>327</v>
      </c>
      <c r="D14" t="s">
        <v>283</v>
      </c>
      <c r="E14" t="s">
        <v>49</v>
      </c>
      <c r="F14" t="s">
        <v>58</v>
      </c>
      <c r="G14" t="s">
        <v>53</v>
      </c>
      <c r="H14" t="s">
        <v>33</v>
      </c>
      <c r="I14" t="s">
        <v>22</v>
      </c>
      <c r="J14">
        <v>4</v>
      </c>
      <c r="K14">
        <v>418000</v>
      </c>
      <c r="L14">
        <v>0.05</v>
      </c>
      <c r="M14">
        <v>1588400</v>
      </c>
      <c r="N14">
        <v>1088358.6299999999</v>
      </c>
      <c r="O14">
        <v>500041.37</v>
      </c>
    </row>
    <row r="15" spans="1:15" x14ac:dyDescent="0.25">
      <c r="A15" t="s">
        <v>325</v>
      </c>
      <c r="B15" s="5">
        <v>45988</v>
      </c>
      <c r="C15" t="s">
        <v>309</v>
      </c>
      <c r="D15" t="s">
        <v>283</v>
      </c>
      <c r="E15" t="s">
        <v>18</v>
      </c>
      <c r="F15" t="s">
        <v>68</v>
      </c>
      <c r="G15" t="s">
        <v>53</v>
      </c>
      <c r="H15" t="s">
        <v>21</v>
      </c>
      <c r="I15" t="s">
        <v>22</v>
      </c>
      <c r="J15">
        <v>2</v>
      </c>
      <c r="K15">
        <v>229000</v>
      </c>
      <c r="L15">
        <v>0</v>
      </c>
      <c r="M15">
        <v>458000</v>
      </c>
      <c r="N15">
        <v>322112.31</v>
      </c>
      <c r="O15">
        <v>135887.69</v>
      </c>
    </row>
    <row r="16" spans="1:15" x14ac:dyDescent="0.25">
      <c r="A16" t="s">
        <v>52</v>
      </c>
      <c r="B16" s="5">
        <v>45678</v>
      </c>
      <c r="C16" t="s">
        <v>16</v>
      </c>
      <c r="D16" t="s">
        <v>17</v>
      </c>
      <c r="E16" t="s">
        <v>49</v>
      </c>
      <c r="F16" t="s">
        <v>29</v>
      </c>
      <c r="G16" t="s">
        <v>53</v>
      </c>
      <c r="H16" t="s">
        <v>21</v>
      </c>
      <c r="I16" t="s">
        <v>34</v>
      </c>
      <c r="J16">
        <v>1</v>
      </c>
      <c r="K16">
        <v>580000</v>
      </c>
      <c r="L16">
        <v>0.02</v>
      </c>
      <c r="M16">
        <v>568400</v>
      </c>
      <c r="N16">
        <v>416295.35</v>
      </c>
      <c r="O16">
        <v>152104.65</v>
      </c>
    </row>
    <row r="17" spans="1:15" x14ac:dyDescent="0.25">
      <c r="A17" t="s">
        <v>54</v>
      </c>
      <c r="B17" s="5">
        <v>45678</v>
      </c>
      <c r="C17" t="s">
        <v>16</v>
      </c>
      <c r="D17" t="s">
        <v>17</v>
      </c>
      <c r="E17" t="s">
        <v>49</v>
      </c>
      <c r="F17" t="s">
        <v>55</v>
      </c>
      <c r="G17" t="s">
        <v>53</v>
      </c>
      <c r="H17" t="s">
        <v>21</v>
      </c>
      <c r="I17" t="s">
        <v>41</v>
      </c>
      <c r="J17">
        <v>3</v>
      </c>
      <c r="K17">
        <v>421000</v>
      </c>
      <c r="L17">
        <v>0</v>
      </c>
      <c r="M17">
        <v>1263000</v>
      </c>
      <c r="N17">
        <v>936525.83</v>
      </c>
      <c r="O17">
        <v>326474.17</v>
      </c>
    </row>
    <row r="18" spans="1:15" x14ac:dyDescent="0.25">
      <c r="A18" t="s">
        <v>324</v>
      </c>
      <c r="B18" s="5">
        <v>45988</v>
      </c>
      <c r="C18" t="s">
        <v>309</v>
      </c>
      <c r="D18" t="s">
        <v>283</v>
      </c>
      <c r="E18" t="s">
        <v>24</v>
      </c>
      <c r="F18" t="s">
        <v>36</v>
      </c>
      <c r="G18" t="s">
        <v>53</v>
      </c>
      <c r="H18" t="s">
        <v>33</v>
      </c>
      <c r="I18" t="s">
        <v>41</v>
      </c>
      <c r="J18">
        <v>2</v>
      </c>
      <c r="K18">
        <v>340000</v>
      </c>
      <c r="L18">
        <v>0</v>
      </c>
      <c r="M18">
        <v>680000</v>
      </c>
      <c r="N18">
        <v>454111.53</v>
      </c>
      <c r="O18">
        <v>225888.47</v>
      </c>
    </row>
    <row r="19" spans="1:15" x14ac:dyDescent="0.25">
      <c r="A19" t="s">
        <v>317</v>
      </c>
      <c r="B19" s="5">
        <v>45972</v>
      </c>
      <c r="C19" t="s">
        <v>309</v>
      </c>
      <c r="D19" t="s">
        <v>283</v>
      </c>
      <c r="E19" t="s">
        <v>49</v>
      </c>
      <c r="F19" t="s">
        <v>55</v>
      </c>
      <c r="G19" t="s">
        <v>53</v>
      </c>
      <c r="H19" t="s">
        <v>30</v>
      </c>
      <c r="I19" t="s">
        <v>34</v>
      </c>
      <c r="J19">
        <v>1</v>
      </c>
      <c r="K19">
        <v>200000</v>
      </c>
      <c r="L19">
        <v>0.02</v>
      </c>
      <c r="M19">
        <v>196000</v>
      </c>
      <c r="N19">
        <v>125244.46</v>
      </c>
      <c r="O19">
        <v>70755.539999999994</v>
      </c>
    </row>
    <row r="20" spans="1:15" x14ac:dyDescent="0.25">
      <c r="A20" t="s">
        <v>301</v>
      </c>
      <c r="B20" s="5">
        <v>45955</v>
      </c>
      <c r="C20" t="s">
        <v>282</v>
      </c>
      <c r="D20" t="s">
        <v>283</v>
      </c>
      <c r="E20" t="s">
        <v>28</v>
      </c>
      <c r="F20" t="s">
        <v>43</v>
      </c>
      <c r="G20" t="s">
        <v>53</v>
      </c>
      <c r="H20" t="s">
        <v>30</v>
      </c>
      <c r="I20" t="s">
        <v>22</v>
      </c>
      <c r="J20">
        <v>4</v>
      </c>
      <c r="K20">
        <v>426000</v>
      </c>
      <c r="L20">
        <v>0</v>
      </c>
      <c r="M20">
        <v>1704000</v>
      </c>
      <c r="N20">
        <v>1249820</v>
      </c>
      <c r="O20">
        <v>454180</v>
      </c>
    </row>
    <row r="21" spans="1:15" x14ac:dyDescent="0.25">
      <c r="A21" t="s">
        <v>290</v>
      </c>
      <c r="B21" s="5">
        <v>45943</v>
      </c>
      <c r="C21" t="s">
        <v>282</v>
      </c>
      <c r="D21" t="s">
        <v>283</v>
      </c>
      <c r="E21" t="s">
        <v>18</v>
      </c>
      <c r="F21" t="s">
        <v>29</v>
      </c>
      <c r="G21" t="s">
        <v>53</v>
      </c>
      <c r="H21" t="s">
        <v>30</v>
      </c>
      <c r="I21" t="s">
        <v>31</v>
      </c>
      <c r="J21">
        <v>1</v>
      </c>
      <c r="K21">
        <v>590000</v>
      </c>
      <c r="L21">
        <v>0.02</v>
      </c>
      <c r="M21">
        <v>578200</v>
      </c>
      <c r="N21">
        <v>421010.37</v>
      </c>
      <c r="O21">
        <v>157189.63</v>
      </c>
    </row>
    <row r="22" spans="1:15" x14ac:dyDescent="0.25">
      <c r="A22" t="s">
        <v>62</v>
      </c>
      <c r="B22" s="5">
        <v>45686</v>
      </c>
      <c r="C22" t="s">
        <v>16</v>
      </c>
      <c r="D22" t="s">
        <v>17</v>
      </c>
      <c r="E22" t="s">
        <v>24</v>
      </c>
      <c r="F22" t="s">
        <v>25</v>
      </c>
      <c r="G22" t="s">
        <v>53</v>
      </c>
      <c r="H22" t="s">
        <v>33</v>
      </c>
      <c r="I22" t="s">
        <v>41</v>
      </c>
      <c r="J22">
        <v>8</v>
      </c>
      <c r="K22">
        <v>360000</v>
      </c>
      <c r="L22">
        <v>0</v>
      </c>
      <c r="M22">
        <v>2880000</v>
      </c>
      <c r="N22">
        <v>1791063.61</v>
      </c>
      <c r="O22">
        <v>1088936.3899999999</v>
      </c>
    </row>
    <row r="23" spans="1:15" x14ac:dyDescent="0.25">
      <c r="A23" t="s">
        <v>286</v>
      </c>
      <c r="B23" s="5">
        <v>45937</v>
      </c>
      <c r="C23" t="s">
        <v>282</v>
      </c>
      <c r="D23" t="s">
        <v>283</v>
      </c>
      <c r="E23" t="s">
        <v>28</v>
      </c>
      <c r="F23" t="s">
        <v>25</v>
      </c>
      <c r="G23" t="s">
        <v>53</v>
      </c>
      <c r="H23" t="s">
        <v>30</v>
      </c>
      <c r="I23" t="s">
        <v>22</v>
      </c>
      <c r="J23">
        <v>3</v>
      </c>
      <c r="K23">
        <v>634000</v>
      </c>
      <c r="L23">
        <v>0</v>
      </c>
      <c r="M23">
        <v>1902000</v>
      </c>
      <c r="N23">
        <v>1400049.88</v>
      </c>
      <c r="O23">
        <v>501950.12</v>
      </c>
    </row>
    <row r="24" spans="1:15" x14ac:dyDescent="0.25">
      <c r="A24" t="s">
        <v>269</v>
      </c>
      <c r="B24" s="5">
        <v>45919</v>
      </c>
      <c r="C24" t="s">
        <v>256</v>
      </c>
      <c r="D24" t="s">
        <v>201</v>
      </c>
      <c r="E24" t="s">
        <v>24</v>
      </c>
      <c r="F24" t="s">
        <v>36</v>
      </c>
      <c r="G24" t="s">
        <v>53</v>
      </c>
      <c r="H24" t="s">
        <v>21</v>
      </c>
      <c r="I24" t="s">
        <v>31</v>
      </c>
      <c r="J24">
        <v>2</v>
      </c>
      <c r="K24">
        <v>262000</v>
      </c>
      <c r="L24">
        <v>0</v>
      </c>
      <c r="M24">
        <v>524000</v>
      </c>
      <c r="N24">
        <v>406580.45</v>
      </c>
      <c r="O24">
        <v>117419.55</v>
      </c>
    </row>
    <row r="25" spans="1:15" x14ac:dyDescent="0.25">
      <c r="A25" t="s">
        <v>262</v>
      </c>
      <c r="B25" s="5">
        <v>45913</v>
      </c>
      <c r="C25" t="s">
        <v>256</v>
      </c>
      <c r="D25" t="s">
        <v>201</v>
      </c>
      <c r="E25" t="s">
        <v>49</v>
      </c>
      <c r="F25" t="s">
        <v>55</v>
      </c>
      <c r="G25" t="s">
        <v>53</v>
      </c>
      <c r="H25" t="s">
        <v>21</v>
      </c>
      <c r="I25" t="s">
        <v>22</v>
      </c>
      <c r="J25">
        <v>3</v>
      </c>
      <c r="K25">
        <v>358000</v>
      </c>
      <c r="L25">
        <v>0</v>
      </c>
      <c r="M25">
        <v>1074000</v>
      </c>
      <c r="N25">
        <v>799947.19</v>
      </c>
      <c r="O25">
        <v>274052.81</v>
      </c>
    </row>
    <row r="26" spans="1:15" x14ac:dyDescent="0.25">
      <c r="A26" t="s">
        <v>260</v>
      </c>
      <c r="B26" s="5">
        <v>45911</v>
      </c>
      <c r="C26" t="s">
        <v>256</v>
      </c>
      <c r="D26" t="s">
        <v>201</v>
      </c>
      <c r="E26" t="s">
        <v>28</v>
      </c>
      <c r="F26" t="s">
        <v>25</v>
      </c>
      <c r="G26" t="s">
        <v>53</v>
      </c>
      <c r="H26" t="s">
        <v>21</v>
      </c>
      <c r="I26" t="s">
        <v>22</v>
      </c>
      <c r="J26">
        <v>3</v>
      </c>
      <c r="K26">
        <v>641000</v>
      </c>
      <c r="L26">
        <v>0</v>
      </c>
      <c r="M26">
        <v>1923000</v>
      </c>
      <c r="N26">
        <v>1575419.17</v>
      </c>
      <c r="O26">
        <v>347580.83</v>
      </c>
    </row>
    <row r="27" spans="1:15" x14ac:dyDescent="0.25">
      <c r="A27" t="s">
        <v>69</v>
      </c>
      <c r="B27" s="5">
        <v>45692</v>
      </c>
      <c r="C27" t="s">
        <v>65</v>
      </c>
      <c r="D27" t="s">
        <v>17</v>
      </c>
      <c r="E27" t="s">
        <v>24</v>
      </c>
      <c r="F27" t="s">
        <v>55</v>
      </c>
      <c r="G27" t="s">
        <v>53</v>
      </c>
      <c r="H27" t="s">
        <v>33</v>
      </c>
      <c r="I27" t="s">
        <v>31</v>
      </c>
      <c r="J27">
        <v>3</v>
      </c>
      <c r="K27">
        <v>373000</v>
      </c>
      <c r="L27">
        <v>0</v>
      </c>
      <c r="M27">
        <v>1119000</v>
      </c>
      <c r="N27">
        <v>723586.83</v>
      </c>
      <c r="O27">
        <v>395413.17</v>
      </c>
    </row>
    <row r="28" spans="1:15" x14ac:dyDescent="0.25">
      <c r="A28" t="s">
        <v>251</v>
      </c>
      <c r="B28" s="5">
        <v>45894</v>
      </c>
      <c r="C28" t="s">
        <v>229</v>
      </c>
      <c r="D28" t="s">
        <v>201</v>
      </c>
      <c r="E28" t="s">
        <v>18</v>
      </c>
      <c r="F28" t="s">
        <v>19</v>
      </c>
      <c r="G28" t="s">
        <v>53</v>
      </c>
      <c r="H28" t="s">
        <v>30</v>
      </c>
      <c r="I28" t="s">
        <v>41</v>
      </c>
      <c r="J28">
        <v>2</v>
      </c>
      <c r="K28">
        <v>253000</v>
      </c>
      <c r="L28">
        <v>0</v>
      </c>
      <c r="M28">
        <v>506000</v>
      </c>
      <c r="N28">
        <v>386037.11</v>
      </c>
      <c r="O28">
        <v>119962.89</v>
      </c>
    </row>
    <row r="29" spans="1:15" x14ac:dyDescent="0.25">
      <c r="A29" t="s">
        <v>249</v>
      </c>
      <c r="B29" s="5">
        <v>45892</v>
      </c>
      <c r="C29" t="s">
        <v>229</v>
      </c>
      <c r="D29" t="s">
        <v>201</v>
      </c>
      <c r="E29" t="s">
        <v>49</v>
      </c>
      <c r="F29" t="s">
        <v>55</v>
      </c>
      <c r="G29" t="s">
        <v>53</v>
      </c>
      <c r="H29" t="s">
        <v>30</v>
      </c>
      <c r="I29" t="s">
        <v>31</v>
      </c>
      <c r="J29">
        <v>3</v>
      </c>
      <c r="K29">
        <v>434000</v>
      </c>
      <c r="L29">
        <v>0</v>
      </c>
      <c r="M29">
        <v>1302000</v>
      </c>
      <c r="N29">
        <v>843528.32</v>
      </c>
      <c r="O29">
        <v>458471.67999999999</v>
      </c>
    </row>
    <row r="30" spans="1:15" x14ac:dyDescent="0.25">
      <c r="A30" t="s">
        <v>242</v>
      </c>
      <c r="B30" s="5">
        <v>45877</v>
      </c>
      <c r="C30" t="s">
        <v>229</v>
      </c>
      <c r="D30" t="s">
        <v>201</v>
      </c>
      <c r="E30" t="s">
        <v>18</v>
      </c>
      <c r="F30" t="s">
        <v>19</v>
      </c>
      <c r="G30" t="s">
        <v>53</v>
      </c>
      <c r="H30" t="s">
        <v>33</v>
      </c>
      <c r="I30" t="s">
        <v>41</v>
      </c>
      <c r="J30">
        <v>2</v>
      </c>
      <c r="K30">
        <v>468000</v>
      </c>
      <c r="L30">
        <v>0.05</v>
      </c>
      <c r="M30">
        <v>889200</v>
      </c>
      <c r="N30">
        <v>581333.03</v>
      </c>
      <c r="O30">
        <v>307866.96999999997</v>
      </c>
    </row>
    <row r="31" spans="1:15" x14ac:dyDescent="0.25">
      <c r="A31" t="s">
        <v>234</v>
      </c>
      <c r="B31" s="5">
        <v>45874</v>
      </c>
      <c r="C31" t="s">
        <v>229</v>
      </c>
      <c r="D31" t="s">
        <v>201</v>
      </c>
      <c r="E31" t="s">
        <v>24</v>
      </c>
      <c r="F31" t="s">
        <v>29</v>
      </c>
      <c r="G31" t="s">
        <v>53</v>
      </c>
      <c r="H31" t="s">
        <v>30</v>
      </c>
      <c r="I31" t="s">
        <v>31</v>
      </c>
      <c r="J31">
        <v>4</v>
      </c>
      <c r="K31">
        <v>413000</v>
      </c>
      <c r="L31">
        <v>0</v>
      </c>
      <c r="M31">
        <v>1652000</v>
      </c>
      <c r="N31">
        <v>1333708.55</v>
      </c>
      <c r="O31">
        <v>318291.45</v>
      </c>
    </row>
    <row r="32" spans="1:15" x14ac:dyDescent="0.25">
      <c r="A32" t="s">
        <v>228</v>
      </c>
      <c r="B32" s="5">
        <v>45870</v>
      </c>
      <c r="C32" t="s">
        <v>229</v>
      </c>
      <c r="D32" t="s">
        <v>201</v>
      </c>
      <c r="E32" t="s">
        <v>18</v>
      </c>
      <c r="F32" t="s">
        <v>43</v>
      </c>
      <c r="G32" t="s">
        <v>53</v>
      </c>
      <c r="H32" t="s">
        <v>33</v>
      </c>
      <c r="I32" t="s">
        <v>34</v>
      </c>
      <c r="J32">
        <v>2</v>
      </c>
      <c r="K32">
        <v>241000</v>
      </c>
      <c r="L32">
        <v>0.05</v>
      </c>
      <c r="M32">
        <v>457900</v>
      </c>
      <c r="N32">
        <v>327129.28999999998</v>
      </c>
      <c r="O32">
        <v>130770.71</v>
      </c>
    </row>
    <row r="33" spans="1:15" x14ac:dyDescent="0.25">
      <c r="A33" t="s">
        <v>75</v>
      </c>
      <c r="B33" s="5">
        <v>45696</v>
      </c>
      <c r="C33" t="s">
        <v>65</v>
      </c>
      <c r="D33" t="s">
        <v>17</v>
      </c>
      <c r="E33" t="s">
        <v>49</v>
      </c>
      <c r="F33" t="s">
        <v>58</v>
      </c>
      <c r="G33" t="s">
        <v>53</v>
      </c>
      <c r="H33" t="s">
        <v>33</v>
      </c>
      <c r="I33" t="s">
        <v>22</v>
      </c>
      <c r="J33">
        <v>3</v>
      </c>
      <c r="K33">
        <v>564000</v>
      </c>
      <c r="L33">
        <v>0.05</v>
      </c>
      <c r="M33">
        <v>1607400</v>
      </c>
      <c r="N33">
        <v>1181368.1299999999</v>
      </c>
      <c r="O33">
        <v>426031.87</v>
      </c>
    </row>
    <row r="34" spans="1:15" x14ac:dyDescent="0.25">
      <c r="A34" t="s">
        <v>76</v>
      </c>
      <c r="B34" s="5">
        <v>45697</v>
      </c>
      <c r="C34" t="s">
        <v>65</v>
      </c>
      <c r="D34" t="s">
        <v>17</v>
      </c>
      <c r="E34" t="s">
        <v>24</v>
      </c>
      <c r="F34" t="s">
        <v>68</v>
      </c>
      <c r="G34" t="s">
        <v>53</v>
      </c>
      <c r="H34" t="s">
        <v>33</v>
      </c>
      <c r="I34" t="s">
        <v>31</v>
      </c>
      <c r="J34">
        <v>4</v>
      </c>
      <c r="K34">
        <v>263000</v>
      </c>
      <c r="L34">
        <v>0.02</v>
      </c>
      <c r="M34">
        <v>1030960</v>
      </c>
      <c r="N34">
        <v>769753.84</v>
      </c>
      <c r="O34">
        <v>261206.16</v>
      </c>
    </row>
    <row r="35" spans="1:15" x14ac:dyDescent="0.25">
      <c r="A35" t="s">
        <v>222</v>
      </c>
      <c r="B35" s="5">
        <v>45861</v>
      </c>
      <c r="C35" t="s">
        <v>200</v>
      </c>
      <c r="D35" t="s">
        <v>201</v>
      </c>
      <c r="E35" t="s">
        <v>49</v>
      </c>
      <c r="F35" t="s">
        <v>29</v>
      </c>
      <c r="G35" t="s">
        <v>53</v>
      </c>
      <c r="H35" t="s">
        <v>30</v>
      </c>
      <c r="I35" t="s">
        <v>41</v>
      </c>
      <c r="J35">
        <v>2</v>
      </c>
      <c r="K35">
        <v>348000</v>
      </c>
      <c r="L35">
        <v>0.02</v>
      </c>
      <c r="M35">
        <v>682080</v>
      </c>
      <c r="N35">
        <v>471553.56</v>
      </c>
      <c r="O35">
        <v>210526.44</v>
      </c>
    </row>
    <row r="36" spans="1:15" x14ac:dyDescent="0.25">
      <c r="A36" t="s">
        <v>208</v>
      </c>
      <c r="B36" s="5">
        <v>45846</v>
      </c>
      <c r="C36" t="s">
        <v>200</v>
      </c>
      <c r="D36" t="s">
        <v>201</v>
      </c>
      <c r="E36" t="s">
        <v>24</v>
      </c>
      <c r="F36" t="s">
        <v>58</v>
      </c>
      <c r="G36" t="s">
        <v>53</v>
      </c>
      <c r="H36" t="s">
        <v>33</v>
      </c>
      <c r="I36" t="s">
        <v>22</v>
      </c>
      <c r="J36">
        <v>5</v>
      </c>
      <c r="K36">
        <v>417000</v>
      </c>
      <c r="L36">
        <v>0.02</v>
      </c>
      <c r="M36">
        <v>2043300</v>
      </c>
      <c r="N36">
        <v>1488436.66</v>
      </c>
      <c r="O36">
        <v>554863.34</v>
      </c>
    </row>
    <row r="37" spans="1:15" x14ac:dyDescent="0.25">
      <c r="A37" t="s">
        <v>79</v>
      </c>
      <c r="B37" s="5">
        <v>45698</v>
      </c>
      <c r="C37" t="s">
        <v>65</v>
      </c>
      <c r="D37" t="s">
        <v>17</v>
      </c>
      <c r="E37" t="s">
        <v>18</v>
      </c>
      <c r="F37" t="s">
        <v>58</v>
      </c>
      <c r="G37" t="s">
        <v>53</v>
      </c>
      <c r="H37" t="s">
        <v>30</v>
      </c>
      <c r="I37" t="s">
        <v>31</v>
      </c>
      <c r="J37">
        <v>2</v>
      </c>
      <c r="K37">
        <v>397000</v>
      </c>
      <c r="L37">
        <v>0.02</v>
      </c>
      <c r="M37">
        <v>778120</v>
      </c>
      <c r="N37">
        <v>494531.78</v>
      </c>
      <c r="O37">
        <v>283588.21999999997</v>
      </c>
    </row>
    <row r="38" spans="1:15" x14ac:dyDescent="0.25">
      <c r="A38" t="s">
        <v>204</v>
      </c>
      <c r="B38" s="5">
        <v>45844</v>
      </c>
      <c r="C38" t="s">
        <v>200</v>
      </c>
      <c r="D38" t="s">
        <v>201</v>
      </c>
      <c r="E38" t="s">
        <v>47</v>
      </c>
      <c r="F38" t="s">
        <v>43</v>
      </c>
      <c r="G38" t="s">
        <v>53</v>
      </c>
      <c r="H38" t="s">
        <v>21</v>
      </c>
      <c r="I38" t="s">
        <v>31</v>
      </c>
      <c r="J38">
        <v>4</v>
      </c>
      <c r="K38">
        <v>372000</v>
      </c>
      <c r="L38">
        <v>0</v>
      </c>
      <c r="M38">
        <v>1488000</v>
      </c>
      <c r="N38">
        <v>945469.22</v>
      </c>
      <c r="O38">
        <v>542530.78</v>
      </c>
    </row>
    <row r="39" spans="1:15" x14ac:dyDescent="0.25">
      <c r="A39" t="s">
        <v>199</v>
      </c>
      <c r="B39" s="5">
        <v>45839</v>
      </c>
      <c r="C39" t="s">
        <v>200</v>
      </c>
      <c r="D39" t="s">
        <v>201</v>
      </c>
      <c r="E39" t="s">
        <v>49</v>
      </c>
      <c r="F39" t="s">
        <v>29</v>
      </c>
      <c r="G39" t="s">
        <v>53</v>
      </c>
      <c r="H39" t="s">
        <v>21</v>
      </c>
      <c r="I39" t="s">
        <v>41</v>
      </c>
      <c r="J39">
        <v>6</v>
      </c>
      <c r="K39">
        <v>296000</v>
      </c>
      <c r="L39">
        <v>0</v>
      </c>
      <c r="M39">
        <v>1776000</v>
      </c>
      <c r="N39">
        <v>1197716.54</v>
      </c>
      <c r="O39">
        <v>578283.46</v>
      </c>
    </row>
    <row r="40" spans="1:15" x14ac:dyDescent="0.25">
      <c r="A40" t="s">
        <v>197</v>
      </c>
      <c r="B40" s="5">
        <v>45838</v>
      </c>
      <c r="C40" t="s">
        <v>172</v>
      </c>
      <c r="D40" t="s">
        <v>125</v>
      </c>
      <c r="E40" t="s">
        <v>28</v>
      </c>
      <c r="F40" t="s">
        <v>55</v>
      </c>
      <c r="G40" t="s">
        <v>53</v>
      </c>
      <c r="H40" t="s">
        <v>30</v>
      </c>
      <c r="I40" t="s">
        <v>34</v>
      </c>
      <c r="J40">
        <v>3</v>
      </c>
      <c r="K40">
        <v>393000</v>
      </c>
      <c r="L40">
        <v>0</v>
      </c>
      <c r="M40">
        <v>1179000</v>
      </c>
      <c r="N40">
        <v>918864.93</v>
      </c>
      <c r="O40">
        <v>260135.07</v>
      </c>
    </row>
    <row r="41" spans="1:15" x14ac:dyDescent="0.25">
      <c r="A41" t="s">
        <v>194</v>
      </c>
      <c r="B41" s="5">
        <v>45836</v>
      </c>
      <c r="C41" t="s">
        <v>172</v>
      </c>
      <c r="D41" t="s">
        <v>125</v>
      </c>
      <c r="E41" t="s">
        <v>18</v>
      </c>
      <c r="F41" t="s">
        <v>68</v>
      </c>
      <c r="G41" t="s">
        <v>53</v>
      </c>
      <c r="H41" t="s">
        <v>33</v>
      </c>
      <c r="I41" t="s">
        <v>41</v>
      </c>
      <c r="J41">
        <v>8</v>
      </c>
      <c r="K41">
        <v>260000</v>
      </c>
      <c r="L41">
        <v>0</v>
      </c>
      <c r="M41">
        <v>2080000</v>
      </c>
      <c r="N41">
        <v>1617741.74</v>
      </c>
      <c r="O41">
        <v>462258.26</v>
      </c>
    </row>
    <row r="42" spans="1:15" x14ac:dyDescent="0.25">
      <c r="A42" t="s">
        <v>184</v>
      </c>
      <c r="B42" s="5">
        <v>45821</v>
      </c>
      <c r="C42" t="s">
        <v>172</v>
      </c>
      <c r="D42" t="s">
        <v>125</v>
      </c>
      <c r="E42" t="s">
        <v>28</v>
      </c>
      <c r="F42" t="s">
        <v>68</v>
      </c>
      <c r="G42" t="s">
        <v>53</v>
      </c>
      <c r="H42" t="s">
        <v>33</v>
      </c>
      <c r="I42" t="s">
        <v>34</v>
      </c>
      <c r="J42">
        <v>8</v>
      </c>
      <c r="K42">
        <v>363000</v>
      </c>
      <c r="L42">
        <v>0</v>
      </c>
      <c r="M42">
        <v>2904000</v>
      </c>
      <c r="N42">
        <v>2181912.65</v>
      </c>
      <c r="O42">
        <v>722087.35</v>
      </c>
    </row>
    <row r="43" spans="1:15" x14ac:dyDescent="0.25">
      <c r="A43" t="s">
        <v>178</v>
      </c>
      <c r="B43" s="5">
        <v>45815</v>
      </c>
      <c r="C43" t="s">
        <v>172</v>
      </c>
      <c r="D43" t="s">
        <v>125</v>
      </c>
      <c r="E43" t="s">
        <v>28</v>
      </c>
      <c r="F43" t="s">
        <v>25</v>
      </c>
      <c r="G43" t="s">
        <v>53</v>
      </c>
      <c r="H43" t="s">
        <v>33</v>
      </c>
      <c r="I43" t="s">
        <v>22</v>
      </c>
      <c r="J43">
        <v>3</v>
      </c>
      <c r="K43">
        <v>190000</v>
      </c>
      <c r="L43">
        <v>0.05</v>
      </c>
      <c r="M43">
        <v>541500</v>
      </c>
      <c r="N43">
        <v>395184.58</v>
      </c>
      <c r="O43">
        <v>146315.42000000001</v>
      </c>
    </row>
    <row r="44" spans="1:15" x14ac:dyDescent="0.25">
      <c r="A44" t="s">
        <v>86</v>
      </c>
      <c r="B44" s="5">
        <v>45706</v>
      </c>
      <c r="C44" t="s">
        <v>65</v>
      </c>
      <c r="D44" t="s">
        <v>17</v>
      </c>
      <c r="E44" t="s">
        <v>18</v>
      </c>
      <c r="F44" t="s">
        <v>36</v>
      </c>
      <c r="G44" t="s">
        <v>53</v>
      </c>
      <c r="H44" t="s">
        <v>21</v>
      </c>
      <c r="I44" t="s">
        <v>41</v>
      </c>
      <c r="J44">
        <v>2</v>
      </c>
      <c r="K44">
        <v>467000</v>
      </c>
      <c r="L44">
        <v>0</v>
      </c>
      <c r="M44">
        <v>934000</v>
      </c>
      <c r="N44">
        <v>675575.77</v>
      </c>
      <c r="O44">
        <v>258424.23</v>
      </c>
    </row>
    <row r="45" spans="1:15" x14ac:dyDescent="0.25">
      <c r="A45" t="s">
        <v>171</v>
      </c>
      <c r="B45" s="5">
        <v>45809</v>
      </c>
      <c r="C45" t="s">
        <v>172</v>
      </c>
      <c r="D45" t="s">
        <v>125</v>
      </c>
      <c r="E45" t="s">
        <v>47</v>
      </c>
      <c r="F45" t="s">
        <v>25</v>
      </c>
      <c r="G45" t="s">
        <v>53</v>
      </c>
      <c r="H45" t="s">
        <v>30</v>
      </c>
      <c r="I45" t="s">
        <v>41</v>
      </c>
      <c r="J45">
        <v>4</v>
      </c>
      <c r="K45">
        <v>547000</v>
      </c>
      <c r="L45">
        <v>0</v>
      </c>
      <c r="M45">
        <v>2188000</v>
      </c>
      <c r="N45">
        <v>1499140.2</v>
      </c>
      <c r="O45">
        <v>688859.8</v>
      </c>
    </row>
    <row r="46" spans="1:15" x14ac:dyDescent="0.25">
      <c r="A46" t="s">
        <v>88</v>
      </c>
      <c r="B46" s="5">
        <v>45706</v>
      </c>
      <c r="C46" t="s">
        <v>65</v>
      </c>
      <c r="D46" t="s">
        <v>17</v>
      </c>
      <c r="E46" t="s">
        <v>18</v>
      </c>
      <c r="F46" t="s">
        <v>29</v>
      </c>
      <c r="G46" t="s">
        <v>53</v>
      </c>
      <c r="H46" t="s">
        <v>30</v>
      </c>
      <c r="I46" t="s">
        <v>31</v>
      </c>
      <c r="J46">
        <v>3</v>
      </c>
      <c r="K46">
        <v>408000</v>
      </c>
      <c r="L46">
        <v>0</v>
      </c>
      <c r="M46">
        <v>1224000</v>
      </c>
      <c r="N46">
        <v>788991.21</v>
      </c>
      <c r="O46">
        <v>435008.79</v>
      </c>
    </row>
    <row r="47" spans="1:15" x14ac:dyDescent="0.25">
      <c r="A47" t="s">
        <v>89</v>
      </c>
      <c r="B47" s="5">
        <v>45709</v>
      </c>
      <c r="C47" t="s">
        <v>65</v>
      </c>
      <c r="D47" t="s">
        <v>17</v>
      </c>
      <c r="E47" t="s">
        <v>47</v>
      </c>
      <c r="F47" t="s">
        <v>25</v>
      </c>
      <c r="G47" t="s">
        <v>53</v>
      </c>
      <c r="H47" t="s">
        <v>21</v>
      </c>
      <c r="I47" t="s">
        <v>22</v>
      </c>
      <c r="J47">
        <v>1</v>
      </c>
      <c r="K47">
        <v>405000</v>
      </c>
      <c r="L47">
        <v>0</v>
      </c>
      <c r="M47">
        <v>405000</v>
      </c>
      <c r="N47">
        <v>301105.49</v>
      </c>
      <c r="O47">
        <v>103894.51</v>
      </c>
    </row>
    <row r="48" spans="1:15" x14ac:dyDescent="0.25">
      <c r="A48" t="s">
        <v>170</v>
      </c>
      <c r="B48" s="5">
        <v>45808</v>
      </c>
      <c r="C48" t="s">
        <v>150</v>
      </c>
      <c r="D48" t="s">
        <v>125</v>
      </c>
      <c r="E48" t="s">
        <v>49</v>
      </c>
      <c r="F48" t="s">
        <v>55</v>
      </c>
      <c r="G48" t="s">
        <v>53</v>
      </c>
      <c r="H48" t="s">
        <v>33</v>
      </c>
      <c r="I48" t="s">
        <v>41</v>
      </c>
      <c r="J48">
        <v>2</v>
      </c>
      <c r="K48">
        <v>504000</v>
      </c>
      <c r="L48">
        <v>0.05</v>
      </c>
      <c r="M48">
        <v>957600</v>
      </c>
      <c r="N48">
        <v>620050.01</v>
      </c>
      <c r="O48">
        <v>337549.99</v>
      </c>
    </row>
    <row r="49" spans="1:15" x14ac:dyDescent="0.25">
      <c r="A49" t="s">
        <v>91</v>
      </c>
      <c r="B49" s="5">
        <v>45715</v>
      </c>
      <c r="C49" t="s">
        <v>65</v>
      </c>
      <c r="D49" t="s">
        <v>17</v>
      </c>
      <c r="E49" t="s">
        <v>18</v>
      </c>
      <c r="F49" t="s">
        <v>36</v>
      </c>
      <c r="G49" t="s">
        <v>53</v>
      </c>
      <c r="H49" t="s">
        <v>33</v>
      </c>
      <c r="I49" t="s">
        <v>41</v>
      </c>
      <c r="J49">
        <v>6</v>
      </c>
      <c r="K49">
        <v>433000</v>
      </c>
      <c r="L49">
        <v>0.02</v>
      </c>
      <c r="M49">
        <v>2546040</v>
      </c>
      <c r="N49">
        <v>1849931.17</v>
      </c>
      <c r="O49">
        <v>696108.83</v>
      </c>
    </row>
    <row r="50" spans="1:15" x14ac:dyDescent="0.25">
      <c r="A50" t="s">
        <v>169</v>
      </c>
      <c r="B50" s="5">
        <v>45806</v>
      </c>
      <c r="C50" t="s">
        <v>150</v>
      </c>
      <c r="D50" t="s">
        <v>125</v>
      </c>
      <c r="E50" t="s">
        <v>18</v>
      </c>
      <c r="F50" t="s">
        <v>25</v>
      </c>
      <c r="G50" t="s">
        <v>53</v>
      </c>
      <c r="H50" t="s">
        <v>33</v>
      </c>
      <c r="I50" t="s">
        <v>41</v>
      </c>
      <c r="J50">
        <v>6</v>
      </c>
      <c r="K50">
        <v>612000</v>
      </c>
      <c r="L50">
        <v>0</v>
      </c>
      <c r="M50">
        <v>3672000</v>
      </c>
      <c r="N50">
        <v>2710872.68</v>
      </c>
      <c r="O50">
        <v>961127.32</v>
      </c>
    </row>
    <row r="51" spans="1:15" x14ac:dyDescent="0.25">
      <c r="A51" t="s">
        <v>165</v>
      </c>
      <c r="B51" s="5">
        <v>45793</v>
      </c>
      <c r="C51" t="s">
        <v>150</v>
      </c>
      <c r="D51" t="s">
        <v>125</v>
      </c>
      <c r="E51" t="s">
        <v>49</v>
      </c>
      <c r="F51" t="s">
        <v>19</v>
      </c>
      <c r="G51" t="s">
        <v>53</v>
      </c>
      <c r="H51" t="s">
        <v>21</v>
      </c>
      <c r="I51" t="s">
        <v>41</v>
      </c>
      <c r="J51">
        <v>3</v>
      </c>
      <c r="K51">
        <v>224000</v>
      </c>
      <c r="L51">
        <v>0.05</v>
      </c>
      <c r="M51">
        <v>638400</v>
      </c>
      <c r="N51">
        <v>451195.65</v>
      </c>
      <c r="O51">
        <v>187204.35</v>
      </c>
    </row>
    <row r="52" spans="1:15" x14ac:dyDescent="0.25">
      <c r="A52" t="s">
        <v>156</v>
      </c>
      <c r="B52" s="5">
        <v>45783</v>
      </c>
      <c r="C52" t="s">
        <v>150</v>
      </c>
      <c r="D52" t="s">
        <v>125</v>
      </c>
      <c r="E52" t="s">
        <v>47</v>
      </c>
      <c r="F52" t="s">
        <v>29</v>
      </c>
      <c r="G52" t="s">
        <v>53</v>
      </c>
      <c r="H52" t="s">
        <v>30</v>
      </c>
      <c r="I52" t="s">
        <v>31</v>
      </c>
      <c r="J52">
        <v>3</v>
      </c>
      <c r="K52">
        <v>191000</v>
      </c>
      <c r="L52">
        <v>0.02</v>
      </c>
      <c r="M52">
        <v>561540</v>
      </c>
      <c r="N52">
        <v>386407.37</v>
      </c>
      <c r="O52">
        <v>175132.63</v>
      </c>
    </row>
    <row r="53" spans="1:15" x14ac:dyDescent="0.25">
      <c r="A53" t="s">
        <v>153</v>
      </c>
      <c r="B53" s="5">
        <v>45782</v>
      </c>
      <c r="C53" t="s">
        <v>150</v>
      </c>
      <c r="D53" t="s">
        <v>125</v>
      </c>
      <c r="E53" t="s">
        <v>24</v>
      </c>
      <c r="F53" t="s">
        <v>43</v>
      </c>
      <c r="G53" t="s">
        <v>53</v>
      </c>
      <c r="H53" t="s">
        <v>33</v>
      </c>
      <c r="I53" t="s">
        <v>41</v>
      </c>
      <c r="J53">
        <v>5</v>
      </c>
      <c r="K53">
        <v>624000</v>
      </c>
      <c r="L53">
        <v>0.02</v>
      </c>
      <c r="M53">
        <v>3057600</v>
      </c>
      <c r="N53">
        <v>2178414.98</v>
      </c>
      <c r="O53">
        <v>879185.02</v>
      </c>
    </row>
    <row r="54" spans="1:15" x14ac:dyDescent="0.25">
      <c r="A54" t="s">
        <v>149</v>
      </c>
      <c r="B54" s="5">
        <v>45779</v>
      </c>
      <c r="C54" t="s">
        <v>150</v>
      </c>
      <c r="D54" t="s">
        <v>125</v>
      </c>
      <c r="E54" t="s">
        <v>24</v>
      </c>
      <c r="F54" t="s">
        <v>68</v>
      </c>
      <c r="G54" t="s">
        <v>53</v>
      </c>
      <c r="H54" t="s">
        <v>21</v>
      </c>
      <c r="I54" t="s">
        <v>41</v>
      </c>
      <c r="J54">
        <v>4</v>
      </c>
      <c r="K54">
        <v>616000</v>
      </c>
      <c r="L54">
        <v>0</v>
      </c>
      <c r="M54">
        <v>2464000</v>
      </c>
      <c r="N54">
        <v>1533945.9</v>
      </c>
      <c r="O54">
        <v>930054.1</v>
      </c>
    </row>
    <row r="55" spans="1:15" x14ac:dyDescent="0.25">
      <c r="A55" t="s">
        <v>138</v>
      </c>
      <c r="B55" s="5">
        <v>45766</v>
      </c>
      <c r="C55" t="s">
        <v>124</v>
      </c>
      <c r="D55" t="s">
        <v>125</v>
      </c>
      <c r="E55" t="s">
        <v>47</v>
      </c>
      <c r="F55" t="s">
        <v>19</v>
      </c>
      <c r="G55" t="s">
        <v>53</v>
      </c>
      <c r="H55" t="s">
        <v>33</v>
      </c>
      <c r="I55" t="s">
        <v>34</v>
      </c>
      <c r="J55">
        <v>2</v>
      </c>
      <c r="K55">
        <v>309000</v>
      </c>
      <c r="L55">
        <v>0</v>
      </c>
      <c r="M55">
        <v>618000</v>
      </c>
      <c r="N55">
        <v>433962.2</v>
      </c>
      <c r="O55">
        <v>184037.8</v>
      </c>
    </row>
    <row r="56" spans="1:15" x14ac:dyDescent="0.25">
      <c r="A56" t="s">
        <v>134</v>
      </c>
      <c r="B56" s="5">
        <v>45760</v>
      </c>
      <c r="C56" t="s">
        <v>124</v>
      </c>
      <c r="D56" t="s">
        <v>125</v>
      </c>
      <c r="E56" t="s">
        <v>18</v>
      </c>
      <c r="F56" t="s">
        <v>68</v>
      </c>
      <c r="G56" t="s">
        <v>53</v>
      </c>
      <c r="H56" t="s">
        <v>33</v>
      </c>
      <c r="I56" t="s">
        <v>41</v>
      </c>
      <c r="J56">
        <v>10</v>
      </c>
      <c r="K56">
        <v>614000</v>
      </c>
      <c r="L56">
        <v>0.05</v>
      </c>
      <c r="M56">
        <v>5833000</v>
      </c>
      <c r="N56">
        <v>4169678.31</v>
      </c>
      <c r="O56">
        <v>1663321.69</v>
      </c>
    </row>
    <row r="57" spans="1:15" x14ac:dyDescent="0.25">
      <c r="A57" t="s">
        <v>132</v>
      </c>
      <c r="B57" s="5">
        <v>45755</v>
      </c>
      <c r="C57" t="s">
        <v>124</v>
      </c>
      <c r="D57" t="s">
        <v>125</v>
      </c>
      <c r="E57" t="s">
        <v>49</v>
      </c>
      <c r="F57" t="s">
        <v>19</v>
      </c>
      <c r="G57" t="s">
        <v>53</v>
      </c>
      <c r="H57" t="s">
        <v>33</v>
      </c>
      <c r="I57" t="s">
        <v>41</v>
      </c>
      <c r="J57">
        <v>3</v>
      </c>
      <c r="K57">
        <v>285000</v>
      </c>
      <c r="L57">
        <v>0.02</v>
      </c>
      <c r="M57">
        <v>837900</v>
      </c>
      <c r="N57">
        <v>616708.85</v>
      </c>
      <c r="O57">
        <v>221191.15</v>
      </c>
    </row>
    <row r="58" spans="1:15" x14ac:dyDescent="0.25">
      <c r="A58" t="s">
        <v>131</v>
      </c>
      <c r="B58" s="5">
        <v>45755</v>
      </c>
      <c r="C58" t="s">
        <v>124</v>
      </c>
      <c r="D58" t="s">
        <v>125</v>
      </c>
      <c r="E58" t="s">
        <v>18</v>
      </c>
      <c r="F58" t="s">
        <v>36</v>
      </c>
      <c r="G58" t="s">
        <v>53</v>
      </c>
      <c r="H58" t="s">
        <v>21</v>
      </c>
      <c r="I58" t="s">
        <v>34</v>
      </c>
      <c r="J58">
        <v>3</v>
      </c>
      <c r="K58">
        <v>369000</v>
      </c>
      <c r="L58">
        <v>0.05</v>
      </c>
      <c r="M58">
        <v>1051650</v>
      </c>
      <c r="N58">
        <v>767460.23</v>
      </c>
      <c r="O58">
        <v>284189.77</v>
      </c>
    </row>
    <row r="59" spans="1:15" x14ac:dyDescent="0.25">
      <c r="A59" t="s">
        <v>129</v>
      </c>
      <c r="B59" s="5">
        <v>45753</v>
      </c>
      <c r="C59" t="s">
        <v>124</v>
      </c>
      <c r="D59" t="s">
        <v>125</v>
      </c>
      <c r="E59" t="s">
        <v>49</v>
      </c>
      <c r="F59" t="s">
        <v>43</v>
      </c>
      <c r="G59" t="s">
        <v>53</v>
      </c>
      <c r="H59" t="s">
        <v>33</v>
      </c>
      <c r="I59" t="s">
        <v>31</v>
      </c>
      <c r="J59">
        <v>2</v>
      </c>
      <c r="K59">
        <v>236000</v>
      </c>
      <c r="L59">
        <v>0.05</v>
      </c>
      <c r="M59">
        <v>448400</v>
      </c>
      <c r="N59">
        <v>306992.84000000003</v>
      </c>
      <c r="O59">
        <v>141407.16</v>
      </c>
    </row>
    <row r="60" spans="1:15" x14ac:dyDescent="0.25">
      <c r="A60" t="s">
        <v>118</v>
      </c>
      <c r="B60" s="5">
        <v>45745</v>
      </c>
      <c r="C60" t="s">
        <v>94</v>
      </c>
      <c r="D60" t="s">
        <v>17</v>
      </c>
      <c r="E60" t="s">
        <v>24</v>
      </c>
      <c r="F60" t="s">
        <v>29</v>
      </c>
      <c r="G60" t="s">
        <v>53</v>
      </c>
      <c r="H60" t="s">
        <v>33</v>
      </c>
      <c r="I60" t="s">
        <v>41</v>
      </c>
      <c r="J60">
        <v>4</v>
      </c>
      <c r="K60">
        <v>548000</v>
      </c>
      <c r="L60">
        <v>0.02</v>
      </c>
      <c r="M60">
        <v>2148160</v>
      </c>
      <c r="N60">
        <v>1716692.06</v>
      </c>
      <c r="O60">
        <v>431467.94</v>
      </c>
    </row>
    <row r="61" spans="1:15" x14ac:dyDescent="0.25">
      <c r="A61" t="s">
        <v>110</v>
      </c>
      <c r="B61" s="5">
        <v>45738</v>
      </c>
      <c r="C61" t="s">
        <v>94</v>
      </c>
      <c r="D61" t="s">
        <v>17</v>
      </c>
      <c r="E61" t="s">
        <v>18</v>
      </c>
      <c r="F61" t="s">
        <v>55</v>
      </c>
      <c r="G61" t="s">
        <v>53</v>
      </c>
      <c r="H61" t="s">
        <v>30</v>
      </c>
      <c r="I61" t="s">
        <v>34</v>
      </c>
      <c r="J61">
        <v>4</v>
      </c>
      <c r="K61">
        <v>296000</v>
      </c>
      <c r="L61">
        <v>0.02</v>
      </c>
      <c r="M61">
        <v>1160320</v>
      </c>
      <c r="N61">
        <v>753764.05</v>
      </c>
      <c r="O61">
        <v>406555.95</v>
      </c>
    </row>
    <row r="62" spans="1:15" x14ac:dyDescent="0.25">
      <c r="A62" t="s">
        <v>106</v>
      </c>
      <c r="B62" s="5">
        <v>45732</v>
      </c>
      <c r="C62" t="s">
        <v>94</v>
      </c>
      <c r="D62" t="s">
        <v>17</v>
      </c>
      <c r="E62" t="s">
        <v>18</v>
      </c>
      <c r="F62" t="s">
        <v>29</v>
      </c>
      <c r="G62" t="s">
        <v>53</v>
      </c>
      <c r="H62" t="s">
        <v>33</v>
      </c>
      <c r="I62" t="s">
        <v>22</v>
      </c>
      <c r="J62">
        <v>2</v>
      </c>
      <c r="K62">
        <v>413000</v>
      </c>
      <c r="L62">
        <v>0</v>
      </c>
      <c r="M62">
        <v>826000</v>
      </c>
      <c r="N62">
        <v>616122.93000000005</v>
      </c>
      <c r="O62">
        <v>209877.07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C27F-DF8C-4C36-9C38-9EFB984EA131}">
  <dimension ref="A3:G19"/>
  <sheetViews>
    <sheetView zoomScale="86" zoomScaleNormal="86" workbookViewId="0">
      <selection activeCell="G18" sqref="G18"/>
    </sheetView>
  </sheetViews>
  <sheetFormatPr defaultRowHeight="15" x14ac:dyDescent="0.25"/>
  <cols>
    <col min="1" max="1" width="13.5703125" bestFit="1" customWidth="1"/>
    <col min="2" max="2" width="21.85546875" bestFit="1" customWidth="1"/>
    <col min="3" max="3" width="20.7109375" bestFit="1" customWidth="1"/>
    <col min="6" max="6" width="12.140625" bestFit="1" customWidth="1"/>
    <col min="7" max="7" width="20.5703125" style="13" bestFit="1" customWidth="1"/>
    <col min="8" max="11" width="19.28515625" bestFit="1" customWidth="1"/>
    <col min="12" max="14" width="18.140625" bestFit="1" customWidth="1"/>
    <col min="15" max="15" width="20.5703125" bestFit="1" customWidth="1"/>
  </cols>
  <sheetData>
    <row r="3" spans="1:7" x14ac:dyDescent="0.25">
      <c r="A3" s="16" t="s">
        <v>4</v>
      </c>
      <c r="B3" t="s">
        <v>16800</v>
      </c>
      <c r="F3" s="16" t="s">
        <v>6</v>
      </c>
      <c r="G3" s="13" t="s">
        <v>16800</v>
      </c>
    </row>
    <row r="4" spans="1:7" x14ac:dyDescent="0.25">
      <c r="A4" s="17" t="s">
        <v>18</v>
      </c>
      <c r="B4" s="19">
        <v>85043210</v>
      </c>
      <c r="F4" s="17" t="s">
        <v>37</v>
      </c>
      <c r="G4" s="13">
        <v>1479430</v>
      </c>
    </row>
    <row r="5" spans="1:7" x14ac:dyDescent="0.25">
      <c r="A5" s="17" t="s">
        <v>49</v>
      </c>
      <c r="B5" s="19">
        <v>43197500</v>
      </c>
      <c r="F5" s="17" t="s">
        <v>40</v>
      </c>
      <c r="G5" s="13">
        <v>4894750</v>
      </c>
    </row>
    <row r="6" spans="1:7" x14ac:dyDescent="0.25">
      <c r="A6" s="17" t="s">
        <v>24</v>
      </c>
      <c r="B6" s="19">
        <v>41048740</v>
      </c>
      <c r="F6" s="17" t="s">
        <v>51</v>
      </c>
      <c r="G6" s="13">
        <v>4990270</v>
      </c>
    </row>
    <row r="7" spans="1:7" x14ac:dyDescent="0.25">
      <c r="A7" s="17" t="s">
        <v>28</v>
      </c>
      <c r="B7" s="19">
        <v>34963880</v>
      </c>
      <c r="F7" s="17" t="s">
        <v>60</v>
      </c>
      <c r="G7" s="13">
        <v>17352520</v>
      </c>
    </row>
    <row r="8" spans="1:7" x14ac:dyDescent="0.25">
      <c r="A8" s="17" t="s">
        <v>47</v>
      </c>
      <c r="B8" s="19">
        <v>26435540</v>
      </c>
      <c r="F8" s="17" t="s">
        <v>45</v>
      </c>
      <c r="G8" s="13">
        <v>19803930</v>
      </c>
    </row>
    <row r="9" spans="1:7" x14ac:dyDescent="0.25">
      <c r="A9" s="17" t="s">
        <v>16799</v>
      </c>
      <c r="B9" s="19">
        <v>230688870</v>
      </c>
      <c r="F9" s="17" t="s">
        <v>26</v>
      </c>
      <c r="G9" s="13">
        <v>23826570</v>
      </c>
    </row>
    <row r="10" spans="1:7" x14ac:dyDescent="0.25">
      <c r="F10" s="17" t="s">
        <v>20</v>
      </c>
      <c r="G10" s="13">
        <v>76054380</v>
      </c>
    </row>
    <row r="11" spans="1:7" x14ac:dyDescent="0.25">
      <c r="F11" s="17" t="s">
        <v>53</v>
      </c>
      <c r="G11" s="13">
        <v>82287020</v>
      </c>
    </row>
    <row r="12" spans="1:7" x14ac:dyDescent="0.25">
      <c r="F12" s="17" t="s">
        <v>16799</v>
      </c>
      <c r="G12" s="13">
        <v>230688870</v>
      </c>
    </row>
    <row r="13" spans="1:7" x14ac:dyDescent="0.25">
      <c r="A13" s="16" t="s">
        <v>4</v>
      </c>
      <c r="B13" t="s">
        <v>16814</v>
      </c>
    </row>
    <row r="14" spans="1:7" x14ac:dyDescent="0.25">
      <c r="A14" s="17" t="s">
        <v>18</v>
      </c>
      <c r="B14">
        <v>328</v>
      </c>
    </row>
    <row r="15" spans="1:7" x14ac:dyDescent="0.25">
      <c r="A15" s="17" t="s">
        <v>49</v>
      </c>
      <c r="B15">
        <v>229</v>
      </c>
    </row>
    <row r="16" spans="1:7" x14ac:dyDescent="0.25">
      <c r="A16" s="17" t="s">
        <v>28</v>
      </c>
      <c r="B16">
        <v>160</v>
      </c>
    </row>
    <row r="17" spans="1:2" x14ac:dyDescent="0.25">
      <c r="A17" s="17" t="s">
        <v>24</v>
      </c>
      <c r="B17">
        <v>145</v>
      </c>
    </row>
    <row r="18" spans="1:2" x14ac:dyDescent="0.25">
      <c r="A18" s="17" t="s">
        <v>47</v>
      </c>
      <c r="B18">
        <v>112</v>
      </c>
    </row>
    <row r="19" spans="1:2" x14ac:dyDescent="0.25">
      <c r="A19" s="17" t="s">
        <v>16799</v>
      </c>
      <c r="B19">
        <v>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BB40-EDEA-4B25-AB6C-87A0C9927BF0}">
  <dimension ref="A3:B16"/>
  <sheetViews>
    <sheetView topLeftCell="A2" workbookViewId="0">
      <selection activeCell="J20" sqref="J20"/>
    </sheetView>
  </sheetViews>
  <sheetFormatPr defaultRowHeight="15" x14ac:dyDescent="0.25"/>
  <cols>
    <col min="1" max="1" width="13.140625" bestFit="1" customWidth="1"/>
    <col min="2" max="2" width="18.7109375" style="21" bestFit="1" customWidth="1"/>
  </cols>
  <sheetData>
    <row r="3" spans="1:2" x14ac:dyDescent="0.25">
      <c r="A3" s="16" t="s">
        <v>2</v>
      </c>
      <c r="B3" s="21" t="s">
        <v>16800</v>
      </c>
    </row>
    <row r="4" spans="1:2" x14ac:dyDescent="0.25">
      <c r="A4" s="17" t="s">
        <v>16</v>
      </c>
      <c r="B4" s="21">
        <v>11014460</v>
      </c>
    </row>
    <row r="5" spans="1:2" x14ac:dyDescent="0.25">
      <c r="A5" s="17" t="s">
        <v>65</v>
      </c>
      <c r="B5" s="21">
        <v>30099380</v>
      </c>
    </row>
    <row r="6" spans="1:2" x14ac:dyDescent="0.25">
      <c r="A6" s="17" t="s">
        <v>94</v>
      </c>
      <c r="B6" s="21">
        <v>16662780</v>
      </c>
    </row>
    <row r="7" spans="1:2" x14ac:dyDescent="0.25">
      <c r="A7" s="17" t="s">
        <v>124</v>
      </c>
      <c r="B7" s="21">
        <v>17438650</v>
      </c>
    </row>
    <row r="8" spans="1:2" x14ac:dyDescent="0.25">
      <c r="A8" s="17" t="s">
        <v>150</v>
      </c>
      <c r="B8" s="21">
        <v>17800290</v>
      </c>
    </row>
    <row r="9" spans="1:2" x14ac:dyDescent="0.25">
      <c r="A9" s="17" t="s">
        <v>172</v>
      </c>
      <c r="B9" s="21">
        <v>16299070</v>
      </c>
    </row>
    <row r="10" spans="1:2" x14ac:dyDescent="0.25">
      <c r="A10" s="17" t="s">
        <v>200</v>
      </c>
      <c r="B10" s="21">
        <v>19983020</v>
      </c>
    </row>
    <row r="11" spans="1:2" x14ac:dyDescent="0.25">
      <c r="A11" s="17" t="s">
        <v>229</v>
      </c>
      <c r="B11" s="21">
        <v>18807500</v>
      </c>
    </row>
    <row r="12" spans="1:2" x14ac:dyDescent="0.25">
      <c r="A12" s="17" t="s">
        <v>256</v>
      </c>
      <c r="B12" s="21">
        <v>19641790</v>
      </c>
    </row>
    <row r="13" spans="1:2" x14ac:dyDescent="0.25">
      <c r="A13" s="17" t="s">
        <v>282</v>
      </c>
      <c r="B13" s="21">
        <v>26637880</v>
      </c>
    </row>
    <row r="14" spans="1:2" x14ac:dyDescent="0.25">
      <c r="A14" s="17" t="s">
        <v>309</v>
      </c>
      <c r="B14" s="21">
        <v>7086840</v>
      </c>
    </row>
    <row r="15" spans="1:2" x14ac:dyDescent="0.25">
      <c r="A15" s="17" t="s">
        <v>327</v>
      </c>
      <c r="B15" s="21">
        <v>29217210</v>
      </c>
    </row>
    <row r="16" spans="1:2" x14ac:dyDescent="0.25">
      <c r="A16" s="17" t="s">
        <v>16799</v>
      </c>
      <c r="B16" s="21">
        <v>230688870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ABF2-C05B-4B9D-9B6B-B3DEED780AA2}">
  <dimension ref="A3:D12"/>
  <sheetViews>
    <sheetView workbookViewId="0">
      <selection activeCell="C8" sqref="C8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8.7109375" style="13" bestFit="1" customWidth="1"/>
    <col min="4" max="4" width="18.140625" style="13" bestFit="1" customWidth="1"/>
    <col min="5" max="62" width="6" bestFit="1" customWidth="1"/>
    <col min="63" max="209" width="7" bestFit="1" customWidth="1"/>
    <col min="210" max="286" width="8" bestFit="1" customWidth="1"/>
    <col min="287" max="287" width="7.28515625" bestFit="1" customWidth="1"/>
    <col min="288" max="288" width="11.28515625" bestFit="1" customWidth="1"/>
  </cols>
  <sheetData>
    <row r="3" spans="1:4" x14ac:dyDescent="0.25">
      <c r="A3" s="16" t="s">
        <v>16818</v>
      </c>
      <c r="B3" t="s">
        <v>16814</v>
      </c>
      <c r="C3" s="13" t="s">
        <v>16800</v>
      </c>
      <c r="D3" s="13" t="s">
        <v>16813</v>
      </c>
    </row>
    <row r="4" spans="1:4" x14ac:dyDescent="0.25">
      <c r="A4" s="17" t="s">
        <v>25</v>
      </c>
      <c r="B4">
        <v>131</v>
      </c>
      <c r="C4" s="13">
        <v>40668990</v>
      </c>
      <c r="D4" s="13">
        <v>10565394.139999997</v>
      </c>
    </row>
    <row r="5" spans="1:4" x14ac:dyDescent="0.25">
      <c r="A5" s="17" t="s">
        <v>68</v>
      </c>
      <c r="B5">
        <v>166</v>
      </c>
      <c r="C5" s="13">
        <v>37726990</v>
      </c>
      <c r="D5" s="13">
        <v>10586144.35</v>
      </c>
    </row>
    <row r="6" spans="1:4" x14ac:dyDescent="0.25">
      <c r="A6" s="17" t="s">
        <v>55</v>
      </c>
      <c r="B6">
        <v>97</v>
      </c>
      <c r="C6" s="13">
        <v>31034690</v>
      </c>
      <c r="D6" s="13">
        <v>8703022.5799999982</v>
      </c>
    </row>
    <row r="7" spans="1:4" x14ac:dyDescent="0.25">
      <c r="A7" s="17" t="s">
        <v>29</v>
      </c>
      <c r="B7">
        <v>137</v>
      </c>
      <c r="C7" s="13">
        <v>28905200</v>
      </c>
      <c r="D7" s="13">
        <v>8143926.8700000001</v>
      </c>
    </row>
    <row r="8" spans="1:4" x14ac:dyDescent="0.25">
      <c r="A8" s="17" t="s">
        <v>19</v>
      </c>
      <c r="B8">
        <v>121</v>
      </c>
      <c r="C8" s="13">
        <v>27086410</v>
      </c>
      <c r="D8" s="13">
        <v>7745084.7199999988</v>
      </c>
    </row>
    <row r="9" spans="1:4" x14ac:dyDescent="0.25">
      <c r="A9" s="17" t="s">
        <v>43</v>
      </c>
      <c r="B9">
        <v>112</v>
      </c>
      <c r="C9" s="13">
        <v>25807390</v>
      </c>
      <c r="D9" s="13">
        <v>7225117.3899999987</v>
      </c>
    </row>
    <row r="10" spans="1:4" x14ac:dyDescent="0.25">
      <c r="A10" s="17" t="s">
        <v>58</v>
      </c>
      <c r="B10">
        <v>89</v>
      </c>
      <c r="C10" s="13">
        <v>19901950</v>
      </c>
      <c r="D10" s="13">
        <v>5492851.6200000001</v>
      </c>
    </row>
    <row r="11" spans="1:4" x14ac:dyDescent="0.25">
      <c r="A11" s="17" t="s">
        <v>36</v>
      </c>
      <c r="B11">
        <v>121</v>
      </c>
      <c r="C11" s="13">
        <v>19557250</v>
      </c>
      <c r="D11" s="13">
        <v>5369306.5299999984</v>
      </c>
    </row>
    <row r="12" spans="1:4" x14ac:dyDescent="0.25">
      <c r="A12" s="17" t="s">
        <v>16799</v>
      </c>
      <c r="B12">
        <v>974</v>
      </c>
      <c r="C12" s="13">
        <v>230688870</v>
      </c>
      <c r="D12" s="13">
        <v>63830848.199999996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1B24-C306-4E25-9C42-8E85FA04A234}">
  <dimension ref="A1:O99"/>
  <sheetViews>
    <sheetView workbookViewId="0">
      <selection activeCell="A3" sqref="A3:O99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0.85546875" bestFit="1" customWidth="1"/>
    <col min="4" max="4" width="10.140625" bestFit="1" customWidth="1"/>
    <col min="5" max="5" width="12.7109375" bestFit="1" customWidth="1"/>
    <col min="6" max="6" width="12.28515625" bestFit="1" customWidth="1"/>
    <col min="7" max="7" width="11.85546875" bestFit="1" customWidth="1"/>
    <col min="8" max="8" width="16.28515625" bestFit="1" customWidth="1"/>
    <col min="9" max="9" width="19.5703125" bestFit="1" customWidth="1"/>
    <col min="10" max="10" width="11" bestFit="1" customWidth="1"/>
    <col min="11" max="11" width="18" bestFit="1" customWidth="1"/>
    <col min="12" max="12" width="16.140625" bestFit="1" customWidth="1"/>
    <col min="13" max="13" width="13.140625" bestFit="1" customWidth="1"/>
    <col min="14" max="14" width="12.42578125" bestFit="1" customWidth="1"/>
    <col min="15" max="15" width="13.5703125" bestFit="1" customWidth="1"/>
  </cols>
  <sheetData>
    <row r="1" spans="1:15" x14ac:dyDescent="0.25">
      <c r="A1" s="10" t="s">
        <v>16825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356</v>
      </c>
      <c r="B4" s="5">
        <v>46021</v>
      </c>
      <c r="C4" t="s">
        <v>327</v>
      </c>
      <c r="D4" t="s">
        <v>283</v>
      </c>
      <c r="E4" t="s">
        <v>49</v>
      </c>
      <c r="F4" t="s">
        <v>19</v>
      </c>
      <c r="G4" t="s">
        <v>53</v>
      </c>
      <c r="H4" t="s">
        <v>30</v>
      </c>
      <c r="I4" t="s">
        <v>31</v>
      </c>
      <c r="J4">
        <v>4</v>
      </c>
      <c r="K4">
        <v>216000</v>
      </c>
      <c r="L4">
        <v>0</v>
      </c>
      <c r="M4">
        <v>864000</v>
      </c>
      <c r="N4">
        <v>660919.69999999995</v>
      </c>
      <c r="O4">
        <v>203080.3</v>
      </c>
    </row>
    <row r="5" spans="1:15" x14ac:dyDescent="0.25">
      <c r="A5" t="s">
        <v>353</v>
      </c>
      <c r="B5" s="5">
        <v>46019</v>
      </c>
      <c r="C5" t="s">
        <v>327</v>
      </c>
      <c r="D5" t="s">
        <v>283</v>
      </c>
      <c r="E5" t="s">
        <v>28</v>
      </c>
      <c r="F5" t="s">
        <v>25</v>
      </c>
      <c r="G5" t="s">
        <v>53</v>
      </c>
      <c r="H5" t="s">
        <v>30</v>
      </c>
      <c r="I5" t="s">
        <v>22</v>
      </c>
      <c r="J5">
        <v>3</v>
      </c>
      <c r="K5">
        <v>350000</v>
      </c>
      <c r="L5">
        <v>0</v>
      </c>
      <c r="M5">
        <v>1050000</v>
      </c>
      <c r="N5">
        <v>680405.06</v>
      </c>
      <c r="O5">
        <v>369594.94</v>
      </c>
    </row>
    <row r="6" spans="1:15" x14ac:dyDescent="0.25">
      <c r="A6" t="s">
        <v>27</v>
      </c>
      <c r="B6" s="5">
        <v>45665</v>
      </c>
      <c r="C6" t="s">
        <v>16</v>
      </c>
      <c r="D6" t="s">
        <v>17</v>
      </c>
      <c r="E6" t="s">
        <v>28</v>
      </c>
      <c r="F6" t="s">
        <v>29</v>
      </c>
      <c r="G6" t="s">
        <v>26</v>
      </c>
      <c r="H6" t="s">
        <v>30</v>
      </c>
      <c r="I6" t="s">
        <v>31</v>
      </c>
      <c r="J6">
        <v>1</v>
      </c>
      <c r="K6">
        <v>113000</v>
      </c>
      <c r="L6">
        <v>0</v>
      </c>
      <c r="M6">
        <v>113000</v>
      </c>
      <c r="N6">
        <v>91299.93</v>
      </c>
      <c r="O6">
        <v>21700.07</v>
      </c>
    </row>
    <row r="7" spans="1:15" x14ac:dyDescent="0.25">
      <c r="A7" t="s">
        <v>348</v>
      </c>
      <c r="B7" s="5">
        <v>46017</v>
      </c>
      <c r="C7" t="s">
        <v>327</v>
      </c>
      <c r="D7" t="s">
        <v>283</v>
      </c>
      <c r="E7" t="s">
        <v>49</v>
      </c>
      <c r="F7" t="s">
        <v>68</v>
      </c>
      <c r="G7" t="s">
        <v>51</v>
      </c>
      <c r="H7" t="s">
        <v>30</v>
      </c>
      <c r="I7" t="s">
        <v>22</v>
      </c>
      <c r="J7">
        <v>4</v>
      </c>
      <c r="K7">
        <v>32000</v>
      </c>
      <c r="L7">
        <v>0</v>
      </c>
      <c r="M7">
        <v>128000</v>
      </c>
      <c r="N7">
        <v>100915.16</v>
      </c>
      <c r="O7">
        <v>27084.84</v>
      </c>
    </row>
    <row r="8" spans="1:15" x14ac:dyDescent="0.25">
      <c r="A8" t="s">
        <v>35</v>
      </c>
      <c r="B8" s="5">
        <v>45667</v>
      </c>
      <c r="C8" t="s">
        <v>16</v>
      </c>
      <c r="D8" t="s">
        <v>17</v>
      </c>
      <c r="E8" t="s">
        <v>24</v>
      </c>
      <c r="F8" t="s">
        <v>36</v>
      </c>
      <c r="G8" t="s">
        <v>37</v>
      </c>
      <c r="H8" t="s">
        <v>30</v>
      </c>
      <c r="I8" t="s">
        <v>22</v>
      </c>
      <c r="J8">
        <v>1</v>
      </c>
      <c r="K8">
        <v>29000</v>
      </c>
      <c r="L8">
        <v>0</v>
      </c>
      <c r="M8">
        <v>29000</v>
      </c>
      <c r="N8">
        <v>22620.41</v>
      </c>
      <c r="O8">
        <v>6379.59</v>
      </c>
    </row>
    <row r="9" spans="1:15" x14ac:dyDescent="0.25">
      <c r="A9" t="s">
        <v>341</v>
      </c>
      <c r="B9" s="5">
        <v>46007</v>
      </c>
      <c r="C9" t="s">
        <v>327</v>
      </c>
      <c r="D9" t="s">
        <v>283</v>
      </c>
      <c r="E9" t="s">
        <v>28</v>
      </c>
      <c r="F9" t="s">
        <v>55</v>
      </c>
      <c r="G9" t="s">
        <v>40</v>
      </c>
      <c r="H9" t="s">
        <v>30</v>
      </c>
      <c r="I9" t="s">
        <v>41</v>
      </c>
      <c r="J9">
        <v>1</v>
      </c>
      <c r="K9">
        <v>17000</v>
      </c>
      <c r="L9">
        <v>0</v>
      </c>
      <c r="M9">
        <v>17000</v>
      </c>
      <c r="N9">
        <v>12112.92</v>
      </c>
      <c r="O9">
        <v>4887.08</v>
      </c>
    </row>
    <row r="10" spans="1:15" x14ac:dyDescent="0.25">
      <c r="A10" t="s">
        <v>339</v>
      </c>
      <c r="B10" s="5">
        <v>46007</v>
      </c>
      <c r="C10" t="s">
        <v>327</v>
      </c>
      <c r="D10" t="s">
        <v>283</v>
      </c>
      <c r="E10" t="s">
        <v>18</v>
      </c>
      <c r="F10" t="s">
        <v>29</v>
      </c>
      <c r="G10" t="s">
        <v>53</v>
      </c>
      <c r="H10" t="s">
        <v>30</v>
      </c>
      <c r="I10" t="s">
        <v>41</v>
      </c>
      <c r="J10">
        <v>3</v>
      </c>
      <c r="K10">
        <v>260000</v>
      </c>
      <c r="L10">
        <v>0.02</v>
      </c>
      <c r="M10">
        <v>764400</v>
      </c>
      <c r="N10">
        <v>554953.1</v>
      </c>
      <c r="O10">
        <v>209446.9</v>
      </c>
    </row>
    <row r="11" spans="1:15" x14ac:dyDescent="0.25">
      <c r="A11" t="s">
        <v>338</v>
      </c>
      <c r="B11" s="5">
        <v>46007</v>
      </c>
      <c r="C11" t="s">
        <v>327</v>
      </c>
      <c r="D11" t="s">
        <v>283</v>
      </c>
      <c r="E11" t="s">
        <v>24</v>
      </c>
      <c r="F11" t="s">
        <v>25</v>
      </c>
      <c r="G11" t="s">
        <v>53</v>
      </c>
      <c r="H11" t="s">
        <v>30</v>
      </c>
      <c r="I11" t="s">
        <v>22</v>
      </c>
      <c r="J11">
        <v>10</v>
      </c>
      <c r="K11">
        <v>445000</v>
      </c>
      <c r="L11">
        <v>0</v>
      </c>
      <c r="M11">
        <v>4450000</v>
      </c>
      <c r="N11">
        <v>3382224.24</v>
      </c>
      <c r="O11">
        <v>1067775.76</v>
      </c>
    </row>
    <row r="12" spans="1:15" x14ac:dyDescent="0.25">
      <c r="A12" t="s">
        <v>335</v>
      </c>
      <c r="B12" s="5">
        <v>46005</v>
      </c>
      <c r="C12" t="s">
        <v>327</v>
      </c>
      <c r="D12" t="s">
        <v>283</v>
      </c>
      <c r="E12" t="s">
        <v>28</v>
      </c>
      <c r="F12" t="s">
        <v>68</v>
      </c>
      <c r="G12" t="s">
        <v>20</v>
      </c>
      <c r="H12" t="s">
        <v>30</v>
      </c>
      <c r="I12" t="s">
        <v>31</v>
      </c>
      <c r="J12">
        <v>1</v>
      </c>
      <c r="K12">
        <v>497000</v>
      </c>
      <c r="L12">
        <v>0.02</v>
      </c>
      <c r="M12">
        <v>487060</v>
      </c>
      <c r="N12">
        <v>374650.92</v>
      </c>
      <c r="O12">
        <v>112409.08</v>
      </c>
    </row>
    <row r="13" spans="1:15" x14ac:dyDescent="0.25">
      <c r="A13" t="s">
        <v>46</v>
      </c>
      <c r="B13" s="5">
        <v>45671</v>
      </c>
      <c r="C13" t="s">
        <v>16</v>
      </c>
      <c r="D13" t="s">
        <v>17</v>
      </c>
      <c r="E13" t="s">
        <v>47</v>
      </c>
      <c r="F13" t="s">
        <v>25</v>
      </c>
      <c r="G13" t="s">
        <v>45</v>
      </c>
      <c r="H13" t="s">
        <v>30</v>
      </c>
      <c r="I13" t="s">
        <v>22</v>
      </c>
      <c r="J13">
        <v>1</v>
      </c>
      <c r="K13">
        <v>302000</v>
      </c>
      <c r="L13">
        <v>0.02</v>
      </c>
      <c r="M13">
        <v>295960</v>
      </c>
      <c r="N13">
        <v>211964.95</v>
      </c>
      <c r="O13">
        <v>83995.05</v>
      </c>
    </row>
    <row r="14" spans="1:15" x14ac:dyDescent="0.25">
      <c r="A14" t="s">
        <v>48</v>
      </c>
      <c r="B14" s="5">
        <v>45671</v>
      </c>
      <c r="C14" t="s">
        <v>16</v>
      </c>
      <c r="D14" t="s">
        <v>17</v>
      </c>
      <c r="E14" t="s">
        <v>49</v>
      </c>
      <c r="F14" t="s">
        <v>29</v>
      </c>
      <c r="G14" t="s">
        <v>45</v>
      </c>
      <c r="H14" t="s">
        <v>30</v>
      </c>
      <c r="I14" t="s">
        <v>22</v>
      </c>
      <c r="J14">
        <v>2</v>
      </c>
      <c r="K14">
        <v>135000</v>
      </c>
      <c r="L14">
        <v>0</v>
      </c>
      <c r="M14">
        <v>270000</v>
      </c>
      <c r="N14">
        <v>189271.12</v>
      </c>
      <c r="O14">
        <v>80728.88</v>
      </c>
    </row>
    <row r="15" spans="1:15" x14ac:dyDescent="0.25">
      <c r="A15" t="s">
        <v>332</v>
      </c>
      <c r="B15" s="5">
        <v>45999</v>
      </c>
      <c r="C15" t="s">
        <v>327</v>
      </c>
      <c r="D15" t="s">
        <v>283</v>
      </c>
      <c r="E15" t="s">
        <v>18</v>
      </c>
      <c r="F15" t="s">
        <v>68</v>
      </c>
      <c r="G15" t="s">
        <v>60</v>
      </c>
      <c r="H15" t="s">
        <v>30</v>
      </c>
      <c r="I15" t="s">
        <v>34</v>
      </c>
      <c r="J15">
        <v>3</v>
      </c>
      <c r="K15">
        <v>322000</v>
      </c>
      <c r="L15">
        <v>0</v>
      </c>
      <c r="M15">
        <v>966000</v>
      </c>
      <c r="N15">
        <v>717739.4</v>
      </c>
      <c r="O15">
        <v>248260.6</v>
      </c>
    </row>
    <row r="16" spans="1:15" x14ac:dyDescent="0.25">
      <c r="A16" t="s">
        <v>331</v>
      </c>
      <c r="B16" s="5">
        <v>45998</v>
      </c>
      <c r="C16" t="s">
        <v>327</v>
      </c>
      <c r="D16" t="s">
        <v>283</v>
      </c>
      <c r="E16" t="s">
        <v>49</v>
      </c>
      <c r="F16" t="s">
        <v>29</v>
      </c>
      <c r="G16" t="s">
        <v>20</v>
      </c>
      <c r="H16" t="s">
        <v>30</v>
      </c>
      <c r="I16" t="s">
        <v>31</v>
      </c>
      <c r="J16">
        <v>4</v>
      </c>
      <c r="K16">
        <v>792000</v>
      </c>
      <c r="L16">
        <v>0</v>
      </c>
      <c r="M16">
        <v>3168000</v>
      </c>
      <c r="N16">
        <v>2026147.72</v>
      </c>
      <c r="O16">
        <v>1141852.28</v>
      </c>
    </row>
    <row r="17" spans="1:15" x14ac:dyDescent="0.25">
      <c r="A17" t="s">
        <v>326</v>
      </c>
      <c r="B17" s="5">
        <v>45992</v>
      </c>
      <c r="C17" t="s">
        <v>327</v>
      </c>
      <c r="D17" t="s">
        <v>283</v>
      </c>
      <c r="E17" t="s">
        <v>49</v>
      </c>
      <c r="F17" t="s">
        <v>68</v>
      </c>
      <c r="G17" t="s">
        <v>51</v>
      </c>
      <c r="H17" t="s">
        <v>30</v>
      </c>
      <c r="I17" t="s">
        <v>31</v>
      </c>
      <c r="J17">
        <v>10</v>
      </c>
      <c r="K17">
        <v>53000</v>
      </c>
      <c r="L17">
        <v>0.02</v>
      </c>
      <c r="M17">
        <v>519400</v>
      </c>
      <c r="N17">
        <v>388162.61</v>
      </c>
      <c r="O17">
        <v>131237.39000000001</v>
      </c>
    </row>
    <row r="18" spans="1:15" x14ac:dyDescent="0.25">
      <c r="A18" t="s">
        <v>323</v>
      </c>
      <c r="B18" s="5">
        <v>45984</v>
      </c>
      <c r="C18" t="s">
        <v>309</v>
      </c>
      <c r="D18" t="s">
        <v>283</v>
      </c>
      <c r="E18" t="s">
        <v>47</v>
      </c>
      <c r="F18" t="s">
        <v>29</v>
      </c>
      <c r="G18" t="s">
        <v>45</v>
      </c>
      <c r="H18" t="s">
        <v>30</v>
      </c>
      <c r="I18" t="s">
        <v>31</v>
      </c>
      <c r="J18">
        <v>1</v>
      </c>
      <c r="K18">
        <v>146000</v>
      </c>
      <c r="L18">
        <v>0</v>
      </c>
      <c r="M18">
        <v>146000</v>
      </c>
      <c r="N18">
        <v>97848.23</v>
      </c>
      <c r="O18">
        <v>48151.77</v>
      </c>
    </row>
    <row r="19" spans="1:15" x14ac:dyDescent="0.25">
      <c r="A19" t="s">
        <v>321</v>
      </c>
      <c r="B19" s="5">
        <v>45975</v>
      </c>
      <c r="C19" t="s">
        <v>309</v>
      </c>
      <c r="D19" t="s">
        <v>283</v>
      </c>
      <c r="E19" t="s">
        <v>24</v>
      </c>
      <c r="F19" t="s">
        <v>29</v>
      </c>
      <c r="G19" t="s">
        <v>45</v>
      </c>
      <c r="H19" t="s">
        <v>30</v>
      </c>
      <c r="I19" t="s">
        <v>31</v>
      </c>
      <c r="J19">
        <v>4</v>
      </c>
      <c r="K19">
        <v>219000</v>
      </c>
      <c r="L19">
        <v>0</v>
      </c>
      <c r="M19">
        <v>876000</v>
      </c>
      <c r="N19">
        <v>575415.26</v>
      </c>
      <c r="O19">
        <v>300584.74</v>
      </c>
    </row>
    <row r="20" spans="1:15" x14ac:dyDescent="0.25">
      <c r="A20" t="s">
        <v>320</v>
      </c>
      <c r="B20" s="5">
        <v>45974</v>
      </c>
      <c r="C20" t="s">
        <v>309</v>
      </c>
      <c r="D20" t="s">
        <v>283</v>
      </c>
      <c r="E20" t="s">
        <v>18</v>
      </c>
      <c r="F20" t="s">
        <v>19</v>
      </c>
      <c r="G20" t="s">
        <v>51</v>
      </c>
      <c r="H20" t="s">
        <v>30</v>
      </c>
      <c r="I20" t="s">
        <v>22</v>
      </c>
      <c r="J20">
        <v>8</v>
      </c>
      <c r="K20">
        <v>30000</v>
      </c>
      <c r="L20">
        <v>0</v>
      </c>
      <c r="M20">
        <v>240000</v>
      </c>
      <c r="N20">
        <v>195354.18</v>
      </c>
      <c r="O20">
        <v>44645.82</v>
      </c>
    </row>
    <row r="21" spans="1:15" x14ac:dyDescent="0.25">
      <c r="A21" t="s">
        <v>317</v>
      </c>
      <c r="B21" s="5">
        <v>45972</v>
      </c>
      <c r="C21" t="s">
        <v>309</v>
      </c>
      <c r="D21" t="s">
        <v>283</v>
      </c>
      <c r="E21" t="s">
        <v>49</v>
      </c>
      <c r="F21" t="s">
        <v>55</v>
      </c>
      <c r="G21" t="s">
        <v>53</v>
      </c>
      <c r="H21" t="s">
        <v>30</v>
      </c>
      <c r="I21" t="s">
        <v>34</v>
      </c>
      <c r="J21">
        <v>1</v>
      </c>
      <c r="K21">
        <v>200000</v>
      </c>
      <c r="L21">
        <v>0.02</v>
      </c>
      <c r="M21">
        <v>196000</v>
      </c>
      <c r="N21">
        <v>125244.46</v>
      </c>
      <c r="O21">
        <v>70755.539999999994</v>
      </c>
    </row>
    <row r="22" spans="1:15" x14ac:dyDescent="0.25">
      <c r="A22" t="s">
        <v>311</v>
      </c>
      <c r="B22" s="5">
        <v>45966</v>
      </c>
      <c r="C22" t="s">
        <v>309</v>
      </c>
      <c r="D22" t="s">
        <v>283</v>
      </c>
      <c r="E22" t="s">
        <v>28</v>
      </c>
      <c r="F22" t="s">
        <v>58</v>
      </c>
      <c r="G22" t="s">
        <v>26</v>
      </c>
      <c r="H22" t="s">
        <v>30</v>
      </c>
      <c r="I22" t="s">
        <v>34</v>
      </c>
      <c r="J22">
        <v>3</v>
      </c>
      <c r="K22">
        <v>173000</v>
      </c>
      <c r="L22">
        <v>0</v>
      </c>
      <c r="M22">
        <v>519000</v>
      </c>
      <c r="N22">
        <v>362415.84</v>
      </c>
      <c r="O22">
        <v>156584.16</v>
      </c>
    </row>
    <row r="23" spans="1:15" x14ac:dyDescent="0.25">
      <c r="A23" t="s">
        <v>303</v>
      </c>
      <c r="B23" s="5">
        <v>45957</v>
      </c>
      <c r="C23" t="s">
        <v>282</v>
      </c>
      <c r="D23" t="s">
        <v>283</v>
      </c>
      <c r="E23" t="s">
        <v>18</v>
      </c>
      <c r="F23" t="s">
        <v>25</v>
      </c>
      <c r="G23" t="s">
        <v>45</v>
      </c>
      <c r="H23" t="s">
        <v>30</v>
      </c>
      <c r="I23" t="s">
        <v>41</v>
      </c>
      <c r="J23">
        <v>2</v>
      </c>
      <c r="K23">
        <v>124000</v>
      </c>
      <c r="L23">
        <v>0</v>
      </c>
      <c r="M23">
        <v>248000</v>
      </c>
      <c r="N23">
        <v>170003.87</v>
      </c>
      <c r="O23">
        <v>77996.13</v>
      </c>
    </row>
    <row r="24" spans="1:15" x14ac:dyDescent="0.25">
      <c r="A24" t="s">
        <v>64</v>
      </c>
      <c r="B24" s="5">
        <v>45689</v>
      </c>
      <c r="C24" t="s">
        <v>65</v>
      </c>
      <c r="D24" t="s">
        <v>17</v>
      </c>
      <c r="E24" t="s">
        <v>18</v>
      </c>
      <c r="F24" t="s">
        <v>58</v>
      </c>
      <c r="G24" t="s">
        <v>40</v>
      </c>
      <c r="H24" t="s">
        <v>30</v>
      </c>
      <c r="I24" t="s">
        <v>41</v>
      </c>
      <c r="J24">
        <v>2</v>
      </c>
      <c r="K24">
        <v>21000</v>
      </c>
      <c r="L24">
        <v>0.02</v>
      </c>
      <c r="M24">
        <v>41160</v>
      </c>
      <c r="N24">
        <v>26206.28</v>
      </c>
      <c r="O24">
        <v>14953.72</v>
      </c>
    </row>
    <row r="25" spans="1:15" x14ac:dyDescent="0.25">
      <c r="A25" t="s">
        <v>66</v>
      </c>
      <c r="B25" s="5">
        <v>45689</v>
      </c>
      <c r="C25" t="s">
        <v>65</v>
      </c>
      <c r="D25" t="s">
        <v>17</v>
      </c>
      <c r="E25" t="s">
        <v>18</v>
      </c>
      <c r="F25" t="s">
        <v>43</v>
      </c>
      <c r="G25" t="s">
        <v>20</v>
      </c>
      <c r="H25" t="s">
        <v>30</v>
      </c>
      <c r="I25" t="s">
        <v>41</v>
      </c>
      <c r="J25">
        <v>10</v>
      </c>
      <c r="K25">
        <v>592000</v>
      </c>
      <c r="L25">
        <v>0.05</v>
      </c>
      <c r="M25">
        <v>5624000</v>
      </c>
      <c r="N25">
        <v>4046193.47</v>
      </c>
      <c r="O25">
        <v>1577806.53</v>
      </c>
    </row>
    <row r="26" spans="1:15" x14ac:dyDescent="0.25">
      <c r="A26" t="s">
        <v>301</v>
      </c>
      <c r="B26" s="5">
        <v>45955</v>
      </c>
      <c r="C26" t="s">
        <v>282</v>
      </c>
      <c r="D26" t="s">
        <v>283</v>
      </c>
      <c r="E26" t="s">
        <v>28</v>
      </c>
      <c r="F26" t="s">
        <v>43</v>
      </c>
      <c r="G26" t="s">
        <v>53</v>
      </c>
      <c r="H26" t="s">
        <v>30</v>
      </c>
      <c r="I26" t="s">
        <v>22</v>
      </c>
      <c r="J26">
        <v>4</v>
      </c>
      <c r="K26">
        <v>426000</v>
      </c>
      <c r="L26">
        <v>0</v>
      </c>
      <c r="M26">
        <v>1704000</v>
      </c>
      <c r="N26">
        <v>1249820</v>
      </c>
      <c r="O26">
        <v>454180</v>
      </c>
    </row>
    <row r="27" spans="1:15" x14ac:dyDescent="0.25">
      <c r="A27" t="s">
        <v>299</v>
      </c>
      <c r="B27" s="5">
        <v>45952</v>
      </c>
      <c r="C27" t="s">
        <v>282</v>
      </c>
      <c r="D27" t="s">
        <v>283</v>
      </c>
      <c r="E27" t="s">
        <v>47</v>
      </c>
      <c r="F27" t="s">
        <v>19</v>
      </c>
      <c r="G27" t="s">
        <v>26</v>
      </c>
      <c r="H27" t="s">
        <v>30</v>
      </c>
      <c r="I27" t="s">
        <v>34</v>
      </c>
      <c r="J27">
        <v>6</v>
      </c>
      <c r="K27">
        <v>158000</v>
      </c>
      <c r="L27">
        <v>0</v>
      </c>
      <c r="M27">
        <v>948000</v>
      </c>
      <c r="N27">
        <v>742587.25</v>
      </c>
      <c r="O27">
        <v>205412.75</v>
      </c>
    </row>
    <row r="28" spans="1:15" x14ac:dyDescent="0.25">
      <c r="A28" t="s">
        <v>297</v>
      </c>
      <c r="B28" s="5">
        <v>45951</v>
      </c>
      <c r="C28" t="s">
        <v>282</v>
      </c>
      <c r="D28" t="s">
        <v>283</v>
      </c>
      <c r="E28" t="s">
        <v>18</v>
      </c>
      <c r="F28" t="s">
        <v>55</v>
      </c>
      <c r="G28" t="s">
        <v>37</v>
      </c>
      <c r="H28" t="s">
        <v>30</v>
      </c>
      <c r="I28" t="s">
        <v>22</v>
      </c>
      <c r="J28">
        <v>1</v>
      </c>
      <c r="K28">
        <v>21000</v>
      </c>
      <c r="L28">
        <v>0</v>
      </c>
      <c r="M28">
        <v>21000</v>
      </c>
      <c r="N28">
        <v>16646.78</v>
      </c>
      <c r="O28">
        <v>4353.22</v>
      </c>
    </row>
    <row r="29" spans="1:15" x14ac:dyDescent="0.25">
      <c r="A29" t="s">
        <v>71</v>
      </c>
      <c r="B29" s="5">
        <v>45693</v>
      </c>
      <c r="C29" t="s">
        <v>65</v>
      </c>
      <c r="D29" t="s">
        <v>17</v>
      </c>
      <c r="E29" t="s">
        <v>49</v>
      </c>
      <c r="F29" t="s">
        <v>58</v>
      </c>
      <c r="G29" t="s">
        <v>26</v>
      </c>
      <c r="H29" t="s">
        <v>30</v>
      </c>
      <c r="I29" t="s">
        <v>22</v>
      </c>
      <c r="J29">
        <v>8</v>
      </c>
      <c r="K29">
        <v>216000</v>
      </c>
      <c r="L29">
        <v>0.02</v>
      </c>
      <c r="M29">
        <v>1693440</v>
      </c>
      <c r="N29">
        <v>1122730.53</v>
      </c>
      <c r="O29">
        <v>570709.47</v>
      </c>
    </row>
    <row r="30" spans="1:15" x14ac:dyDescent="0.25">
      <c r="A30" t="s">
        <v>295</v>
      </c>
      <c r="B30" s="5">
        <v>45948</v>
      </c>
      <c r="C30" t="s">
        <v>282</v>
      </c>
      <c r="D30" t="s">
        <v>283</v>
      </c>
      <c r="E30" t="s">
        <v>18</v>
      </c>
      <c r="F30" t="s">
        <v>55</v>
      </c>
      <c r="G30" t="s">
        <v>40</v>
      </c>
      <c r="H30" t="s">
        <v>30</v>
      </c>
      <c r="I30" t="s">
        <v>41</v>
      </c>
      <c r="J30">
        <v>3</v>
      </c>
      <c r="K30">
        <v>30000</v>
      </c>
      <c r="L30">
        <v>0.02</v>
      </c>
      <c r="M30">
        <v>88200</v>
      </c>
      <c r="N30">
        <v>64309.919999999998</v>
      </c>
      <c r="O30">
        <v>23890.080000000002</v>
      </c>
    </row>
    <row r="31" spans="1:15" x14ac:dyDescent="0.25">
      <c r="A31" t="s">
        <v>292</v>
      </c>
      <c r="B31" s="5">
        <v>45946</v>
      </c>
      <c r="C31" t="s">
        <v>282</v>
      </c>
      <c r="D31" t="s">
        <v>283</v>
      </c>
      <c r="E31" t="s">
        <v>47</v>
      </c>
      <c r="F31" t="s">
        <v>68</v>
      </c>
      <c r="G31" t="s">
        <v>51</v>
      </c>
      <c r="H31" t="s">
        <v>30</v>
      </c>
      <c r="I31" t="s">
        <v>31</v>
      </c>
      <c r="J31">
        <v>4</v>
      </c>
      <c r="K31">
        <v>67000</v>
      </c>
      <c r="L31">
        <v>0</v>
      </c>
      <c r="M31">
        <v>268000</v>
      </c>
      <c r="N31">
        <v>208799.35999999999</v>
      </c>
      <c r="O31">
        <v>59200.639999999999</v>
      </c>
    </row>
    <row r="32" spans="1:15" x14ac:dyDescent="0.25">
      <c r="A32" t="s">
        <v>74</v>
      </c>
      <c r="B32" s="5">
        <v>45696</v>
      </c>
      <c r="C32" t="s">
        <v>65</v>
      </c>
      <c r="D32" t="s">
        <v>17</v>
      </c>
      <c r="E32" t="s">
        <v>49</v>
      </c>
      <c r="F32" t="s">
        <v>25</v>
      </c>
      <c r="G32" t="s">
        <v>40</v>
      </c>
      <c r="H32" t="s">
        <v>30</v>
      </c>
      <c r="I32" t="s">
        <v>41</v>
      </c>
      <c r="J32">
        <v>2</v>
      </c>
      <c r="K32">
        <v>32000</v>
      </c>
      <c r="L32">
        <v>0.1</v>
      </c>
      <c r="M32">
        <v>57600</v>
      </c>
      <c r="N32">
        <v>40621.61</v>
      </c>
      <c r="O32">
        <v>16978.39</v>
      </c>
    </row>
    <row r="33" spans="1:15" x14ac:dyDescent="0.25">
      <c r="A33" t="s">
        <v>290</v>
      </c>
      <c r="B33" s="5">
        <v>45943</v>
      </c>
      <c r="C33" t="s">
        <v>282</v>
      </c>
      <c r="D33" t="s">
        <v>283</v>
      </c>
      <c r="E33" t="s">
        <v>18</v>
      </c>
      <c r="F33" t="s">
        <v>29</v>
      </c>
      <c r="G33" t="s">
        <v>53</v>
      </c>
      <c r="H33" t="s">
        <v>30</v>
      </c>
      <c r="I33" t="s">
        <v>31</v>
      </c>
      <c r="J33">
        <v>1</v>
      </c>
      <c r="K33">
        <v>590000</v>
      </c>
      <c r="L33">
        <v>0.02</v>
      </c>
      <c r="M33">
        <v>578200</v>
      </c>
      <c r="N33">
        <v>421010.37</v>
      </c>
      <c r="O33">
        <v>157189.63</v>
      </c>
    </row>
    <row r="34" spans="1:15" x14ac:dyDescent="0.25">
      <c r="A34" t="s">
        <v>289</v>
      </c>
      <c r="B34" s="5">
        <v>45941</v>
      </c>
      <c r="C34" t="s">
        <v>282</v>
      </c>
      <c r="D34" t="s">
        <v>283</v>
      </c>
      <c r="E34" t="s">
        <v>28</v>
      </c>
      <c r="F34" t="s">
        <v>19</v>
      </c>
      <c r="G34" t="s">
        <v>20</v>
      </c>
      <c r="H34" t="s">
        <v>30</v>
      </c>
      <c r="I34" t="s">
        <v>34</v>
      </c>
      <c r="J34">
        <v>8</v>
      </c>
      <c r="K34">
        <v>471000</v>
      </c>
      <c r="L34">
        <v>0.05</v>
      </c>
      <c r="M34">
        <v>3579600</v>
      </c>
      <c r="N34">
        <v>2473435.7200000002</v>
      </c>
      <c r="O34">
        <v>1106164.28</v>
      </c>
    </row>
    <row r="35" spans="1:15" x14ac:dyDescent="0.25">
      <c r="A35" t="s">
        <v>288</v>
      </c>
      <c r="B35" s="5">
        <v>45940</v>
      </c>
      <c r="C35" t="s">
        <v>282</v>
      </c>
      <c r="D35" t="s">
        <v>283</v>
      </c>
      <c r="E35" t="s">
        <v>47</v>
      </c>
      <c r="F35" t="s">
        <v>25</v>
      </c>
      <c r="G35" t="s">
        <v>51</v>
      </c>
      <c r="H35" t="s">
        <v>30</v>
      </c>
      <c r="I35" t="s">
        <v>34</v>
      </c>
      <c r="J35">
        <v>5</v>
      </c>
      <c r="K35">
        <v>67000</v>
      </c>
      <c r="L35">
        <v>0</v>
      </c>
      <c r="M35">
        <v>335000</v>
      </c>
      <c r="N35">
        <v>222612.62</v>
      </c>
      <c r="O35">
        <v>112387.38</v>
      </c>
    </row>
    <row r="36" spans="1:15" x14ac:dyDescent="0.25">
      <c r="A36" t="s">
        <v>286</v>
      </c>
      <c r="B36" s="5">
        <v>45937</v>
      </c>
      <c r="C36" t="s">
        <v>282</v>
      </c>
      <c r="D36" t="s">
        <v>283</v>
      </c>
      <c r="E36" t="s">
        <v>28</v>
      </c>
      <c r="F36" t="s">
        <v>25</v>
      </c>
      <c r="G36" t="s">
        <v>53</v>
      </c>
      <c r="H36" t="s">
        <v>30</v>
      </c>
      <c r="I36" t="s">
        <v>22</v>
      </c>
      <c r="J36">
        <v>3</v>
      </c>
      <c r="K36">
        <v>634000</v>
      </c>
      <c r="L36">
        <v>0</v>
      </c>
      <c r="M36">
        <v>1902000</v>
      </c>
      <c r="N36">
        <v>1400049.88</v>
      </c>
      <c r="O36">
        <v>501950.12</v>
      </c>
    </row>
    <row r="37" spans="1:15" x14ac:dyDescent="0.25">
      <c r="A37" t="s">
        <v>79</v>
      </c>
      <c r="B37" s="5">
        <v>45698</v>
      </c>
      <c r="C37" t="s">
        <v>65</v>
      </c>
      <c r="D37" t="s">
        <v>17</v>
      </c>
      <c r="E37" t="s">
        <v>18</v>
      </c>
      <c r="F37" t="s">
        <v>58</v>
      </c>
      <c r="G37" t="s">
        <v>53</v>
      </c>
      <c r="H37" t="s">
        <v>30</v>
      </c>
      <c r="I37" t="s">
        <v>31</v>
      </c>
      <c r="J37">
        <v>2</v>
      </c>
      <c r="K37">
        <v>397000</v>
      </c>
      <c r="L37">
        <v>0.02</v>
      </c>
      <c r="M37">
        <v>778120</v>
      </c>
      <c r="N37">
        <v>494531.78</v>
      </c>
      <c r="O37">
        <v>283588.21999999997</v>
      </c>
    </row>
    <row r="38" spans="1:15" x14ac:dyDescent="0.25">
      <c r="A38" t="s">
        <v>284</v>
      </c>
      <c r="B38" s="5">
        <v>45935</v>
      </c>
      <c r="C38" t="s">
        <v>282</v>
      </c>
      <c r="D38" t="s">
        <v>283</v>
      </c>
      <c r="E38" t="s">
        <v>49</v>
      </c>
      <c r="F38" t="s">
        <v>25</v>
      </c>
      <c r="G38" t="s">
        <v>60</v>
      </c>
      <c r="H38" t="s">
        <v>30</v>
      </c>
      <c r="I38" t="s">
        <v>31</v>
      </c>
      <c r="J38">
        <v>8</v>
      </c>
      <c r="K38">
        <v>192000</v>
      </c>
      <c r="L38">
        <v>0</v>
      </c>
      <c r="M38">
        <v>1536000</v>
      </c>
      <c r="N38">
        <v>1070749.26</v>
      </c>
      <c r="O38">
        <v>465250.74</v>
      </c>
    </row>
    <row r="39" spans="1:15" x14ac:dyDescent="0.25">
      <c r="A39" t="s">
        <v>81</v>
      </c>
      <c r="B39" s="5">
        <v>45699</v>
      </c>
      <c r="C39" t="s">
        <v>65</v>
      </c>
      <c r="D39" t="s">
        <v>17</v>
      </c>
      <c r="E39" t="s">
        <v>49</v>
      </c>
      <c r="F39" t="s">
        <v>68</v>
      </c>
      <c r="G39" t="s">
        <v>20</v>
      </c>
      <c r="H39" t="s">
        <v>30</v>
      </c>
      <c r="I39" t="s">
        <v>22</v>
      </c>
      <c r="J39">
        <v>2</v>
      </c>
      <c r="K39">
        <v>506000</v>
      </c>
      <c r="L39">
        <v>0.02</v>
      </c>
      <c r="M39">
        <v>991760</v>
      </c>
      <c r="N39">
        <v>748945.66</v>
      </c>
      <c r="O39">
        <v>242814.34</v>
      </c>
    </row>
    <row r="40" spans="1:15" x14ac:dyDescent="0.25">
      <c r="A40" t="s">
        <v>82</v>
      </c>
      <c r="B40" s="5">
        <v>45700</v>
      </c>
      <c r="C40" t="s">
        <v>65</v>
      </c>
      <c r="D40" t="s">
        <v>17</v>
      </c>
      <c r="E40" t="s">
        <v>24</v>
      </c>
      <c r="F40" t="s">
        <v>36</v>
      </c>
      <c r="G40" t="s">
        <v>20</v>
      </c>
      <c r="H40" t="s">
        <v>30</v>
      </c>
      <c r="I40" t="s">
        <v>41</v>
      </c>
      <c r="J40">
        <v>3</v>
      </c>
      <c r="K40">
        <v>509000</v>
      </c>
      <c r="L40">
        <v>0</v>
      </c>
      <c r="M40">
        <v>1527000</v>
      </c>
      <c r="N40">
        <v>1092322.8</v>
      </c>
      <c r="O40">
        <v>434677.2</v>
      </c>
    </row>
    <row r="41" spans="1:15" x14ac:dyDescent="0.25">
      <c r="A41" t="s">
        <v>281</v>
      </c>
      <c r="B41" s="5">
        <v>45934</v>
      </c>
      <c r="C41" t="s">
        <v>282</v>
      </c>
      <c r="D41" t="s">
        <v>283</v>
      </c>
      <c r="E41" t="s">
        <v>18</v>
      </c>
      <c r="F41" t="s">
        <v>19</v>
      </c>
      <c r="G41" t="s">
        <v>37</v>
      </c>
      <c r="H41" t="s">
        <v>30</v>
      </c>
      <c r="I41" t="s">
        <v>22</v>
      </c>
      <c r="J41">
        <v>2</v>
      </c>
      <c r="K41">
        <v>22000</v>
      </c>
      <c r="L41">
        <v>0.02</v>
      </c>
      <c r="M41">
        <v>43120</v>
      </c>
      <c r="N41">
        <v>28780.44</v>
      </c>
      <c r="O41">
        <v>14339.56</v>
      </c>
    </row>
    <row r="42" spans="1:15" x14ac:dyDescent="0.25">
      <c r="A42" t="s">
        <v>279</v>
      </c>
      <c r="B42" s="5">
        <v>45926</v>
      </c>
      <c r="C42" t="s">
        <v>256</v>
      </c>
      <c r="D42" t="s">
        <v>201</v>
      </c>
      <c r="E42" t="s">
        <v>49</v>
      </c>
      <c r="F42" t="s">
        <v>55</v>
      </c>
      <c r="G42" t="s">
        <v>40</v>
      </c>
      <c r="H42" t="s">
        <v>30</v>
      </c>
      <c r="I42" t="s">
        <v>41</v>
      </c>
      <c r="J42">
        <v>2</v>
      </c>
      <c r="K42">
        <v>31000</v>
      </c>
      <c r="L42">
        <v>0</v>
      </c>
      <c r="M42">
        <v>62000</v>
      </c>
      <c r="N42">
        <v>46092.73</v>
      </c>
      <c r="O42">
        <v>15907.27</v>
      </c>
    </row>
    <row r="43" spans="1:15" x14ac:dyDescent="0.25">
      <c r="A43" t="s">
        <v>275</v>
      </c>
      <c r="B43" s="5">
        <v>45923</v>
      </c>
      <c r="C43" t="s">
        <v>256</v>
      </c>
      <c r="D43" t="s">
        <v>201</v>
      </c>
      <c r="E43" t="s">
        <v>18</v>
      </c>
      <c r="F43" t="s">
        <v>36</v>
      </c>
      <c r="G43" t="s">
        <v>37</v>
      </c>
      <c r="H43" t="s">
        <v>30</v>
      </c>
      <c r="I43" t="s">
        <v>31</v>
      </c>
      <c r="J43">
        <v>2</v>
      </c>
      <c r="K43">
        <v>10000</v>
      </c>
      <c r="L43">
        <v>0</v>
      </c>
      <c r="M43">
        <v>20000</v>
      </c>
      <c r="N43">
        <v>15412.98</v>
      </c>
      <c r="O43">
        <v>4587.0200000000004</v>
      </c>
    </row>
    <row r="44" spans="1:15" x14ac:dyDescent="0.25">
      <c r="A44" t="s">
        <v>274</v>
      </c>
      <c r="B44" s="5">
        <v>45923</v>
      </c>
      <c r="C44" t="s">
        <v>256</v>
      </c>
      <c r="D44" t="s">
        <v>201</v>
      </c>
      <c r="E44" t="s">
        <v>24</v>
      </c>
      <c r="F44" t="s">
        <v>29</v>
      </c>
      <c r="G44" t="s">
        <v>20</v>
      </c>
      <c r="H44" t="s">
        <v>30</v>
      </c>
      <c r="I44" t="s">
        <v>31</v>
      </c>
      <c r="J44">
        <v>2</v>
      </c>
      <c r="K44">
        <v>511000</v>
      </c>
      <c r="L44">
        <v>0.1</v>
      </c>
      <c r="M44">
        <v>919800</v>
      </c>
      <c r="N44">
        <v>675692.7</v>
      </c>
      <c r="O44">
        <v>244107.3</v>
      </c>
    </row>
    <row r="45" spans="1:15" x14ac:dyDescent="0.25">
      <c r="A45" t="s">
        <v>267</v>
      </c>
      <c r="B45" s="5">
        <v>45916</v>
      </c>
      <c r="C45" t="s">
        <v>256</v>
      </c>
      <c r="D45" t="s">
        <v>201</v>
      </c>
      <c r="E45" t="s">
        <v>18</v>
      </c>
      <c r="F45" t="s">
        <v>19</v>
      </c>
      <c r="G45" t="s">
        <v>51</v>
      </c>
      <c r="H45" t="s">
        <v>30</v>
      </c>
      <c r="I45" t="s">
        <v>34</v>
      </c>
      <c r="J45">
        <v>3</v>
      </c>
      <c r="K45">
        <v>33000</v>
      </c>
      <c r="L45">
        <v>0</v>
      </c>
      <c r="M45">
        <v>99000</v>
      </c>
      <c r="N45">
        <v>68360.86</v>
      </c>
      <c r="O45">
        <v>30639.14</v>
      </c>
    </row>
    <row r="46" spans="1:15" x14ac:dyDescent="0.25">
      <c r="A46" t="s">
        <v>88</v>
      </c>
      <c r="B46" s="5">
        <v>45706</v>
      </c>
      <c r="C46" t="s">
        <v>65</v>
      </c>
      <c r="D46" t="s">
        <v>17</v>
      </c>
      <c r="E46" t="s">
        <v>18</v>
      </c>
      <c r="F46" t="s">
        <v>29</v>
      </c>
      <c r="G46" t="s">
        <v>53</v>
      </c>
      <c r="H46" t="s">
        <v>30</v>
      </c>
      <c r="I46" t="s">
        <v>31</v>
      </c>
      <c r="J46">
        <v>3</v>
      </c>
      <c r="K46">
        <v>408000</v>
      </c>
      <c r="L46">
        <v>0</v>
      </c>
      <c r="M46">
        <v>1224000</v>
      </c>
      <c r="N46">
        <v>788991.21</v>
      </c>
      <c r="O46">
        <v>435008.79</v>
      </c>
    </row>
    <row r="47" spans="1:15" x14ac:dyDescent="0.25">
      <c r="A47" t="s">
        <v>265</v>
      </c>
      <c r="B47" s="5">
        <v>45914</v>
      </c>
      <c r="C47" t="s">
        <v>256</v>
      </c>
      <c r="D47" t="s">
        <v>201</v>
      </c>
      <c r="E47" t="s">
        <v>49</v>
      </c>
      <c r="F47" t="s">
        <v>19</v>
      </c>
      <c r="G47" t="s">
        <v>20</v>
      </c>
      <c r="H47" t="s">
        <v>30</v>
      </c>
      <c r="I47" t="s">
        <v>31</v>
      </c>
      <c r="J47">
        <v>3</v>
      </c>
      <c r="K47">
        <v>517000</v>
      </c>
      <c r="L47">
        <v>0</v>
      </c>
      <c r="M47">
        <v>1551000</v>
      </c>
      <c r="N47">
        <v>1218739.6200000001</v>
      </c>
      <c r="O47">
        <v>332260.38</v>
      </c>
    </row>
    <row r="48" spans="1:15" x14ac:dyDescent="0.25">
      <c r="A48" t="s">
        <v>257</v>
      </c>
      <c r="B48" s="5">
        <v>45904</v>
      </c>
      <c r="C48" t="s">
        <v>256</v>
      </c>
      <c r="D48" t="s">
        <v>201</v>
      </c>
      <c r="E48" t="s">
        <v>18</v>
      </c>
      <c r="F48" t="s">
        <v>68</v>
      </c>
      <c r="G48" t="s">
        <v>20</v>
      </c>
      <c r="H48" t="s">
        <v>30</v>
      </c>
      <c r="I48" t="s">
        <v>31</v>
      </c>
      <c r="J48">
        <v>4</v>
      </c>
      <c r="K48">
        <v>512000</v>
      </c>
      <c r="L48">
        <v>0.02</v>
      </c>
      <c r="M48">
        <v>2007040</v>
      </c>
      <c r="N48">
        <v>1255241.3500000001</v>
      </c>
      <c r="O48">
        <v>751798.65</v>
      </c>
    </row>
    <row r="49" spans="1:15" x14ac:dyDescent="0.25">
      <c r="A49" t="s">
        <v>254</v>
      </c>
      <c r="B49" s="5">
        <v>45899</v>
      </c>
      <c r="C49" t="s">
        <v>229</v>
      </c>
      <c r="D49" t="s">
        <v>201</v>
      </c>
      <c r="E49" t="s">
        <v>18</v>
      </c>
      <c r="F49" t="s">
        <v>29</v>
      </c>
      <c r="G49" t="s">
        <v>51</v>
      </c>
      <c r="H49" t="s">
        <v>30</v>
      </c>
      <c r="I49" t="s">
        <v>34</v>
      </c>
      <c r="J49">
        <v>4</v>
      </c>
      <c r="K49">
        <v>42000</v>
      </c>
      <c r="L49">
        <v>0</v>
      </c>
      <c r="M49">
        <v>168000</v>
      </c>
      <c r="N49">
        <v>125121.67</v>
      </c>
      <c r="O49">
        <v>42878.33</v>
      </c>
    </row>
    <row r="50" spans="1:15" x14ac:dyDescent="0.25">
      <c r="A50" t="s">
        <v>92</v>
      </c>
      <c r="B50" s="5">
        <v>45715</v>
      </c>
      <c r="C50" t="s">
        <v>65</v>
      </c>
      <c r="D50" t="s">
        <v>17</v>
      </c>
      <c r="E50" t="s">
        <v>28</v>
      </c>
      <c r="F50" t="s">
        <v>68</v>
      </c>
      <c r="G50" t="s">
        <v>51</v>
      </c>
      <c r="H50" t="s">
        <v>30</v>
      </c>
      <c r="I50" t="s">
        <v>22</v>
      </c>
      <c r="J50">
        <v>4</v>
      </c>
      <c r="K50">
        <v>72000</v>
      </c>
      <c r="L50">
        <v>0</v>
      </c>
      <c r="M50">
        <v>288000</v>
      </c>
      <c r="N50">
        <v>196528.43</v>
      </c>
      <c r="O50">
        <v>91471.57</v>
      </c>
    </row>
    <row r="51" spans="1:15" x14ac:dyDescent="0.25">
      <c r="A51" t="s">
        <v>93</v>
      </c>
      <c r="B51" s="5">
        <v>45717</v>
      </c>
      <c r="C51" t="s">
        <v>94</v>
      </c>
      <c r="D51" t="s">
        <v>17</v>
      </c>
      <c r="E51" t="s">
        <v>18</v>
      </c>
      <c r="F51" t="s">
        <v>25</v>
      </c>
      <c r="G51" t="s">
        <v>20</v>
      </c>
      <c r="H51" t="s">
        <v>30</v>
      </c>
      <c r="I51" t="s">
        <v>34</v>
      </c>
      <c r="J51">
        <v>3</v>
      </c>
      <c r="K51">
        <v>571000</v>
      </c>
      <c r="L51">
        <v>0</v>
      </c>
      <c r="M51">
        <v>1713000</v>
      </c>
      <c r="N51">
        <v>1345687.92</v>
      </c>
      <c r="O51">
        <v>367312.08</v>
      </c>
    </row>
    <row r="52" spans="1:15" x14ac:dyDescent="0.25">
      <c r="A52" t="s">
        <v>252</v>
      </c>
      <c r="B52" s="5">
        <v>45898</v>
      </c>
      <c r="C52" t="s">
        <v>229</v>
      </c>
      <c r="D52" t="s">
        <v>201</v>
      </c>
      <c r="E52" t="s">
        <v>18</v>
      </c>
      <c r="F52" t="s">
        <v>19</v>
      </c>
      <c r="G52" t="s">
        <v>37</v>
      </c>
      <c r="H52" t="s">
        <v>30</v>
      </c>
      <c r="I52" t="s">
        <v>31</v>
      </c>
      <c r="J52">
        <v>2</v>
      </c>
      <c r="K52">
        <v>10000</v>
      </c>
      <c r="L52">
        <v>0</v>
      </c>
      <c r="M52">
        <v>20000</v>
      </c>
      <c r="N52">
        <v>15983.05</v>
      </c>
      <c r="O52">
        <v>4016.95</v>
      </c>
    </row>
    <row r="53" spans="1:15" x14ac:dyDescent="0.25">
      <c r="A53" t="s">
        <v>96</v>
      </c>
      <c r="B53" s="5">
        <v>45719</v>
      </c>
      <c r="C53" t="s">
        <v>94</v>
      </c>
      <c r="D53" t="s">
        <v>17</v>
      </c>
      <c r="E53" t="s">
        <v>18</v>
      </c>
      <c r="F53" t="s">
        <v>58</v>
      </c>
      <c r="G53" t="s">
        <v>51</v>
      </c>
      <c r="H53" t="s">
        <v>30</v>
      </c>
      <c r="I53" t="s">
        <v>34</v>
      </c>
      <c r="J53">
        <v>2</v>
      </c>
      <c r="K53">
        <v>66000</v>
      </c>
      <c r="L53">
        <v>0</v>
      </c>
      <c r="M53">
        <v>132000</v>
      </c>
      <c r="N53">
        <v>91629.6</v>
      </c>
      <c r="O53">
        <v>40370.400000000001</v>
      </c>
    </row>
    <row r="54" spans="1:15" x14ac:dyDescent="0.25">
      <c r="A54" t="s">
        <v>251</v>
      </c>
      <c r="B54" s="5">
        <v>45894</v>
      </c>
      <c r="C54" t="s">
        <v>229</v>
      </c>
      <c r="D54" t="s">
        <v>201</v>
      </c>
      <c r="E54" t="s">
        <v>18</v>
      </c>
      <c r="F54" t="s">
        <v>19</v>
      </c>
      <c r="G54" t="s">
        <v>53</v>
      </c>
      <c r="H54" t="s">
        <v>30</v>
      </c>
      <c r="I54" t="s">
        <v>41</v>
      </c>
      <c r="J54">
        <v>2</v>
      </c>
      <c r="K54">
        <v>253000</v>
      </c>
      <c r="L54">
        <v>0</v>
      </c>
      <c r="M54">
        <v>506000</v>
      </c>
      <c r="N54">
        <v>386037.11</v>
      </c>
      <c r="O54">
        <v>119962.89</v>
      </c>
    </row>
    <row r="55" spans="1:15" x14ac:dyDescent="0.25">
      <c r="A55" t="s">
        <v>249</v>
      </c>
      <c r="B55" s="5">
        <v>45892</v>
      </c>
      <c r="C55" t="s">
        <v>229</v>
      </c>
      <c r="D55" t="s">
        <v>201</v>
      </c>
      <c r="E55" t="s">
        <v>49</v>
      </c>
      <c r="F55" t="s">
        <v>55</v>
      </c>
      <c r="G55" t="s">
        <v>53</v>
      </c>
      <c r="H55" t="s">
        <v>30</v>
      </c>
      <c r="I55" t="s">
        <v>31</v>
      </c>
      <c r="J55">
        <v>3</v>
      </c>
      <c r="K55">
        <v>434000</v>
      </c>
      <c r="L55">
        <v>0</v>
      </c>
      <c r="M55">
        <v>1302000</v>
      </c>
      <c r="N55">
        <v>843528.32</v>
      </c>
      <c r="O55">
        <v>458471.67999999999</v>
      </c>
    </row>
    <row r="56" spans="1:15" x14ac:dyDescent="0.25">
      <c r="A56" t="s">
        <v>245</v>
      </c>
      <c r="B56" s="5">
        <v>45885</v>
      </c>
      <c r="C56" t="s">
        <v>229</v>
      </c>
      <c r="D56" t="s">
        <v>201</v>
      </c>
      <c r="E56" t="s">
        <v>18</v>
      </c>
      <c r="F56" t="s">
        <v>29</v>
      </c>
      <c r="G56" t="s">
        <v>26</v>
      </c>
      <c r="H56" t="s">
        <v>30</v>
      </c>
      <c r="I56" t="s">
        <v>22</v>
      </c>
      <c r="J56">
        <v>4</v>
      </c>
      <c r="K56">
        <v>107000</v>
      </c>
      <c r="L56">
        <v>0</v>
      </c>
      <c r="M56">
        <v>428000</v>
      </c>
      <c r="N56">
        <v>291249.5</v>
      </c>
      <c r="O56">
        <v>136750.5</v>
      </c>
    </row>
    <row r="57" spans="1:15" x14ac:dyDescent="0.25">
      <c r="A57" t="s">
        <v>100</v>
      </c>
      <c r="B57" s="5">
        <v>45725</v>
      </c>
      <c r="C57" t="s">
        <v>94</v>
      </c>
      <c r="D57" t="s">
        <v>17</v>
      </c>
      <c r="E57" t="s">
        <v>24</v>
      </c>
      <c r="F57" t="s">
        <v>55</v>
      </c>
      <c r="G57" t="s">
        <v>51</v>
      </c>
      <c r="H57" t="s">
        <v>30</v>
      </c>
      <c r="I57" t="s">
        <v>34</v>
      </c>
      <c r="J57">
        <v>2</v>
      </c>
      <c r="K57">
        <v>22000</v>
      </c>
      <c r="L57">
        <v>0.02</v>
      </c>
      <c r="M57">
        <v>43120</v>
      </c>
      <c r="N57">
        <v>31898.52</v>
      </c>
      <c r="O57">
        <v>11221.48</v>
      </c>
    </row>
    <row r="58" spans="1:15" x14ac:dyDescent="0.25">
      <c r="A58" t="s">
        <v>243</v>
      </c>
      <c r="B58" s="5">
        <v>45880</v>
      </c>
      <c r="C58" t="s">
        <v>229</v>
      </c>
      <c r="D58" t="s">
        <v>201</v>
      </c>
      <c r="E58" t="s">
        <v>18</v>
      </c>
      <c r="F58" t="s">
        <v>58</v>
      </c>
      <c r="G58" t="s">
        <v>60</v>
      </c>
      <c r="H58" t="s">
        <v>30</v>
      </c>
      <c r="I58" t="s">
        <v>41</v>
      </c>
      <c r="J58">
        <v>8</v>
      </c>
      <c r="K58">
        <v>101000</v>
      </c>
      <c r="L58">
        <v>0.02</v>
      </c>
      <c r="M58">
        <v>791840</v>
      </c>
      <c r="N58">
        <v>628391.28</v>
      </c>
      <c r="O58">
        <v>163448.72</v>
      </c>
    </row>
    <row r="59" spans="1:15" x14ac:dyDescent="0.25">
      <c r="A59" t="s">
        <v>239</v>
      </c>
      <c r="B59" s="5">
        <v>45876</v>
      </c>
      <c r="C59" t="s">
        <v>229</v>
      </c>
      <c r="D59" t="s">
        <v>201</v>
      </c>
      <c r="E59" t="s">
        <v>49</v>
      </c>
      <c r="F59" t="s">
        <v>58</v>
      </c>
      <c r="G59" t="s">
        <v>45</v>
      </c>
      <c r="H59" t="s">
        <v>30</v>
      </c>
      <c r="I59" t="s">
        <v>22</v>
      </c>
      <c r="J59">
        <v>3</v>
      </c>
      <c r="K59">
        <v>237000</v>
      </c>
      <c r="L59">
        <v>0.02</v>
      </c>
      <c r="M59">
        <v>696780</v>
      </c>
      <c r="N59">
        <v>552626.97</v>
      </c>
      <c r="O59">
        <v>144153.03</v>
      </c>
    </row>
    <row r="60" spans="1:15" x14ac:dyDescent="0.25">
      <c r="A60" t="s">
        <v>103</v>
      </c>
      <c r="B60" s="5">
        <v>45730</v>
      </c>
      <c r="C60" t="s">
        <v>94</v>
      </c>
      <c r="D60" t="s">
        <v>17</v>
      </c>
      <c r="E60" t="s">
        <v>18</v>
      </c>
      <c r="F60" t="s">
        <v>68</v>
      </c>
      <c r="G60" t="s">
        <v>26</v>
      </c>
      <c r="H60" t="s">
        <v>30</v>
      </c>
      <c r="I60" t="s">
        <v>22</v>
      </c>
      <c r="J60">
        <v>6</v>
      </c>
      <c r="K60">
        <v>157000</v>
      </c>
      <c r="L60">
        <v>0</v>
      </c>
      <c r="M60">
        <v>942000</v>
      </c>
      <c r="N60">
        <v>646230.75</v>
      </c>
      <c r="O60">
        <v>295769.25</v>
      </c>
    </row>
    <row r="61" spans="1:15" x14ac:dyDescent="0.25">
      <c r="A61" t="s">
        <v>104</v>
      </c>
      <c r="B61" s="5">
        <v>45730</v>
      </c>
      <c r="C61" t="s">
        <v>94</v>
      </c>
      <c r="D61" t="s">
        <v>17</v>
      </c>
      <c r="E61" t="s">
        <v>18</v>
      </c>
      <c r="F61" t="s">
        <v>55</v>
      </c>
      <c r="G61" t="s">
        <v>20</v>
      </c>
      <c r="H61" t="s">
        <v>30</v>
      </c>
      <c r="I61" t="s">
        <v>41</v>
      </c>
      <c r="J61">
        <v>5</v>
      </c>
      <c r="K61">
        <v>604000</v>
      </c>
      <c r="L61">
        <v>0</v>
      </c>
      <c r="M61">
        <v>3020000</v>
      </c>
      <c r="N61">
        <v>1919279.25</v>
      </c>
      <c r="O61">
        <v>1100720.75</v>
      </c>
    </row>
    <row r="62" spans="1:15" x14ac:dyDescent="0.25">
      <c r="A62" t="s">
        <v>238</v>
      </c>
      <c r="B62" s="5">
        <v>45875</v>
      </c>
      <c r="C62" t="s">
        <v>229</v>
      </c>
      <c r="D62" t="s">
        <v>201</v>
      </c>
      <c r="E62" t="s">
        <v>18</v>
      </c>
      <c r="F62" t="s">
        <v>36</v>
      </c>
      <c r="G62" t="s">
        <v>26</v>
      </c>
      <c r="H62" t="s">
        <v>30</v>
      </c>
      <c r="I62" t="s">
        <v>31</v>
      </c>
      <c r="J62">
        <v>1</v>
      </c>
      <c r="K62">
        <v>254000</v>
      </c>
      <c r="L62">
        <v>0.02</v>
      </c>
      <c r="M62">
        <v>248920</v>
      </c>
      <c r="N62">
        <v>196055.13</v>
      </c>
      <c r="O62">
        <v>52864.87</v>
      </c>
    </row>
    <row r="63" spans="1:15" x14ac:dyDescent="0.25">
      <c r="A63" t="s">
        <v>237</v>
      </c>
      <c r="B63" s="5">
        <v>45875</v>
      </c>
      <c r="C63" t="s">
        <v>229</v>
      </c>
      <c r="D63" t="s">
        <v>201</v>
      </c>
      <c r="E63" t="s">
        <v>28</v>
      </c>
      <c r="F63" t="s">
        <v>19</v>
      </c>
      <c r="G63" t="s">
        <v>20</v>
      </c>
      <c r="H63" t="s">
        <v>30</v>
      </c>
      <c r="I63" t="s">
        <v>22</v>
      </c>
      <c r="J63">
        <v>3</v>
      </c>
      <c r="K63">
        <v>588000</v>
      </c>
      <c r="L63">
        <v>0.02</v>
      </c>
      <c r="M63">
        <v>1728720</v>
      </c>
      <c r="N63">
        <v>1255373.8500000001</v>
      </c>
      <c r="O63">
        <v>473346.15</v>
      </c>
    </row>
    <row r="64" spans="1:15" x14ac:dyDescent="0.25">
      <c r="A64" t="s">
        <v>107</v>
      </c>
      <c r="B64" s="5">
        <v>45733</v>
      </c>
      <c r="C64" t="s">
        <v>94</v>
      </c>
      <c r="D64" t="s">
        <v>17</v>
      </c>
      <c r="E64" t="s">
        <v>49</v>
      </c>
      <c r="F64" t="s">
        <v>68</v>
      </c>
      <c r="G64" t="s">
        <v>51</v>
      </c>
      <c r="H64" t="s">
        <v>30</v>
      </c>
      <c r="I64" t="s">
        <v>34</v>
      </c>
      <c r="J64">
        <v>3</v>
      </c>
      <c r="K64">
        <v>50000</v>
      </c>
      <c r="L64">
        <v>0</v>
      </c>
      <c r="M64">
        <v>150000</v>
      </c>
      <c r="N64">
        <v>102508.4</v>
      </c>
      <c r="O64">
        <v>47491.6</v>
      </c>
    </row>
    <row r="65" spans="1:15" x14ac:dyDescent="0.25">
      <c r="A65" t="s">
        <v>108</v>
      </c>
      <c r="B65" s="5">
        <v>45733</v>
      </c>
      <c r="C65" t="s">
        <v>94</v>
      </c>
      <c r="D65" t="s">
        <v>17</v>
      </c>
      <c r="E65" t="s">
        <v>18</v>
      </c>
      <c r="F65" t="s">
        <v>29</v>
      </c>
      <c r="G65" t="s">
        <v>51</v>
      </c>
      <c r="H65" t="s">
        <v>30</v>
      </c>
      <c r="I65" t="s">
        <v>34</v>
      </c>
      <c r="J65">
        <v>1</v>
      </c>
      <c r="K65">
        <v>73000</v>
      </c>
      <c r="L65">
        <v>0.02</v>
      </c>
      <c r="M65">
        <v>71540</v>
      </c>
      <c r="N65">
        <v>57780.58</v>
      </c>
      <c r="O65">
        <v>13759.42</v>
      </c>
    </row>
    <row r="66" spans="1:15" x14ac:dyDescent="0.25">
      <c r="A66" t="s">
        <v>109</v>
      </c>
      <c r="B66" s="5">
        <v>45735</v>
      </c>
      <c r="C66" t="s">
        <v>94</v>
      </c>
      <c r="D66" t="s">
        <v>17</v>
      </c>
      <c r="E66" t="s">
        <v>24</v>
      </c>
      <c r="F66" t="s">
        <v>68</v>
      </c>
      <c r="G66" t="s">
        <v>26</v>
      </c>
      <c r="H66" t="s">
        <v>30</v>
      </c>
      <c r="I66" t="s">
        <v>41</v>
      </c>
      <c r="J66">
        <v>5</v>
      </c>
      <c r="K66">
        <v>210000</v>
      </c>
      <c r="L66">
        <v>0</v>
      </c>
      <c r="M66">
        <v>1050000</v>
      </c>
      <c r="N66">
        <v>737080.03</v>
      </c>
      <c r="O66">
        <v>312919.96999999997</v>
      </c>
    </row>
    <row r="67" spans="1:15" x14ac:dyDescent="0.25">
      <c r="A67" t="s">
        <v>110</v>
      </c>
      <c r="B67" s="5">
        <v>45738</v>
      </c>
      <c r="C67" t="s">
        <v>94</v>
      </c>
      <c r="D67" t="s">
        <v>17</v>
      </c>
      <c r="E67" t="s">
        <v>18</v>
      </c>
      <c r="F67" t="s">
        <v>55</v>
      </c>
      <c r="G67" t="s">
        <v>53</v>
      </c>
      <c r="H67" t="s">
        <v>30</v>
      </c>
      <c r="I67" t="s">
        <v>34</v>
      </c>
      <c r="J67">
        <v>4</v>
      </c>
      <c r="K67">
        <v>296000</v>
      </c>
      <c r="L67">
        <v>0.02</v>
      </c>
      <c r="M67">
        <v>1160320</v>
      </c>
      <c r="N67">
        <v>753764.05</v>
      </c>
      <c r="O67">
        <v>406555.95</v>
      </c>
    </row>
    <row r="68" spans="1:15" x14ac:dyDescent="0.25">
      <c r="A68" t="s">
        <v>111</v>
      </c>
      <c r="B68" s="5">
        <v>45739</v>
      </c>
      <c r="C68" t="s">
        <v>94</v>
      </c>
      <c r="D68" t="s">
        <v>17</v>
      </c>
      <c r="E68" t="s">
        <v>28</v>
      </c>
      <c r="F68" t="s">
        <v>68</v>
      </c>
      <c r="G68" t="s">
        <v>37</v>
      </c>
      <c r="H68" t="s">
        <v>30</v>
      </c>
      <c r="I68" t="s">
        <v>22</v>
      </c>
      <c r="J68">
        <v>1</v>
      </c>
      <c r="K68">
        <v>26000</v>
      </c>
      <c r="L68">
        <v>0.05</v>
      </c>
      <c r="M68">
        <v>24700</v>
      </c>
      <c r="N68">
        <v>18490.05</v>
      </c>
      <c r="O68">
        <v>6209.95</v>
      </c>
    </row>
    <row r="69" spans="1:15" x14ac:dyDescent="0.25">
      <c r="A69" t="s">
        <v>235</v>
      </c>
      <c r="B69" s="5">
        <v>45875</v>
      </c>
      <c r="C69" t="s">
        <v>229</v>
      </c>
      <c r="D69" t="s">
        <v>201</v>
      </c>
      <c r="E69" t="s">
        <v>18</v>
      </c>
      <c r="F69" t="s">
        <v>36</v>
      </c>
      <c r="G69" t="s">
        <v>51</v>
      </c>
      <c r="H69" t="s">
        <v>30</v>
      </c>
      <c r="I69" t="s">
        <v>31</v>
      </c>
      <c r="J69">
        <v>1</v>
      </c>
      <c r="K69">
        <v>44000</v>
      </c>
      <c r="L69">
        <v>0.02</v>
      </c>
      <c r="M69">
        <v>43120</v>
      </c>
      <c r="N69">
        <v>33295.410000000003</v>
      </c>
      <c r="O69">
        <v>9824.59</v>
      </c>
    </row>
    <row r="70" spans="1:15" x14ac:dyDescent="0.25">
      <c r="A70" t="s">
        <v>234</v>
      </c>
      <c r="B70" s="5">
        <v>45874</v>
      </c>
      <c r="C70" t="s">
        <v>229</v>
      </c>
      <c r="D70" t="s">
        <v>201</v>
      </c>
      <c r="E70" t="s">
        <v>24</v>
      </c>
      <c r="F70" t="s">
        <v>29</v>
      </c>
      <c r="G70" t="s">
        <v>53</v>
      </c>
      <c r="H70" t="s">
        <v>30</v>
      </c>
      <c r="I70" t="s">
        <v>31</v>
      </c>
      <c r="J70">
        <v>4</v>
      </c>
      <c r="K70">
        <v>413000</v>
      </c>
      <c r="L70">
        <v>0</v>
      </c>
      <c r="M70">
        <v>1652000</v>
      </c>
      <c r="N70">
        <v>1333708.55</v>
      </c>
      <c r="O70">
        <v>318291.45</v>
      </c>
    </row>
    <row r="71" spans="1:15" x14ac:dyDescent="0.25">
      <c r="A71" t="s">
        <v>232</v>
      </c>
      <c r="B71" s="5">
        <v>45872</v>
      </c>
      <c r="C71" t="s">
        <v>229</v>
      </c>
      <c r="D71" t="s">
        <v>201</v>
      </c>
      <c r="E71" t="s">
        <v>24</v>
      </c>
      <c r="F71" t="s">
        <v>29</v>
      </c>
      <c r="G71" t="s">
        <v>60</v>
      </c>
      <c r="H71" t="s">
        <v>30</v>
      </c>
      <c r="I71" t="s">
        <v>31</v>
      </c>
      <c r="J71">
        <v>1</v>
      </c>
      <c r="K71">
        <v>344000</v>
      </c>
      <c r="L71">
        <v>0.05</v>
      </c>
      <c r="M71">
        <v>326800</v>
      </c>
      <c r="N71">
        <v>234474.5</v>
      </c>
      <c r="O71">
        <v>92325.5</v>
      </c>
    </row>
    <row r="72" spans="1:15" x14ac:dyDescent="0.25">
      <c r="A72" t="s">
        <v>230</v>
      </c>
      <c r="B72" s="5">
        <v>45872</v>
      </c>
      <c r="C72" t="s">
        <v>229</v>
      </c>
      <c r="D72" t="s">
        <v>201</v>
      </c>
      <c r="E72" t="s">
        <v>18</v>
      </c>
      <c r="F72" t="s">
        <v>43</v>
      </c>
      <c r="G72" t="s">
        <v>60</v>
      </c>
      <c r="H72" t="s">
        <v>30</v>
      </c>
      <c r="I72" t="s">
        <v>34</v>
      </c>
      <c r="J72">
        <v>1</v>
      </c>
      <c r="K72">
        <v>362000</v>
      </c>
      <c r="L72">
        <v>0.02</v>
      </c>
      <c r="M72">
        <v>354760</v>
      </c>
      <c r="N72">
        <v>223579.36</v>
      </c>
      <c r="O72">
        <v>131180.64000000001</v>
      </c>
    </row>
    <row r="73" spans="1:15" x14ac:dyDescent="0.25">
      <c r="A73" t="s">
        <v>225</v>
      </c>
      <c r="B73" s="5">
        <v>45865</v>
      </c>
      <c r="C73" t="s">
        <v>200</v>
      </c>
      <c r="D73" t="s">
        <v>201</v>
      </c>
      <c r="E73" t="s">
        <v>24</v>
      </c>
      <c r="F73" t="s">
        <v>36</v>
      </c>
      <c r="G73" t="s">
        <v>45</v>
      </c>
      <c r="H73" t="s">
        <v>30</v>
      </c>
      <c r="I73" t="s">
        <v>22</v>
      </c>
      <c r="J73">
        <v>1</v>
      </c>
      <c r="K73">
        <v>178000</v>
      </c>
      <c r="L73">
        <v>0.1</v>
      </c>
      <c r="M73">
        <v>160200</v>
      </c>
      <c r="N73">
        <v>106396.69</v>
      </c>
      <c r="O73">
        <v>53803.31</v>
      </c>
    </row>
    <row r="74" spans="1:15" x14ac:dyDescent="0.25">
      <c r="A74" t="s">
        <v>224</v>
      </c>
      <c r="B74" s="5">
        <v>45864</v>
      </c>
      <c r="C74" t="s">
        <v>200</v>
      </c>
      <c r="D74" t="s">
        <v>201</v>
      </c>
      <c r="E74" t="s">
        <v>24</v>
      </c>
      <c r="F74" t="s">
        <v>36</v>
      </c>
      <c r="G74" t="s">
        <v>60</v>
      </c>
      <c r="H74" t="s">
        <v>30</v>
      </c>
      <c r="I74" t="s">
        <v>22</v>
      </c>
      <c r="J74">
        <v>5</v>
      </c>
      <c r="K74">
        <v>128000</v>
      </c>
      <c r="L74">
        <v>0.02</v>
      </c>
      <c r="M74">
        <v>627200</v>
      </c>
      <c r="N74">
        <v>449080.97</v>
      </c>
      <c r="O74">
        <v>178119.03</v>
      </c>
    </row>
    <row r="75" spans="1:15" x14ac:dyDescent="0.25">
      <c r="A75" t="s">
        <v>223</v>
      </c>
      <c r="B75" s="5">
        <v>45863</v>
      </c>
      <c r="C75" t="s">
        <v>200</v>
      </c>
      <c r="D75" t="s">
        <v>201</v>
      </c>
      <c r="E75" t="s">
        <v>47</v>
      </c>
      <c r="F75" t="s">
        <v>58</v>
      </c>
      <c r="G75" t="s">
        <v>60</v>
      </c>
      <c r="H75" t="s">
        <v>30</v>
      </c>
      <c r="I75" t="s">
        <v>31</v>
      </c>
      <c r="J75">
        <v>4</v>
      </c>
      <c r="K75">
        <v>364000</v>
      </c>
      <c r="L75">
        <v>0.05</v>
      </c>
      <c r="M75">
        <v>1383200</v>
      </c>
      <c r="N75">
        <v>1129188.79</v>
      </c>
      <c r="O75">
        <v>254011.21</v>
      </c>
    </row>
    <row r="76" spans="1:15" x14ac:dyDescent="0.25">
      <c r="A76" t="s">
        <v>222</v>
      </c>
      <c r="B76" s="5">
        <v>45861</v>
      </c>
      <c r="C76" t="s">
        <v>200</v>
      </c>
      <c r="D76" t="s">
        <v>201</v>
      </c>
      <c r="E76" t="s">
        <v>49</v>
      </c>
      <c r="F76" t="s">
        <v>29</v>
      </c>
      <c r="G76" t="s">
        <v>53</v>
      </c>
      <c r="H76" t="s">
        <v>30</v>
      </c>
      <c r="I76" t="s">
        <v>41</v>
      </c>
      <c r="J76">
        <v>2</v>
      </c>
      <c r="K76">
        <v>348000</v>
      </c>
      <c r="L76">
        <v>0.02</v>
      </c>
      <c r="M76">
        <v>682080</v>
      </c>
      <c r="N76">
        <v>471553.56</v>
      </c>
      <c r="O76">
        <v>210526.44</v>
      </c>
    </row>
    <row r="77" spans="1:15" x14ac:dyDescent="0.25">
      <c r="A77" t="s">
        <v>216</v>
      </c>
      <c r="B77" s="5">
        <v>45853</v>
      </c>
      <c r="C77" t="s">
        <v>200</v>
      </c>
      <c r="D77" t="s">
        <v>201</v>
      </c>
      <c r="E77" t="s">
        <v>49</v>
      </c>
      <c r="F77" t="s">
        <v>55</v>
      </c>
      <c r="G77" t="s">
        <v>60</v>
      </c>
      <c r="H77" t="s">
        <v>30</v>
      </c>
      <c r="I77" t="s">
        <v>34</v>
      </c>
      <c r="J77">
        <v>4</v>
      </c>
      <c r="K77">
        <v>340000</v>
      </c>
      <c r="L77">
        <v>0.05</v>
      </c>
      <c r="M77">
        <v>1292000</v>
      </c>
      <c r="N77">
        <v>838024.27</v>
      </c>
      <c r="O77">
        <v>453975.73</v>
      </c>
    </row>
    <row r="78" spans="1:15" x14ac:dyDescent="0.25">
      <c r="A78" t="s">
        <v>210</v>
      </c>
      <c r="B78" s="5">
        <v>45847</v>
      </c>
      <c r="C78" t="s">
        <v>200</v>
      </c>
      <c r="D78" t="s">
        <v>201</v>
      </c>
      <c r="E78" t="s">
        <v>18</v>
      </c>
      <c r="F78" t="s">
        <v>19</v>
      </c>
      <c r="G78" t="s">
        <v>60</v>
      </c>
      <c r="H78" t="s">
        <v>30</v>
      </c>
      <c r="I78" t="s">
        <v>22</v>
      </c>
      <c r="J78">
        <v>2</v>
      </c>
      <c r="K78">
        <v>332000</v>
      </c>
      <c r="L78">
        <v>0.02</v>
      </c>
      <c r="M78">
        <v>650720</v>
      </c>
      <c r="N78">
        <v>471229.85</v>
      </c>
      <c r="O78">
        <v>179490.15</v>
      </c>
    </row>
    <row r="79" spans="1:15" x14ac:dyDescent="0.25">
      <c r="A79" t="s">
        <v>122</v>
      </c>
      <c r="B79" s="5">
        <v>45747</v>
      </c>
      <c r="C79" t="s">
        <v>94</v>
      </c>
      <c r="D79" t="s">
        <v>17</v>
      </c>
      <c r="E79" t="s">
        <v>24</v>
      </c>
      <c r="F79" t="s">
        <v>36</v>
      </c>
      <c r="G79" t="s">
        <v>45</v>
      </c>
      <c r="H79" t="s">
        <v>30</v>
      </c>
      <c r="I79" t="s">
        <v>22</v>
      </c>
      <c r="J79">
        <v>3</v>
      </c>
      <c r="K79">
        <v>217000</v>
      </c>
      <c r="L79">
        <v>0</v>
      </c>
      <c r="M79">
        <v>651000</v>
      </c>
      <c r="N79">
        <v>418571.75</v>
      </c>
      <c r="O79">
        <v>232428.25</v>
      </c>
    </row>
    <row r="80" spans="1:15" x14ac:dyDescent="0.25">
      <c r="A80" t="s">
        <v>206</v>
      </c>
      <c r="B80" s="5">
        <v>45845</v>
      </c>
      <c r="C80" t="s">
        <v>200</v>
      </c>
      <c r="D80" t="s">
        <v>201</v>
      </c>
      <c r="E80" t="s">
        <v>24</v>
      </c>
      <c r="F80" t="s">
        <v>29</v>
      </c>
      <c r="G80" t="s">
        <v>37</v>
      </c>
      <c r="H80" t="s">
        <v>30</v>
      </c>
      <c r="I80" t="s">
        <v>22</v>
      </c>
      <c r="J80">
        <v>3</v>
      </c>
      <c r="K80">
        <v>9000</v>
      </c>
      <c r="L80">
        <v>0.02</v>
      </c>
      <c r="M80">
        <v>26460</v>
      </c>
      <c r="N80">
        <v>19591.75</v>
      </c>
      <c r="O80">
        <v>6868.25</v>
      </c>
    </row>
    <row r="81" spans="1:15" x14ac:dyDescent="0.25">
      <c r="A81" t="s">
        <v>205</v>
      </c>
      <c r="B81" s="5">
        <v>45845</v>
      </c>
      <c r="C81" t="s">
        <v>200</v>
      </c>
      <c r="D81" t="s">
        <v>201</v>
      </c>
      <c r="E81" t="s">
        <v>24</v>
      </c>
      <c r="F81" t="s">
        <v>58</v>
      </c>
      <c r="G81" t="s">
        <v>26</v>
      </c>
      <c r="H81" t="s">
        <v>30</v>
      </c>
      <c r="I81" t="s">
        <v>41</v>
      </c>
      <c r="J81">
        <v>5</v>
      </c>
      <c r="K81">
        <v>203000</v>
      </c>
      <c r="L81">
        <v>0</v>
      </c>
      <c r="M81">
        <v>1015000</v>
      </c>
      <c r="N81">
        <v>637573.07999999996</v>
      </c>
      <c r="O81">
        <v>377426.92</v>
      </c>
    </row>
    <row r="82" spans="1:15" x14ac:dyDescent="0.25">
      <c r="A82" t="s">
        <v>127</v>
      </c>
      <c r="B82" s="5">
        <v>45749</v>
      </c>
      <c r="C82" t="s">
        <v>124</v>
      </c>
      <c r="D82" t="s">
        <v>125</v>
      </c>
      <c r="E82" t="s">
        <v>18</v>
      </c>
      <c r="F82" t="s">
        <v>25</v>
      </c>
      <c r="G82" t="s">
        <v>37</v>
      </c>
      <c r="H82" t="s">
        <v>30</v>
      </c>
      <c r="I82" t="s">
        <v>34</v>
      </c>
      <c r="J82">
        <v>1</v>
      </c>
      <c r="K82">
        <v>19000</v>
      </c>
      <c r="L82">
        <v>0.05</v>
      </c>
      <c r="M82">
        <v>18050</v>
      </c>
      <c r="N82">
        <v>14366.29</v>
      </c>
      <c r="O82">
        <v>3683.71</v>
      </c>
    </row>
    <row r="83" spans="1:15" x14ac:dyDescent="0.25">
      <c r="A83" t="s">
        <v>128</v>
      </c>
      <c r="B83" s="5">
        <v>45753</v>
      </c>
      <c r="C83" t="s">
        <v>124</v>
      </c>
      <c r="D83" t="s">
        <v>125</v>
      </c>
      <c r="E83" t="s">
        <v>18</v>
      </c>
      <c r="F83" t="s">
        <v>36</v>
      </c>
      <c r="G83" t="s">
        <v>37</v>
      </c>
      <c r="H83" t="s">
        <v>30</v>
      </c>
      <c r="I83" t="s">
        <v>41</v>
      </c>
      <c r="J83">
        <v>10</v>
      </c>
      <c r="K83">
        <v>25000</v>
      </c>
      <c r="L83">
        <v>0</v>
      </c>
      <c r="M83">
        <v>250000</v>
      </c>
      <c r="N83">
        <v>173600.9</v>
      </c>
      <c r="O83">
        <v>76399.100000000006</v>
      </c>
    </row>
    <row r="84" spans="1:15" x14ac:dyDescent="0.25">
      <c r="A84" t="s">
        <v>197</v>
      </c>
      <c r="B84" s="5">
        <v>45838</v>
      </c>
      <c r="C84" t="s">
        <v>172</v>
      </c>
      <c r="D84" t="s">
        <v>125</v>
      </c>
      <c r="E84" t="s">
        <v>28</v>
      </c>
      <c r="F84" t="s">
        <v>55</v>
      </c>
      <c r="G84" t="s">
        <v>53</v>
      </c>
      <c r="H84" t="s">
        <v>30</v>
      </c>
      <c r="I84" t="s">
        <v>34</v>
      </c>
      <c r="J84">
        <v>3</v>
      </c>
      <c r="K84">
        <v>393000</v>
      </c>
      <c r="L84">
        <v>0</v>
      </c>
      <c r="M84">
        <v>1179000</v>
      </c>
      <c r="N84">
        <v>918864.93</v>
      </c>
      <c r="O84">
        <v>260135.07</v>
      </c>
    </row>
    <row r="85" spans="1:15" x14ac:dyDescent="0.25">
      <c r="A85" t="s">
        <v>130</v>
      </c>
      <c r="B85" s="5">
        <v>45753</v>
      </c>
      <c r="C85" t="s">
        <v>124</v>
      </c>
      <c r="D85" t="s">
        <v>125</v>
      </c>
      <c r="E85" t="s">
        <v>47</v>
      </c>
      <c r="F85" t="s">
        <v>55</v>
      </c>
      <c r="G85" t="s">
        <v>40</v>
      </c>
      <c r="H85" t="s">
        <v>30</v>
      </c>
      <c r="I85" t="s">
        <v>41</v>
      </c>
      <c r="J85">
        <v>4</v>
      </c>
      <c r="K85">
        <v>44000</v>
      </c>
      <c r="L85">
        <v>0</v>
      </c>
      <c r="M85">
        <v>176000</v>
      </c>
      <c r="N85">
        <v>128244.18</v>
      </c>
      <c r="O85">
        <v>47755.82</v>
      </c>
    </row>
    <row r="86" spans="1:15" x14ac:dyDescent="0.25">
      <c r="A86" t="s">
        <v>191</v>
      </c>
      <c r="B86" s="5">
        <v>45829</v>
      </c>
      <c r="C86" t="s">
        <v>172</v>
      </c>
      <c r="D86" t="s">
        <v>125</v>
      </c>
      <c r="E86" t="s">
        <v>28</v>
      </c>
      <c r="F86" t="s">
        <v>36</v>
      </c>
      <c r="G86" t="s">
        <v>40</v>
      </c>
      <c r="H86" t="s">
        <v>30</v>
      </c>
      <c r="I86" t="s">
        <v>22</v>
      </c>
      <c r="J86">
        <v>2</v>
      </c>
      <c r="K86">
        <v>32000</v>
      </c>
      <c r="L86">
        <v>0.05</v>
      </c>
      <c r="M86">
        <v>60800</v>
      </c>
      <c r="N86">
        <v>47416.9</v>
      </c>
      <c r="O86">
        <v>13383.1</v>
      </c>
    </row>
    <row r="87" spans="1:15" x14ac:dyDescent="0.25">
      <c r="A87" t="s">
        <v>189</v>
      </c>
      <c r="B87" s="5">
        <v>45826</v>
      </c>
      <c r="C87" t="s">
        <v>172</v>
      </c>
      <c r="D87" t="s">
        <v>125</v>
      </c>
      <c r="E87" t="s">
        <v>18</v>
      </c>
      <c r="F87" t="s">
        <v>25</v>
      </c>
      <c r="G87" t="s">
        <v>51</v>
      </c>
      <c r="H87" t="s">
        <v>30</v>
      </c>
      <c r="I87" t="s">
        <v>34</v>
      </c>
      <c r="J87">
        <v>4</v>
      </c>
      <c r="K87">
        <v>63000</v>
      </c>
      <c r="L87">
        <v>0.05</v>
      </c>
      <c r="M87">
        <v>239400</v>
      </c>
      <c r="N87">
        <v>189954.05</v>
      </c>
      <c r="O87">
        <v>49445.95</v>
      </c>
    </row>
    <row r="88" spans="1:15" x14ac:dyDescent="0.25">
      <c r="A88" t="s">
        <v>188</v>
      </c>
      <c r="B88" s="5">
        <v>45826</v>
      </c>
      <c r="C88" t="s">
        <v>172</v>
      </c>
      <c r="D88" t="s">
        <v>125</v>
      </c>
      <c r="E88" t="s">
        <v>18</v>
      </c>
      <c r="F88" t="s">
        <v>19</v>
      </c>
      <c r="G88" t="s">
        <v>51</v>
      </c>
      <c r="H88" t="s">
        <v>30</v>
      </c>
      <c r="I88" t="s">
        <v>34</v>
      </c>
      <c r="J88">
        <v>3</v>
      </c>
      <c r="K88">
        <v>48000</v>
      </c>
      <c r="L88">
        <v>0.02</v>
      </c>
      <c r="M88">
        <v>141120</v>
      </c>
      <c r="N88">
        <v>110632.37</v>
      </c>
      <c r="O88">
        <v>30487.63</v>
      </c>
    </row>
    <row r="89" spans="1:15" x14ac:dyDescent="0.25">
      <c r="A89" t="s">
        <v>185</v>
      </c>
      <c r="B89" s="5">
        <v>45821</v>
      </c>
      <c r="C89" t="s">
        <v>172</v>
      </c>
      <c r="D89" t="s">
        <v>125</v>
      </c>
      <c r="E89" t="s">
        <v>47</v>
      </c>
      <c r="F89" t="s">
        <v>68</v>
      </c>
      <c r="G89" t="s">
        <v>20</v>
      </c>
      <c r="H89" t="s">
        <v>30</v>
      </c>
      <c r="I89" t="s">
        <v>34</v>
      </c>
      <c r="J89">
        <v>2</v>
      </c>
      <c r="K89">
        <v>691000</v>
      </c>
      <c r="L89">
        <v>0</v>
      </c>
      <c r="M89">
        <v>1382000</v>
      </c>
      <c r="N89">
        <v>936634.95</v>
      </c>
      <c r="O89">
        <v>445365.05</v>
      </c>
    </row>
    <row r="90" spans="1:15" x14ac:dyDescent="0.25">
      <c r="A90" t="s">
        <v>179</v>
      </c>
      <c r="B90" s="5">
        <v>45817</v>
      </c>
      <c r="C90" t="s">
        <v>172</v>
      </c>
      <c r="D90" t="s">
        <v>125</v>
      </c>
      <c r="E90" t="s">
        <v>28</v>
      </c>
      <c r="F90" t="s">
        <v>19</v>
      </c>
      <c r="G90" t="s">
        <v>40</v>
      </c>
      <c r="H90" t="s">
        <v>30</v>
      </c>
      <c r="I90" t="s">
        <v>22</v>
      </c>
      <c r="J90">
        <v>8</v>
      </c>
      <c r="K90">
        <v>39000</v>
      </c>
      <c r="L90">
        <v>0.05</v>
      </c>
      <c r="M90">
        <v>296400</v>
      </c>
      <c r="N90">
        <v>235175.55</v>
      </c>
      <c r="O90">
        <v>61224.45</v>
      </c>
    </row>
    <row r="91" spans="1:15" x14ac:dyDescent="0.25">
      <c r="A91" t="s">
        <v>136</v>
      </c>
      <c r="B91" s="5">
        <v>45761</v>
      </c>
      <c r="C91" t="s">
        <v>124</v>
      </c>
      <c r="D91" t="s">
        <v>125</v>
      </c>
      <c r="E91" t="s">
        <v>49</v>
      </c>
      <c r="F91" t="s">
        <v>43</v>
      </c>
      <c r="G91" t="s">
        <v>40</v>
      </c>
      <c r="H91" t="s">
        <v>30</v>
      </c>
      <c r="I91" t="s">
        <v>41</v>
      </c>
      <c r="J91">
        <v>5</v>
      </c>
      <c r="K91">
        <v>40000</v>
      </c>
      <c r="L91">
        <v>0</v>
      </c>
      <c r="M91">
        <v>200000</v>
      </c>
      <c r="N91">
        <v>160603.6</v>
      </c>
      <c r="O91">
        <v>39396.400000000001</v>
      </c>
    </row>
    <row r="92" spans="1:15" x14ac:dyDescent="0.25">
      <c r="A92" t="s">
        <v>137</v>
      </c>
      <c r="B92" s="5">
        <v>45762</v>
      </c>
      <c r="C92" t="s">
        <v>124</v>
      </c>
      <c r="D92" t="s">
        <v>125</v>
      </c>
      <c r="E92" t="s">
        <v>47</v>
      </c>
      <c r="F92" t="s">
        <v>55</v>
      </c>
      <c r="G92" t="s">
        <v>60</v>
      </c>
      <c r="H92" t="s">
        <v>30</v>
      </c>
      <c r="I92" t="s">
        <v>22</v>
      </c>
      <c r="J92">
        <v>1</v>
      </c>
      <c r="K92">
        <v>313000</v>
      </c>
      <c r="L92">
        <v>0</v>
      </c>
      <c r="M92">
        <v>313000</v>
      </c>
      <c r="N92">
        <v>210380.65</v>
      </c>
      <c r="O92">
        <v>102619.35</v>
      </c>
    </row>
    <row r="93" spans="1:15" x14ac:dyDescent="0.25">
      <c r="A93" t="s">
        <v>171</v>
      </c>
      <c r="B93" s="5">
        <v>45809</v>
      </c>
      <c r="C93" t="s">
        <v>172</v>
      </c>
      <c r="D93" t="s">
        <v>125</v>
      </c>
      <c r="E93" t="s">
        <v>47</v>
      </c>
      <c r="F93" t="s">
        <v>25</v>
      </c>
      <c r="G93" t="s">
        <v>53</v>
      </c>
      <c r="H93" t="s">
        <v>30</v>
      </c>
      <c r="I93" t="s">
        <v>41</v>
      </c>
      <c r="J93">
        <v>4</v>
      </c>
      <c r="K93">
        <v>547000</v>
      </c>
      <c r="L93">
        <v>0</v>
      </c>
      <c r="M93">
        <v>2188000</v>
      </c>
      <c r="N93">
        <v>1499140.2</v>
      </c>
      <c r="O93">
        <v>688859.8</v>
      </c>
    </row>
    <row r="94" spans="1:15" x14ac:dyDescent="0.25">
      <c r="A94" t="s">
        <v>139</v>
      </c>
      <c r="B94" s="5">
        <v>45766</v>
      </c>
      <c r="C94" t="s">
        <v>124</v>
      </c>
      <c r="D94" t="s">
        <v>125</v>
      </c>
      <c r="E94" t="s">
        <v>18</v>
      </c>
      <c r="F94" t="s">
        <v>29</v>
      </c>
      <c r="G94" t="s">
        <v>26</v>
      </c>
      <c r="H94" t="s">
        <v>30</v>
      </c>
      <c r="I94" t="s">
        <v>22</v>
      </c>
      <c r="J94">
        <v>5</v>
      </c>
      <c r="K94">
        <v>234000</v>
      </c>
      <c r="L94">
        <v>0</v>
      </c>
      <c r="M94">
        <v>1170000</v>
      </c>
      <c r="N94">
        <v>796145.98</v>
      </c>
      <c r="O94">
        <v>373854.02</v>
      </c>
    </row>
    <row r="95" spans="1:15" x14ac:dyDescent="0.25">
      <c r="A95" t="s">
        <v>163</v>
      </c>
      <c r="B95" s="5">
        <v>45791</v>
      </c>
      <c r="C95" t="s">
        <v>150</v>
      </c>
      <c r="D95" t="s">
        <v>125</v>
      </c>
      <c r="E95" t="s">
        <v>24</v>
      </c>
      <c r="F95" t="s">
        <v>55</v>
      </c>
      <c r="G95" t="s">
        <v>51</v>
      </c>
      <c r="H95" t="s">
        <v>30</v>
      </c>
      <c r="I95" t="s">
        <v>31</v>
      </c>
      <c r="J95">
        <v>1</v>
      </c>
      <c r="K95">
        <v>29000</v>
      </c>
      <c r="L95">
        <v>0</v>
      </c>
      <c r="M95">
        <v>29000</v>
      </c>
      <c r="N95">
        <v>23200.11</v>
      </c>
      <c r="O95">
        <v>5799.89</v>
      </c>
    </row>
    <row r="96" spans="1:15" x14ac:dyDescent="0.25">
      <c r="A96" t="s">
        <v>141</v>
      </c>
      <c r="B96" s="5">
        <v>45768</v>
      </c>
      <c r="C96" t="s">
        <v>124</v>
      </c>
      <c r="D96" t="s">
        <v>125</v>
      </c>
      <c r="E96" t="s">
        <v>24</v>
      </c>
      <c r="F96" t="s">
        <v>29</v>
      </c>
      <c r="G96" t="s">
        <v>45</v>
      </c>
      <c r="H96" t="s">
        <v>30</v>
      </c>
      <c r="I96" t="s">
        <v>34</v>
      </c>
      <c r="J96">
        <v>3</v>
      </c>
      <c r="K96">
        <v>269000</v>
      </c>
      <c r="L96">
        <v>0.02</v>
      </c>
      <c r="M96">
        <v>790860</v>
      </c>
      <c r="N96">
        <v>606877.88</v>
      </c>
      <c r="O96">
        <v>183982.12</v>
      </c>
    </row>
    <row r="97" spans="1:15" x14ac:dyDescent="0.25">
      <c r="A97" t="s">
        <v>156</v>
      </c>
      <c r="B97" s="5">
        <v>45783</v>
      </c>
      <c r="C97" t="s">
        <v>150</v>
      </c>
      <c r="D97" t="s">
        <v>125</v>
      </c>
      <c r="E97" t="s">
        <v>47</v>
      </c>
      <c r="F97" t="s">
        <v>29</v>
      </c>
      <c r="G97" t="s">
        <v>53</v>
      </c>
      <c r="H97" t="s">
        <v>30</v>
      </c>
      <c r="I97" t="s">
        <v>31</v>
      </c>
      <c r="J97">
        <v>3</v>
      </c>
      <c r="K97">
        <v>191000</v>
      </c>
      <c r="L97">
        <v>0.02</v>
      </c>
      <c r="M97">
        <v>561540</v>
      </c>
      <c r="N97">
        <v>386407.37</v>
      </c>
      <c r="O97">
        <v>175132.63</v>
      </c>
    </row>
    <row r="98" spans="1:15" x14ac:dyDescent="0.25">
      <c r="A98" t="s">
        <v>143</v>
      </c>
      <c r="B98" s="5">
        <v>45774</v>
      </c>
      <c r="C98" t="s">
        <v>124</v>
      </c>
      <c r="D98" t="s">
        <v>125</v>
      </c>
      <c r="E98" t="s">
        <v>47</v>
      </c>
      <c r="F98" t="s">
        <v>36</v>
      </c>
      <c r="G98" t="s">
        <v>20</v>
      </c>
      <c r="H98" t="s">
        <v>30</v>
      </c>
      <c r="I98" t="s">
        <v>41</v>
      </c>
      <c r="J98">
        <v>3</v>
      </c>
      <c r="K98">
        <v>640000</v>
      </c>
      <c r="L98">
        <v>0</v>
      </c>
      <c r="M98">
        <v>1920000</v>
      </c>
      <c r="N98">
        <v>1560587.08</v>
      </c>
      <c r="O98">
        <v>359412.92</v>
      </c>
    </row>
    <row r="99" spans="1:15" x14ac:dyDescent="0.25">
      <c r="A99" t="s">
        <v>151</v>
      </c>
      <c r="B99" s="5">
        <v>45780</v>
      </c>
      <c r="C99" t="s">
        <v>150</v>
      </c>
      <c r="D99" t="s">
        <v>125</v>
      </c>
      <c r="E99" t="s">
        <v>18</v>
      </c>
      <c r="F99" t="s">
        <v>36</v>
      </c>
      <c r="G99" t="s">
        <v>37</v>
      </c>
      <c r="H99" t="s">
        <v>30</v>
      </c>
      <c r="I99" t="s">
        <v>22</v>
      </c>
      <c r="J99">
        <v>1</v>
      </c>
      <c r="K99">
        <v>12000</v>
      </c>
      <c r="L99">
        <v>0</v>
      </c>
      <c r="M99">
        <v>12000</v>
      </c>
      <c r="N99">
        <v>8967.43</v>
      </c>
      <c r="O99">
        <v>3032.57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7368-9AFB-4272-9794-3816E2771A13}">
  <dimension ref="A3:D7"/>
  <sheetViews>
    <sheetView workbookViewId="0">
      <selection activeCell="C12" sqref="C12"/>
    </sheetView>
  </sheetViews>
  <sheetFormatPr defaultRowHeight="15" x14ac:dyDescent="0.25"/>
  <cols>
    <col min="1" max="1" width="15" bestFit="1" customWidth="1"/>
    <col min="2" max="2" width="15.42578125" bestFit="1" customWidth="1"/>
    <col min="3" max="3" width="20.140625" bestFit="1" customWidth="1"/>
    <col min="4" max="4" width="19.140625" bestFit="1" customWidth="1"/>
  </cols>
  <sheetData>
    <row r="3" spans="1:4" x14ac:dyDescent="0.25">
      <c r="A3" s="16" t="s">
        <v>16798</v>
      </c>
      <c r="B3" t="s">
        <v>16814</v>
      </c>
      <c r="C3" t="s">
        <v>16800</v>
      </c>
      <c r="D3" t="s">
        <v>16813</v>
      </c>
    </row>
    <row r="4" spans="1:4" x14ac:dyDescent="0.25">
      <c r="A4" s="17" t="s">
        <v>21</v>
      </c>
      <c r="B4">
        <v>239</v>
      </c>
      <c r="C4" s="19">
        <v>57078860</v>
      </c>
      <c r="D4" s="19">
        <v>15959032.640000008</v>
      </c>
    </row>
    <row r="5" spans="1:4" x14ac:dyDescent="0.25">
      <c r="A5" s="17" t="s">
        <v>33</v>
      </c>
      <c r="B5">
        <v>410</v>
      </c>
      <c r="C5" s="19">
        <v>96387500</v>
      </c>
      <c r="D5" s="19">
        <v>25696573.230000004</v>
      </c>
    </row>
    <row r="6" spans="1:4" x14ac:dyDescent="0.25">
      <c r="A6" s="17" t="s">
        <v>30</v>
      </c>
      <c r="B6">
        <v>325</v>
      </c>
      <c r="C6" s="19">
        <v>77222510</v>
      </c>
      <c r="D6" s="19">
        <v>22175242.329999998</v>
      </c>
    </row>
    <row r="7" spans="1:4" x14ac:dyDescent="0.25">
      <c r="A7" s="17" t="s">
        <v>16799</v>
      </c>
      <c r="B7">
        <v>974</v>
      </c>
      <c r="C7" s="19">
        <v>230688870</v>
      </c>
      <c r="D7" s="19">
        <v>63830848.20000001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D012-72FF-40B8-8B1D-CC0B0AFAC7C2}">
  <dimension ref="A3:B7"/>
  <sheetViews>
    <sheetView topLeftCell="C1" workbookViewId="0">
      <selection activeCell="K20" sqref="K20"/>
    </sheetView>
  </sheetViews>
  <sheetFormatPr defaultRowHeight="15" x14ac:dyDescent="0.25"/>
  <cols>
    <col min="1" max="1" width="15" bestFit="1" customWidth="1"/>
    <col min="2" max="2" width="17.7109375" bestFit="1" customWidth="1"/>
  </cols>
  <sheetData>
    <row r="3" spans="1:2" x14ac:dyDescent="0.25">
      <c r="A3" s="16" t="s">
        <v>16798</v>
      </c>
      <c r="B3" t="s">
        <v>16800</v>
      </c>
    </row>
    <row r="4" spans="1:2" x14ac:dyDescent="0.25">
      <c r="A4" s="17" t="s">
        <v>21</v>
      </c>
      <c r="B4" s="22">
        <v>57078860</v>
      </c>
    </row>
    <row r="5" spans="1:2" x14ac:dyDescent="0.25">
      <c r="A5" s="17" t="s">
        <v>33</v>
      </c>
      <c r="B5" s="22">
        <v>96387500</v>
      </c>
    </row>
    <row r="6" spans="1:2" x14ac:dyDescent="0.25">
      <c r="A6" s="17" t="s">
        <v>30</v>
      </c>
      <c r="B6" s="22">
        <v>77222510</v>
      </c>
    </row>
    <row r="7" spans="1:2" x14ac:dyDescent="0.25">
      <c r="A7" s="17" t="s">
        <v>16799</v>
      </c>
      <c r="B7" s="22">
        <v>230688870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pane ySplit="1" topLeftCell="A281" activePane="bottomLeft" state="frozen"/>
      <selection pane="bottomLeft" sqref="A1:XFD1048576"/>
    </sheetView>
  </sheetViews>
  <sheetFormatPr defaultRowHeight="15" x14ac:dyDescent="0.25"/>
  <cols>
    <col min="1" max="1" width="13.5703125" bestFit="1" customWidth="1"/>
    <col min="2" max="2" width="18.28515625" style="5" bestFit="1" customWidth="1"/>
    <col min="3" max="3" width="11.5703125" bestFit="1" customWidth="1"/>
    <col min="4" max="4" width="12.42578125" bestFit="1" customWidth="1"/>
    <col min="5" max="5" width="12.7109375" bestFit="1" customWidth="1"/>
    <col min="6" max="6" width="14.5703125" bestFit="1" customWidth="1"/>
    <col min="7" max="7" width="12.42578125" bestFit="1" customWidth="1"/>
    <col min="8" max="8" width="18.5703125" bestFit="1" customWidth="1"/>
    <col min="9" max="9" width="21.85546875" bestFit="1" customWidth="1"/>
    <col min="10" max="10" width="13.28515625" bestFit="1" customWidth="1"/>
    <col min="11" max="11" width="20.28515625" bestFit="1" customWidth="1"/>
    <col min="12" max="12" width="18.42578125" bestFit="1" customWidth="1"/>
    <col min="13" max="13" width="15.42578125" bestFit="1" customWidth="1"/>
    <col min="14" max="14" width="14.7109375" bestFit="1" customWidth="1"/>
    <col min="15" max="15" width="15.85546875" bestFit="1" customWidth="1"/>
  </cols>
  <sheetData>
    <row r="1" spans="1:15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5">
      <c r="A2" t="s">
        <v>15</v>
      </c>
      <c r="B2" s="5">
        <v>45664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 t="s">
        <v>21</v>
      </c>
      <c r="I2" t="s">
        <v>22</v>
      </c>
      <c r="J2">
        <v>3</v>
      </c>
      <c r="K2" s="1">
        <v>607000</v>
      </c>
      <c r="L2" s="2">
        <v>0</v>
      </c>
      <c r="M2" s="1">
        <v>1821000</v>
      </c>
      <c r="N2" s="1">
        <v>1189341.8400000001</v>
      </c>
      <c r="O2" s="1">
        <v>631658.16</v>
      </c>
    </row>
    <row r="3" spans="1:15" x14ac:dyDescent="0.25">
      <c r="A3" t="s">
        <v>23</v>
      </c>
      <c r="B3" s="5">
        <v>45665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s="1" t="s">
        <v>21</v>
      </c>
      <c r="I3" t="s">
        <v>22</v>
      </c>
      <c r="J3">
        <v>2</v>
      </c>
      <c r="K3" s="1">
        <v>119000</v>
      </c>
      <c r="L3" s="2">
        <v>0</v>
      </c>
      <c r="M3" s="1">
        <v>238000</v>
      </c>
      <c r="N3" s="1">
        <v>188891.13</v>
      </c>
      <c r="O3" s="1">
        <v>49108.87</v>
      </c>
    </row>
    <row r="4" spans="1:15" x14ac:dyDescent="0.25">
      <c r="A4" t="s">
        <v>27</v>
      </c>
      <c r="B4" s="5">
        <v>45665</v>
      </c>
      <c r="C4" t="s">
        <v>16</v>
      </c>
      <c r="D4" t="s">
        <v>17</v>
      </c>
      <c r="E4" t="s">
        <v>28</v>
      </c>
      <c r="F4" t="s">
        <v>29</v>
      </c>
      <c r="G4" t="s">
        <v>26</v>
      </c>
      <c r="H4" s="1" t="s">
        <v>30</v>
      </c>
      <c r="I4" t="s">
        <v>31</v>
      </c>
      <c r="J4">
        <v>1</v>
      </c>
      <c r="K4" s="1">
        <v>113000</v>
      </c>
      <c r="L4" s="2">
        <v>0</v>
      </c>
      <c r="M4" s="1">
        <v>113000</v>
      </c>
      <c r="N4" s="1">
        <v>91299.93</v>
      </c>
      <c r="O4" s="1">
        <v>21700.07</v>
      </c>
    </row>
    <row r="5" spans="1:15" x14ac:dyDescent="0.25">
      <c r="A5" t="s">
        <v>32</v>
      </c>
      <c r="B5" s="5">
        <v>45666</v>
      </c>
      <c r="C5" t="s">
        <v>16</v>
      </c>
      <c r="D5" t="s">
        <v>17</v>
      </c>
      <c r="E5" t="s">
        <v>18</v>
      </c>
      <c r="F5" t="s">
        <v>29</v>
      </c>
      <c r="G5" t="s">
        <v>26</v>
      </c>
      <c r="H5" s="1" t="s">
        <v>33</v>
      </c>
      <c r="I5" t="s">
        <v>34</v>
      </c>
      <c r="J5">
        <v>3</v>
      </c>
      <c r="K5" s="1">
        <v>90000</v>
      </c>
      <c r="L5" s="2">
        <v>0.02</v>
      </c>
      <c r="M5" s="1">
        <v>264600</v>
      </c>
      <c r="N5" s="1">
        <v>177151.81</v>
      </c>
      <c r="O5" s="1">
        <v>87448.19</v>
      </c>
    </row>
    <row r="6" spans="1:15" x14ac:dyDescent="0.25">
      <c r="A6" t="s">
        <v>35</v>
      </c>
      <c r="B6" s="5">
        <v>45667</v>
      </c>
      <c r="C6" t="s">
        <v>16</v>
      </c>
      <c r="D6" t="s">
        <v>17</v>
      </c>
      <c r="E6" t="s">
        <v>24</v>
      </c>
      <c r="F6" t="s">
        <v>36</v>
      </c>
      <c r="G6" t="s">
        <v>37</v>
      </c>
      <c r="H6" s="1" t="s">
        <v>30</v>
      </c>
      <c r="I6" t="s">
        <v>22</v>
      </c>
      <c r="J6">
        <v>1</v>
      </c>
      <c r="K6" s="1">
        <v>29000</v>
      </c>
      <c r="L6" s="2">
        <v>0</v>
      </c>
      <c r="M6" s="1">
        <v>29000</v>
      </c>
      <c r="N6" s="1">
        <v>22620.41</v>
      </c>
      <c r="O6" s="1">
        <v>6379.59</v>
      </c>
    </row>
    <row r="7" spans="1:15" x14ac:dyDescent="0.25">
      <c r="A7" t="s">
        <v>38</v>
      </c>
      <c r="B7" s="5">
        <v>45667</v>
      </c>
      <c r="C7" t="s">
        <v>16</v>
      </c>
      <c r="D7" t="s">
        <v>17</v>
      </c>
      <c r="E7" t="s">
        <v>28</v>
      </c>
      <c r="F7" t="s">
        <v>19</v>
      </c>
      <c r="G7" t="s">
        <v>37</v>
      </c>
      <c r="H7" s="1" t="s">
        <v>21</v>
      </c>
      <c r="I7" t="s">
        <v>31</v>
      </c>
      <c r="J7">
        <v>4</v>
      </c>
      <c r="K7" s="1">
        <v>14000</v>
      </c>
      <c r="L7" s="2">
        <v>0</v>
      </c>
      <c r="M7" s="1">
        <v>56000</v>
      </c>
      <c r="N7" s="1">
        <v>37572.31</v>
      </c>
      <c r="O7" s="1">
        <v>18427.689999999999</v>
      </c>
    </row>
    <row r="8" spans="1:15" x14ac:dyDescent="0.25">
      <c r="A8" t="s">
        <v>39</v>
      </c>
      <c r="B8" s="5">
        <v>45667</v>
      </c>
      <c r="C8" t="s">
        <v>16</v>
      </c>
      <c r="D8" t="s">
        <v>17</v>
      </c>
      <c r="E8" t="s">
        <v>24</v>
      </c>
      <c r="F8" t="s">
        <v>36</v>
      </c>
      <c r="G8" t="s">
        <v>40</v>
      </c>
      <c r="H8" s="1" t="s">
        <v>33</v>
      </c>
      <c r="I8" t="s">
        <v>41</v>
      </c>
      <c r="J8">
        <v>6</v>
      </c>
      <c r="K8" s="1">
        <v>19000</v>
      </c>
      <c r="L8" s="2">
        <v>0</v>
      </c>
      <c r="M8" s="1">
        <v>114000</v>
      </c>
      <c r="N8" s="1">
        <v>80925.17</v>
      </c>
      <c r="O8" s="1">
        <v>33074.83</v>
      </c>
    </row>
    <row r="9" spans="1:15" x14ac:dyDescent="0.25">
      <c r="A9" t="s">
        <v>42</v>
      </c>
      <c r="B9" s="5">
        <v>45669</v>
      </c>
      <c r="C9" t="s">
        <v>16</v>
      </c>
      <c r="D9" t="s">
        <v>17</v>
      </c>
      <c r="E9" t="s">
        <v>18</v>
      </c>
      <c r="F9" t="s">
        <v>43</v>
      </c>
      <c r="G9" t="s">
        <v>37</v>
      </c>
      <c r="H9" s="1" t="s">
        <v>21</v>
      </c>
      <c r="I9" t="s">
        <v>22</v>
      </c>
      <c r="J9">
        <v>2</v>
      </c>
      <c r="K9" s="1">
        <v>11000</v>
      </c>
      <c r="L9" s="2">
        <v>0</v>
      </c>
      <c r="M9" s="1">
        <v>22000</v>
      </c>
      <c r="N9" s="1">
        <v>17255.95</v>
      </c>
      <c r="O9" s="1">
        <v>4744.05</v>
      </c>
    </row>
    <row r="10" spans="1:15" x14ac:dyDescent="0.25">
      <c r="A10" t="s">
        <v>44</v>
      </c>
      <c r="B10" s="5">
        <v>45669</v>
      </c>
      <c r="C10" t="s">
        <v>16</v>
      </c>
      <c r="D10" t="s">
        <v>17</v>
      </c>
      <c r="E10" t="s">
        <v>18</v>
      </c>
      <c r="F10" t="s">
        <v>19</v>
      </c>
      <c r="G10" t="s">
        <v>45</v>
      </c>
      <c r="H10" s="1" t="s">
        <v>33</v>
      </c>
      <c r="I10" t="s">
        <v>22</v>
      </c>
      <c r="J10">
        <v>1</v>
      </c>
      <c r="K10" s="1">
        <v>291000</v>
      </c>
      <c r="L10" s="2">
        <v>0.05</v>
      </c>
      <c r="M10" s="1">
        <v>276450</v>
      </c>
      <c r="N10" s="1">
        <v>217407.7</v>
      </c>
      <c r="O10" s="1">
        <v>59042.3</v>
      </c>
    </row>
    <row r="11" spans="1:15" x14ac:dyDescent="0.25">
      <c r="A11" t="s">
        <v>46</v>
      </c>
      <c r="B11" s="5">
        <v>45671</v>
      </c>
      <c r="C11" t="s">
        <v>16</v>
      </c>
      <c r="D11" t="s">
        <v>17</v>
      </c>
      <c r="E11" t="s">
        <v>47</v>
      </c>
      <c r="F11" t="s">
        <v>25</v>
      </c>
      <c r="G11" t="s">
        <v>45</v>
      </c>
      <c r="H11" s="1" t="s">
        <v>30</v>
      </c>
      <c r="I11" t="s">
        <v>22</v>
      </c>
      <c r="J11">
        <v>1</v>
      </c>
      <c r="K11" s="1">
        <v>302000</v>
      </c>
      <c r="L11" s="2">
        <v>0.02</v>
      </c>
      <c r="M11" s="1">
        <v>295960</v>
      </c>
      <c r="N11" s="1">
        <v>211964.95</v>
      </c>
      <c r="O11" s="1">
        <v>83995.05</v>
      </c>
    </row>
    <row r="12" spans="1:15" x14ac:dyDescent="0.25">
      <c r="A12" t="s">
        <v>48</v>
      </c>
      <c r="B12" s="5">
        <v>45671</v>
      </c>
      <c r="C12" t="s">
        <v>16</v>
      </c>
      <c r="D12" t="s">
        <v>17</v>
      </c>
      <c r="E12" t="s">
        <v>49</v>
      </c>
      <c r="F12" t="s">
        <v>29</v>
      </c>
      <c r="G12" t="s">
        <v>45</v>
      </c>
      <c r="H12" s="1" t="s">
        <v>30</v>
      </c>
      <c r="I12" t="s">
        <v>22</v>
      </c>
      <c r="J12">
        <v>2</v>
      </c>
      <c r="K12" s="1">
        <v>135000</v>
      </c>
      <c r="L12" s="2">
        <v>0</v>
      </c>
      <c r="M12" s="1">
        <v>270000</v>
      </c>
      <c r="N12" s="1">
        <v>189271.12</v>
      </c>
      <c r="O12" s="1">
        <v>80728.88</v>
      </c>
    </row>
    <row r="13" spans="1:15" x14ac:dyDescent="0.25">
      <c r="A13" t="s">
        <v>50</v>
      </c>
      <c r="B13" s="5">
        <v>45672</v>
      </c>
      <c r="C13" t="s">
        <v>16</v>
      </c>
      <c r="D13" t="s">
        <v>17</v>
      </c>
      <c r="E13" t="s">
        <v>18</v>
      </c>
      <c r="F13" t="s">
        <v>29</v>
      </c>
      <c r="G13" t="s">
        <v>51</v>
      </c>
      <c r="H13" s="1" t="s">
        <v>21</v>
      </c>
      <c r="I13" t="s">
        <v>41</v>
      </c>
      <c r="J13">
        <v>2</v>
      </c>
      <c r="K13" s="1">
        <v>38000</v>
      </c>
      <c r="L13" s="2">
        <v>0</v>
      </c>
      <c r="M13" s="1">
        <v>76000</v>
      </c>
      <c r="N13" s="1">
        <v>49262.05</v>
      </c>
      <c r="O13" s="1">
        <v>26737.95</v>
      </c>
    </row>
    <row r="14" spans="1:15" x14ac:dyDescent="0.25">
      <c r="A14" t="s">
        <v>52</v>
      </c>
      <c r="B14" s="5">
        <v>45678</v>
      </c>
      <c r="C14" t="s">
        <v>16</v>
      </c>
      <c r="D14" t="s">
        <v>17</v>
      </c>
      <c r="E14" t="s">
        <v>49</v>
      </c>
      <c r="F14" t="s">
        <v>29</v>
      </c>
      <c r="G14" t="s">
        <v>53</v>
      </c>
      <c r="H14" s="1" t="s">
        <v>21</v>
      </c>
      <c r="I14" t="s">
        <v>34</v>
      </c>
      <c r="J14">
        <v>1</v>
      </c>
      <c r="K14" s="1">
        <v>580000</v>
      </c>
      <c r="L14" s="2">
        <v>0.02</v>
      </c>
      <c r="M14" s="1">
        <v>568400</v>
      </c>
      <c r="N14" s="1">
        <v>416295.35</v>
      </c>
      <c r="O14" s="1">
        <v>152104.65</v>
      </c>
    </row>
    <row r="15" spans="1:15" x14ac:dyDescent="0.25">
      <c r="A15" t="s">
        <v>54</v>
      </c>
      <c r="B15" s="5">
        <v>45678</v>
      </c>
      <c r="C15" t="s">
        <v>16</v>
      </c>
      <c r="D15" t="s">
        <v>17</v>
      </c>
      <c r="E15" t="s">
        <v>49</v>
      </c>
      <c r="F15" t="s">
        <v>55</v>
      </c>
      <c r="G15" t="s">
        <v>53</v>
      </c>
      <c r="H15" s="1" t="s">
        <v>21</v>
      </c>
      <c r="I15" t="s">
        <v>41</v>
      </c>
      <c r="J15">
        <v>3</v>
      </c>
      <c r="K15" s="1">
        <v>421000</v>
      </c>
      <c r="L15" s="2">
        <v>0</v>
      </c>
      <c r="M15" s="1">
        <v>1263000</v>
      </c>
      <c r="N15" s="1">
        <v>936525.83</v>
      </c>
      <c r="O15" s="1">
        <v>326474.17</v>
      </c>
    </row>
    <row r="16" spans="1:15" x14ac:dyDescent="0.25">
      <c r="A16" t="s">
        <v>56</v>
      </c>
      <c r="B16" s="5">
        <v>45679</v>
      </c>
      <c r="C16" t="s">
        <v>16</v>
      </c>
      <c r="D16" t="s">
        <v>17</v>
      </c>
      <c r="E16" t="s">
        <v>18</v>
      </c>
      <c r="F16" t="s">
        <v>36</v>
      </c>
      <c r="G16" t="s">
        <v>37</v>
      </c>
      <c r="H16" s="1" t="s">
        <v>21</v>
      </c>
      <c r="I16" t="s">
        <v>22</v>
      </c>
      <c r="J16">
        <v>3</v>
      </c>
      <c r="K16" s="1">
        <v>14000</v>
      </c>
      <c r="L16" s="2">
        <v>0</v>
      </c>
      <c r="M16" s="1">
        <v>42000</v>
      </c>
      <c r="N16" s="1">
        <v>31385.19</v>
      </c>
      <c r="O16" s="1">
        <v>10614.81</v>
      </c>
    </row>
    <row r="17" spans="1:15" x14ac:dyDescent="0.25">
      <c r="A17" t="s">
        <v>57</v>
      </c>
      <c r="B17" s="5">
        <v>45682</v>
      </c>
      <c r="C17" t="s">
        <v>16</v>
      </c>
      <c r="D17" t="s">
        <v>17</v>
      </c>
      <c r="E17" t="s">
        <v>49</v>
      </c>
      <c r="F17" t="s">
        <v>58</v>
      </c>
      <c r="G17" t="s">
        <v>26</v>
      </c>
      <c r="H17" s="1" t="s">
        <v>33</v>
      </c>
      <c r="I17" t="s">
        <v>41</v>
      </c>
      <c r="J17">
        <v>5</v>
      </c>
      <c r="K17" s="1">
        <v>98000</v>
      </c>
      <c r="L17" s="2">
        <v>0</v>
      </c>
      <c r="M17" s="1">
        <v>490000</v>
      </c>
      <c r="N17" s="1">
        <v>336047.03</v>
      </c>
      <c r="O17" s="1">
        <v>153952.97</v>
      </c>
    </row>
    <row r="18" spans="1:15" x14ac:dyDescent="0.25">
      <c r="A18" t="s">
        <v>59</v>
      </c>
      <c r="B18" s="5">
        <v>45682</v>
      </c>
      <c r="C18" t="s">
        <v>16</v>
      </c>
      <c r="D18" t="s">
        <v>17</v>
      </c>
      <c r="E18" t="s">
        <v>47</v>
      </c>
      <c r="F18" t="s">
        <v>55</v>
      </c>
      <c r="G18" t="s">
        <v>60</v>
      </c>
      <c r="H18" s="1" t="s">
        <v>33</v>
      </c>
      <c r="I18" t="s">
        <v>34</v>
      </c>
      <c r="J18">
        <v>3</v>
      </c>
      <c r="K18" s="1">
        <v>255000</v>
      </c>
      <c r="L18" s="2">
        <v>0.05</v>
      </c>
      <c r="M18" s="1">
        <v>726750</v>
      </c>
      <c r="N18" s="1">
        <v>475997.79</v>
      </c>
      <c r="O18" s="1">
        <v>250752.21</v>
      </c>
    </row>
    <row r="19" spans="1:15" x14ac:dyDescent="0.25">
      <c r="A19" t="s">
        <v>61</v>
      </c>
      <c r="B19" s="5">
        <v>45683</v>
      </c>
      <c r="C19" t="s">
        <v>16</v>
      </c>
      <c r="D19" t="s">
        <v>17</v>
      </c>
      <c r="E19" t="s">
        <v>18</v>
      </c>
      <c r="F19" t="s">
        <v>43</v>
      </c>
      <c r="G19" t="s">
        <v>26</v>
      </c>
      <c r="H19" s="1" t="s">
        <v>33</v>
      </c>
      <c r="I19" t="s">
        <v>34</v>
      </c>
      <c r="J19">
        <v>5</v>
      </c>
      <c r="K19" s="1">
        <v>227000</v>
      </c>
      <c r="L19" s="2">
        <v>0.02</v>
      </c>
      <c r="M19" s="1">
        <v>1112300</v>
      </c>
      <c r="N19" s="1">
        <v>808650.27</v>
      </c>
      <c r="O19" s="1">
        <v>303649.73</v>
      </c>
    </row>
    <row r="20" spans="1:15" x14ac:dyDescent="0.25">
      <c r="A20" t="s">
        <v>62</v>
      </c>
      <c r="B20" s="5">
        <v>45686</v>
      </c>
      <c r="C20" t="s">
        <v>16</v>
      </c>
      <c r="D20" t="s">
        <v>17</v>
      </c>
      <c r="E20" t="s">
        <v>24</v>
      </c>
      <c r="F20" t="s">
        <v>25</v>
      </c>
      <c r="G20" t="s">
        <v>53</v>
      </c>
      <c r="H20" s="1" t="s">
        <v>33</v>
      </c>
      <c r="I20" t="s">
        <v>41</v>
      </c>
      <c r="J20">
        <v>8</v>
      </c>
      <c r="K20" s="1">
        <v>360000</v>
      </c>
      <c r="L20" s="2">
        <v>0</v>
      </c>
      <c r="M20" s="1">
        <v>2880000</v>
      </c>
      <c r="N20" s="1">
        <v>1791063.61</v>
      </c>
      <c r="O20" s="1">
        <v>1088936.3899999999</v>
      </c>
    </row>
    <row r="21" spans="1:15" x14ac:dyDescent="0.25">
      <c r="A21" t="s">
        <v>63</v>
      </c>
      <c r="B21" s="5">
        <v>45687</v>
      </c>
      <c r="C21" t="s">
        <v>16</v>
      </c>
      <c r="D21" t="s">
        <v>17</v>
      </c>
      <c r="E21" t="s">
        <v>49</v>
      </c>
      <c r="F21" t="s">
        <v>25</v>
      </c>
      <c r="G21" t="s">
        <v>26</v>
      </c>
      <c r="H21" s="1" t="s">
        <v>21</v>
      </c>
      <c r="I21" t="s">
        <v>41</v>
      </c>
      <c r="J21">
        <v>2</v>
      </c>
      <c r="K21" s="1">
        <v>178000</v>
      </c>
      <c r="L21" s="2">
        <v>0</v>
      </c>
      <c r="M21" s="1">
        <v>356000</v>
      </c>
      <c r="N21" s="1">
        <v>241365.87</v>
      </c>
      <c r="O21" s="1">
        <v>114634.13</v>
      </c>
    </row>
    <row r="22" spans="1:15" x14ac:dyDescent="0.25">
      <c r="A22" t="s">
        <v>64</v>
      </c>
      <c r="B22" s="5">
        <v>45689</v>
      </c>
      <c r="C22" t="s">
        <v>65</v>
      </c>
      <c r="D22" t="s">
        <v>17</v>
      </c>
      <c r="E22" t="s">
        <v>18</v>
      </c>
      <c r="F22" t="s">
        <v>58</v>
      </c>
      <c r="G22" t="s">
        <v>40</v>
      </c>
      <c r="H22" s="1" t="s">
        <v>30</v>
      </c>
      <c r="I22" t="s">
        <v>41</v>
      </c>
      <c r="J22">
        <v>2</v>
      </c>
      <c r="K22" s="1">
        <v>21000</v>
      </c>
      <c r="L22" s="2">
        <v>0.02</v>
      </c>
      <c r="M22" s="1">
        <v>41160</v>
      </c>
      <c r="N22" s="1">
        <v>26206.28</v>
      </c>
      <c r="O22" s="1">
        <v>14953.72</v>
      </c>
    </row>
    <row r="23" spans="1:15" x14ac:dyDescent="0.25">
      <c r="A23" t="s">
        <v>66</v>
      </c>
      <c r="B23" s="5">
        <v>45689</v>
      </c>
      <c r="C23" t="s">
        <v>65</v>
      </c>
      <c r="D23" t="s">
        <v>17</v>
      </c>
      <c r="E23" t="s">
        <v>18</v>
      </c>
      <c r="F23" t="s">
        <v>43</v>
      </c>
      <c r="G23" t="s">
        <v>20</v>
      </c>
      <c r="H23" s="1" t="s">
        <v>30</v>
      </c>
      <c r="I23" t="s">
        <v>41</v>
      </c>
      <c r="J23">
        <v>10</v>
      </c>
      <c r="K23" s="1">
        <v>592000</v>
      </c>
      <c r="L23" s="2">
        <v>0.05</v>
      </c>
      <c r="M23" s="1">
        <v>5624000</v>
      </c>
      <c r="N23" s="1">
        <v>4046193.47</v>
      </c>
      <c r="O23" s="1">
        <v>1577806.53</v>
      </c>
    </row>
    <row r="24" spans="1:15" x14ac:dyDescent="0.25">
      <c r="A24" t="s">
        <v>67</v>
      </c>
      <c r="B24" s="5">
        <v>45690</v>
      </c>
      <c r="C24" t="s">
        <v>65</v>
      </c>
      <c r="D24" t="s">
        <v>17</v>
      </c>
      <c r="E24" t="s">
        <v>18</v>
      </c>
      <c r="F24" t="s">
        <v>68</v>
      </c>
      <c r="G24" t="s">
        <v>60</v>
      </c>
      <c r="H24" s="1" t="s">
        <v>21</v>
      </c>
      <c r="I24" t="s">
        <v>22</v>
      </c>
      <c r="J24">
        <v>1</v>
      </c>
      <c r="K24" s="1">
        <v>339000</v>
      </c>
      <c r="L24" s="2">
        <v>0.05</v>
      </c>
      <c r="M24" s="1">
        <v>322050</v>
      </c>
      <c r="N24" s="1">
        <v>201254.64</v>
      </c>
      <c r="O24" s="1">
        <v>120795.36</v>
      </c>
    </row>
    <row r="25" spans="1:15" x14ac:dyDescent="0.25">
      <c r="A25" t="s">
        <v>69</v>
      </c>
      <c r="B25" s="5">
        <v>45692</v>
      </c>
      <c r="C25" t="s">
        <v>65</v>
      </c>
      <c r="D25" t="s">
        <v>17</v>
      </c>
      <c r="E25" t="s">
        <v>24</v>
      </c>
      <c r="F25" t="s">
        <v>55</v>
      </c>
      <c r="G25" t="s">
        <v>53</v>
      </c>
      <c r="H25" s="1" t="s">
        <v>33</v>
      </c>
      <c r="I25" t="s">
        <v>31</v>
      </c>
      <c r="J25">
        <v>3</v>
      </c>
      <c r="K25" s="1">
        <v>373000</v>
      </c>
      <c r="L25" s="2">
        <v>0</v>
      </c>
      <c r="M25" s="1">
        <v>1119000</v>
      </c>
      <c r="N25" s="1">
        <v>723586.83</v>
      </c>
      <c r="O25" s="1">
        <v>395413.17</v>
      </c>
    </row>
    <row r="26" spans="1:15" x14ac:dyDescent="0.25">
      <c r="A26" t="s">
        <v>70</v>
      </c>
      <c r="B26" s="5">
        <v>45692</v>
      </c>
      <c r="C26" t="s">
        <v>65</v>
      </c>
      <c r="D26" t="s">
        <v>17</v>
      </c>
      <c r="E26" t="s">
        <v>28</v>
      </c>
      <c r="F26" t="s">
        <v>43</v>
      </c>
      <c r="G26" t="s">
        <v>26</v>
      </c>
      <c r="H26" s="1" t="s">
        <v>21</v>
      </c>
      <c r="I26" t="s">
        <v>31</v>
      </c>
      <c r="J26">
        <v>5</v>
      </c>
      <c r="K26" s="1">
        <v>114000</v>
      </c>
      <c r="L26" s="2">
        <v>0</v>
      </c>
      <c r="M26" s="1">
        <v>570000</v>
      </c>
      <c r="N26" s="1">
        <v>396127.61</v>
      </c>
      <c r="O26" s="1">
        <v>173872.39</v>
      </c>
    </row>
    <row r="27" spans="1:15" x14ac:dyDescent="0.25">
      <c r="A27" t="s">
        <v>71</v>
      </c>
      <c r="B27" s="5">
        <v>45693</v>
      </c>
      <c r="C27" t="s">
        <v>65</v>
      </c>
      <c r="D27" t="s">
        <v>17</v>
      </c>
      <c r="E27" t="s">
        <v>49</v>
      </c>
      <c r="F27" t="s">
        <v>58</v>
      </c>
      <c r="G27" t="s">
        <v>26</v>
      </c>
      <c r="H27" s="1" t="s">
        <v>30</v>
      </c>
      <c r="I27" t="s">
        <v>22</v>
      </c>
      <c r="J27">
        <v>8</v>
      </c>
      <c r="K27" s="1">
        <v>216000</v>
      </c>
      <c r="L27" s="2">
        <v>0.02</v>
      </c>
      <c r="M27" s="1">
        <v>1693440</v>
      </c>
      <c r="N27" s="1">
        <v>1122730.53</v>
      </c>
      <c r="O27" s="1">
        <v>570709.47</v>
      </c>
    </row>
    <row r="28" spans="1:15" x14ac:dyDescent="0.25">
      <c r="A28" t="s">
        <v>72</v>
      </c>
      <c r="B28" s="5">
        <v>45695</v>
      </c>
      <c r="C28" t="s">
        <v>65</v>
      </c>
      <c r="D28" t="s">
        <v>17</v>
      </c>
      <c r="E28" t="s">
        <v>18</v>
      </c>
      <c r="F28" t="s">
        <v>25</v>
      </c>
      <c r="G28" t="s">
        <v>20</v>
      </c>
      <c r="H28" s="1" t="s">
        <v>33</v>
      </c>
      <c r="I28" t="s">
        <v>31</v>
      </c>
      <c r="J28">
        <v>5</v>
      </c>
      <c r="K28" s="1">
        <v>552000</v>
      </c>
      <c r="L28" s="2">
        <v>0.05</v>
      </c>
      <c r="M28" s="1">
        <v>2622000</v>
      </c>
      <c r="N28" s="1">
        <v>1944730.27</v>
      </c>
      <c r="O28" s="1">
        <v>677269.73</v>
      </c>
    </row>
    <row r="29" spans="1:15" x14ac:dyDescent="0.25">
      <c r="A29" t="s">
        <v>73</v>
      </c>
      <c r="B29" s="5">
        <v>45695</v>
      </c>
      <c r="C29" t="s">
        <v>65</v>
      </c>
      <c r="D29" t="s">
        <v>17</v>
      </c>
      <c r="E29" t="s">
        <v>49</v>
      </c>
      <c r="F29" t="s">
        <v>36</v>
      </c>
      <c r="G29" t="s">
        <v>37</v>
      </c>
      <c r="H29" s="1" t="s">
        <v>33</v>
      </c>
      <c r="I29" t="s">
        <v>31</v>
      </c>
      <c r="J29">
        <v>4</v>
      </c>
      <c r="K29" s="1">
        <v>13000</v>
      </c>
      <c r="L29" s="2">
        <v>0.05</v>
      </c>
      <c r="M29" s="1">
        <v>49400</v>
      </c>
      <c r="N29" s="1">
        <v>36512.910000000003</v>
      </c>
      <c r="O29" s="1">
        <v>12887.09</v>
      </c>
    </row>
    <row r="30" spans="1:15" x14ac:dyDescent="0.25">
      <c r="A30" t="s">
        <v>74</v>
      </c>
      <c r="B30" s="5">
        <v>45696</v>
      </c>
      <c r="C30" t="s">
        <v>65</v>
      </c>
      <c r="D30" t="s">
        <v>17</v>
      </c>
      <c r="E30" t="s">
        <v>49</v>
      </c>
      <c r="F30" t="s">
        <v>25</v>
      </c>
      <c r="G30" t="s">
        <v>40</v>
      </c>
      <c r="H30" s="1" t="s">
        <v>30</v>
      </c>
      <c r="I30" t="s">
        <v>41</v>
      </c>
      <c r="J30">
        <v>2</v>
      </c>
      <c r="K30" s="1">
        <v>32000</v>
      </c>
      <c r="L30" s="2">
        <v>0.1</v>
      </c>
      <c r="M30" s="1">
        <v>57600</v>
      </c>
      <c r="N30" s="1">
        <v>40621.61</v>
      </c>
      <c r="O30" s="1">
        <v>16978.39</v>
      </c>
    </row>
    <row r="31" spans="1:15" x14ac:dyDescent="0.25">
      <c r="A31" t="s">
        <v>75</v>
      </c>
      <c r="B31" s="5">
        <v>45696</v>
      </c>
      <c r="C31" t="s">
        <v>65</v>
      </c>
      <c r="D31" t="s">
        <v>17</v>
      </c>
      <c r="E31" t="s">
        <v>49</v>
      </c>
      <c r="F31" t="s">
        <v>58</v>
      </c>
      <c r="G31" t="s">
        <v>53</v>
      </c>
      <c r="H31" s="1" t="s">
        <v>33</v>
      </c>
      <c r="I31" t="s">
        <v>22</v>
      </c>
      <c r="J31">
        <v>3</v>
      </c>
      <c r="K31" s="1">
        <v>564000</v>
      </c>
      <c r="L31" s="2">
        <v>0.05</v>
      </c>
      <c r="M31" s="1">
        <v>1607400</v>
      </c>
      <c r="N31" s="1">
        <v>1181368.1299999999</v>
      </c>
      <c r="O31" s="1">
        <v>426031.87</v>
      </c>
    </row>
    <row r="32" spans="1:15" x14ac:dyDescent="0.25">
      <c r="A32" t="s">
        <v>76</v>
      </c>
      <c r="B32" s="5">
        <v>45697</v>
      </c>
      <c r="C32" t="s">
        <v>65</v>
      </c>
      <c r="D32" t="s">
        <v>17</v>
      </c>
      <c r="E32" t="s">
        <v>24</v>
      </c>
      <c r="F32" t="s">
        <v>68</v>
      </c>
      <c r="G32" t="s">
        <v>53</v>
      </c>
      <c r="H32" s="1" t="s">
        <v>33</v>
      </c>
      <c r="I32" t="s">
        <v>31</v>
      </c>
      <c r="J32">
        <v>4</v>
      </c>
      <c r="K32" s="1">
        <v>263000</v>
      </c>
      <c r="L32" s="2">
        <v>0.02</v>
      </c>
      <c r="M32" s="1">
        <v>1030960</v>
      </c>
      <c r="N32" s="1">
        <v>769753.84</v>
      </c>
      <c r="O32" s="1">
        <v>261206.16</v>
      </c>
    </row>
    <row r="33" spans="1:15" x14ac:dyDescent="0.25">
      <c r="A33" t="s">
        <v>77</v>
      </c>
      <c r="B33" s="5">
        <v>45697</v>
      </c>
      <c r="C33" t="s">
        <v>65</v>
      </c>
      <c r="D33" t="s">
        <v>17</v>
      </c>
      <c r="E33" t="s">
        <v>47</v>
      </c>
      <c r="F33" t="s">
        <v>58</v>
      </c>
      <c r="G33" t="s">
        <v>20</v>
      </c>
      <c r="H33" s="1" t="s">
        <v>21</v>
      </c>
      <c r="I33" t="s">
        <v>31</v>
      </c>
      <c r="J33">
        <v>3</v>
      </c>
      <c r="K33" s="1">
        <v>803000</v>
      </c>
      <c r="L33" s="2">
        <v>0.05</v>
      </c>
      <c r="M33" s="1">
        <v>2288550</v>
      </c>
      <c r="N33" s="1">
        <v>1680399.39</v>
      </c>
      <c r="O33" s="1">
        <v>608150.61</v>
      </c>
    </row>
    <row r="34" spans="1:15" x14ac:dyDescent="0.25">
      <c r="A34" t="s">
        <v>78</v>
      </c>
      <c r="B34" s="5">
        <v>45698</v>
      </c>
      <c r="C34" t="s">
        <v>65</v>
      </c>
      <c r="D34" t="s">
        <v>17</v>
      </c>
      <c r="E34" t="s">
        <v>18</v>
      </c>
      <c r="F34" t="s">
        <v>29</v>
      </c>
      <c r="G34" t="s">
        <v>37</v>
      </c>
      <c r="H34" s="1" t="s">
        <v>33</v>
      </c>
      <c r="I34" t="s">
        <v>34</v>
      </c>
      <c r="J34">
        <v>5</v>
      </c>
      <c r="K34" s="1">
        <v>23000</v>
      </c>
      <c r="L34" s="2">
        <v>0</v>
      </c>
      <c r="M34" s="1">
        <v>115000</v>
      </c>
      <c r="N34" s="1">
        <v>90046.25</v>
      </c>
      <c r="O34" s="1">
        <v>24953.75</v>
      </c>
    </row>
    <row r="35" spans="1:15" x14ac:dyDescent="0.25">
      <c r="A35" t="s">
        <v>79</v>
      </c>
      <c r="B35" s="5">
        <v>45698</v>
      </c>
      <c r="C35" t="s">
        <v>65</v>
      </c>
      <c r="D35" t="s">
        <v>17</v>
      </c>
      <c r="E35" t="s">
        <v>18</v>
      </c>
      <c r="F35" t="s">
        <v>58</v>
      </c>
      <c r="G35" t="s">
        <v>53</v>
      </c>
      <c r="H35" s="1" t="s">
        <v>30</v>
      </c>
      <c r="I35" t="s">
        <v>31</v>
      </c>
      <c r="J35">
        <v>2</v>
      </c>
      <c r="K35" s="1">
        <v>397000</v>
      </c>
      <c r="L35" s="2">
        <v>0.02</v>
      </c>
      <c r="M35" s="1">
        <v>778120</v>
      </c>
      <c r="N35" s="1">
        <v>494531.78</v>
      </c>
      <c r="O35" s="1">
        <v>283588.21999999997</v>
      </c>
    </row>
    <row r="36" spans="1:15" x14ac:dyDescent="0.25">
      <c r="A36" t="s">
        <v>80</v>
      </c>
      <c r="B36" s="5">
        <v>45699</v>
      </c>
      <c r="C36" t="s">
        <v>65</v>
      </c>
      <c r="D36" t="s">
        <v>17</v>
      </c>
      <c r="E36" t="s">
        <v>24</v>
      </c>
      <c r="F36" t="s">
        <v>25</v>
      </c>
      <c r="G36" t="s">
        <v>45</v>
      </c>
      <c r="H36" s="1" t="s">
        <v>33</v>
      </c>
      <c r="I36" t="s">
        <v>41</v>
      </c>
      <c r="J36">
        <v>3</v>
      </c>
      <c r="K36" s="1">
        <v>289000</v>
      </c>
      <c r="L36" s="2">
        <v>0</v>
      </c>
      <c r="M36" s="1">
        <v>867000</v>
      </c>
      <c r="N36" s="1">
        <v>605942.18999999994</v>
      </c>
      <c r="O36" s="1">
        <v>261057.81</v>
      </c>
    </row>
    <row r="37" spans="1:15" x14ac:dyDescent="0.25">
      <c r="A37" t="s">
        <v>81</v>
      </c>
      <c r="B37" s="5">
        <v>45699</v>
      </c>
      <c r="C37" t="s">
        <v>65</v>
      </c>
      <c r="D37" t="s">
        <v>17</v>
      </c>
      <c r="E37" t="s">
        <v>49</v>
      </c>
      <c r="F37" t="s">
        <v>68</v>
      </c>
      <c r="G37" t="s">
        <v>20</v>
      </c>
      <c r="H37" s="1" t="s">
        <v>30</v>
      </c>
      <c r="I37" t="s">
        <v>22</v>
      </c>
      <c r="J37">
        <v>2</v>
      </c>
      <c r="K37" s="1">
        <v>506000</v>
      </c>
      <c r="L37" s="2">
        <v>0.02</v>
      </c>
      <c r="M37" s="1">
        <v>991760</v>
      </c>
      <c r="N37" s="1">
        <v>748945.66</v>
      </c>
      <c r="O37" s="1">
        <v>242814.34</v>
      </c>
    </row>
    <row r="38" spans="1:15" x14ac:dyDescent="0.25">
      <c r="A38" t="s">
        <v>82</v>
      </c>
      <c r="B38" s="5">
        <v>45700</v>
      </c>
      <c r="C38" t="s">
        <v>65</v>
      </c>
      <c r="D38" t="s">
        <v>17</v>
      </c>
      <c r="E38" t="s">
        <v>24</v>
      </c>
      <c r="F38" t="s">
        <v>36</v>
      </c>
      <c r="G38" t="s">
        <v>20</v>
      </c>
      <c r="H38" s="1" t="s">
        <v>30</v>
      </c>
      <c r="I38" t="s">
        <v>41</v>
      </c>
      <c r="J38">
        <v>3</v>
      </c>
      <c r="K38" s="1">
        <v>509000</v>
      </c>
      <c r="L38" s="2">
        <v>0</v>
      </c>
      <c r="M38" s="1">
        <v>1527000</v>
      </c>
      <c r="N38" s="1">
        <v>1092322.8</v>
      </c>
      <c r="O38" s="1">
        <v>434677.2</v>
      </c>
    </row>
    <row r="39" spans="1:15" x14ac:dyDescent="0.25">
      <c r="A39" t="s">
        <v>83</v>
      </c>
      <c r="B39" s="5">
        <v>45701</v>
      </c>
      <c r="C39" t="s">
        <v>65</v>
      </c>
      <c r="D39" t="s">
        <v>17</v>
      </c>
      <c r="E39" t="s">
        <v>49</v>
      </c>
      <c r="F39" t="s">
        <v>43</v>
      </c>
      <c r="G39" t="s">
        <v>37</v>
      </c>
      <c r="H39" s="1" t="s">
        <v>21</v>
      </c>
      <c r="I39" t="s">
        <v>22</v>
      </c>
      <c r="J39">
        <v>3</v>
      </c>
      <c r="K39" s="1">
        <v>20000</v>
      </c>
      <c r="L39" s="2">
        <v>0</v>
      </c>
      <c r="M39" s="1">
        <v>60000</v>
      </c>
      <c r="N39" s="1">
        <v>41323.96</v>
      </c>
      <c r="O39" s="1">
        <v>18676.04</v>
      </c>
    </row>
    <row r="40" spans="1:15" x14ac:dyDescent="0.25">
      <c r="A40" t="s">
        <v>84</v>
      </c>
      <c r="B40" s="5">
        <v>45703</v>
      </c>
      <c r="C40" t="s">
        <v>65</v>
      </c>
      <c r="D40" t="s">
        <v>17</v>
      </c>
      <c r="E40" t="s">
        <v>18</v>
      </c>
      <c r="F40" t="s">
        <v>43</v>
      </c>
      <c r="G40" t="s">
        <v>26</v>
      </c>
      <c r="H40" s="1" t="s">
        <v>21</v>
      </c>
      <c r="I40" t="s">
        <v>31</v>
      </c>
      <c r="J40">
        <v>5</v>
      </c>
      <c r="K40" s="1">
        <v>198000</v>
      </c>
      <c r="L40" s="2">
        <v>0</v>
      </c>
      <c r="M40" s="1">
        <v>990000</v>
      </c>
      <c r="N40" s="1">
        <v>766440.45</v>
      </c>
      <c r="O40" s="1">
        <v>223559.55</v>
      </c>
    </row>
    <row r="41" spans="1:15" x14ac:dyDescent="0.25">
      <c r="A41" t="s">
        <v>85</v>
      </c>
      <c r="B41" s="5">
        <v>45703</v>
      </c>
      <c r="C41" t="s">
        <v>65</v>
      </c>
      <c r="D41" t="s">
        <v>17</v>
      </c>
      <c r="E41" t="s">
        <v>18</v>
      </c>
      <c r="F41" t="s">
        <v>36</v>
      </c>
      <c r="G41" t="s">
        <v>20</v>
      </c>
      <c r="H41" s="1" t="s">
        <v>33</v>
      </c>
      <c r="I41" t="s">
        <v>22</v>
      </c>
      <c r="J41">
        <v>3</v>
      </c>
      <c r="K41" s="1">
        <v>748000</v>
      </c>
      <c r="L41" s="2">
        <v>0</v>
      </c>
      <c r="M41" s="1">
        <v>2244000</v>
      </c>
      <c r="N41" s="1">
        <v>1696803.24</v>
      </c>
      <c r="O41" s="1">
        <v>547196.76</v>
      </c>
    </row>
    <row r="42" spans="1:15" x14ac:dyDescent="0.25">
      <c r="A42" t="s">
        <v>86</v>
      </c>
      <c r="B42" s="5">
        <v>45706</v>
      </c>
      <c r="C42" t="s">
        <v>65</v>
      </c>
      <c r="D42" t="s">
        <v>17</v>
      </c>
      <c r="E42" t="s">
        <v>18</v>
      </c>
      <c r="F42" t="s">
        <v>36</v>
      </c>
      <c r="G42" t="s">
        <v>53</v>
      </c>
      <c r="H42" s="1" t="s">
        <v>21</v>
      </c>
      <c r="I42" t="s">
        <v>41</v>
      </c>
      <c r="J42">
        <v>2</v>
      </c>
      <c r="K42" s="1">
        <v>467000</v>
      </c>
      <c r="L42" s="2">
        <v>0</v>
      </c>
      <c r="M42" s="1">
        <v>934000</v>
      </c>
      <c r="N42" s="1">
        <v>675575.77</v>
      </c>
      <c r="O42" s="1">
        <v>258424.23</v>
      </c>
    </row>
    <row r="43" spans="1:15" x14ac:dyDescent="0.25">
      <c r="A43" t="s">
        <v>87</v>
      </c>
      <c r="B43" s="5">
        <v>45706</v>
      </c>
      <c r="C43" t="s">
        <v>65</v>
      </c>
      <c r="D43" t="s">
        <v>17</v>
      </c>
      <c r="E43" t="s">
        <v>18</v>
      </c>
      <c r="F43" t="s">
        <v>25</v>
      </c>
      <c r="G43" t="s">
        <v>40</v>
      </c>
      <c r="H43" s="1" t="s">
        <v>33</v>
      </c>
      <c r="I43" t="s">
        <v>41</v>
      </c>
      <c r="J43">
        <v>2</v>
      </c>
      <c r="K43" s="1">
        <v>21000</v>
      </c>
      <c r="L43" s="2">
        <v>0.05</v>
      </c>
      <c r="M43" s="1">
        <v>39900</v>
      </c>
      <c r="N43" s="1">
        <v>30882.16</v>
      </c>
      <c r="O43" s="1">
        <v>9017.84</v>
      </c>
    </row>
    <row r="44" spans="1:15" x14ac:dyDescent="0.25">
      <c r="A44" t="s">
        <v>88</v>
      </c>
      <c r="B44" s="5">
        <v>45706</v>
      </c>
      <c r="C44" t="s">
        <v>65</v>
      </c>
      <c r="D44" t="s">
        <v>17</v>
      </c>
      <c r="E44" t="s">
        <v>18</v>
      </c>
      <c r="F44" t="s">
        <v>29</v>
      </c>
      <c r="G44" t="s">
        <v>53</v>
      </c>
      <c r="H44" s="1" t="s">
        <v>30</v>
      </c>
      <c r="I44" t="s">
        <v>31</v>
      </c>
      <c r="J44">
        <v>3</v>
      </c>
      <c r="K44" s="1">
        <v>408000</v>
      </c>
      <c r="L44" s="2">
        <v>0</v>
      </c>
      <c r="M44" s="1">
        <v>1224000</v>
      </c>
      <c r="N44" s="1">
        <v>788991.21</v>
      </c>
      <c r="O44" s="1">
        <v>435008.79</v>
      </c>
    </row>
    <row r="45" spans="1:15" x14ac:dyDescent="0.25">
      <c r="A45" t="s">
        <v>89</v>
      </c>
      <c r="B45" s="5">
        <v>45709</v>
      </c>
      <c r="C45" t="s">
        <v>65</v>
      </c>
      <c r="D45" t="s">
        <v>17</v>
      </c>
      <c r="E45" t="s">
        <v>47</v>
      </c>
      <c r="F45" t="s">
        <v>25</v>
      </c>
      <c r="G45" t="s">
        <v>53</v>
      </c>
      <c r="H45" s="1" t="s">
        <v>21</v>
      </c>
      <c r="I45" t="s">
        <v>22</v>
      </c>
      <c r="J45">
        <v>1</v>
      </c>
      <c r="K45" s="1">
        <v>405000</v>
      </c>
      <c r="L45" s="2">
        <v>0</v>
      </c>
      <c r="M45" s="1">
        <v>405000</v>
      </c>
      <c r="N45" s="1">
        <v>301105.49</v>
      </c>
      <c r="O45" s="1">
        <v>103894.51</v>
      </c>
    </row>
    <row r="46" spans="1:15" x14ac:dyDescent="0.25">
      <c r="A46" t="s">
        <v>90</v>
      </c>
      <c r="B46" s="5">
        <v>45710</v>
      </c>
      <c r="C46" t="s">
        <v>65</v>
      </c>
      <c r="D46" t="s">
        <v>17</v>
      </c>
      <c r="E46" t="s">
        <v>24</v>
      </c>
      <c r="F46" t="s">
        <v>29</v>
      </c>
      <c r="G46" t="s">
        <v>40</v>
      </c>
      <c r="H46" s="1" t="s">
        <v>33</v>
      </c>
      <c r="I46" t="s">
        <v>31</v>
      </c>
      <c r="J46">
        <v>2</v>
      </c>
      <c r="K46" s="1">
        <v>32000</v>
      </c>
      <c r="L46" s="2">
        <v>0</v>
      </c>
      <c r="M46" s="1">
        <v>64000</v>
      </c>
      <c r="N46" s="1">
        <v>48288.24</v>
      </c>
      <c r="O46" s="1">
        <v>15711.76</v>
      </c>
    </row>
    <row r="47" spans="1:15" x14ac:dyDescent="0.25">
      <c r="A47" t="s">
        <v>91</v>
      </c>
      <c r="B47" s="5">
        <v>45715</v>
      </c>
      <c r="C47" t="s">
        <v>65</v>
      </c>
      <c r="D47" t="s">
        <v>17</v>
      </c>
      <c r="E47" t="s">
        <v>18</v>
      </c>
      <c r="F47" t="s">
        <v>36</v>
      </c>
      <c r="G47" t="s">
        <v>53</v>
      </c>
      <c r="H47" s="1" t="s">
        <v>33</v>
      </c>
      <c r="I47" t="s">
        <v>41</v>
      </c>
      <c r="J47">
        <v>6</v>
      </c>
      <c r="K47" s="1">
        <v>433000</v>
      </c>
      <c r="L47" s="2">
        <v>0.02</v>
      </c>
      <c r="M47" s="1">
        <v>2546040</v>
      </c>
      <c r="N47" s="1">
        <v>1849931.17</v>
      </c>
      <c r="O47" s="1">
        <v>696108.83</v>
      </c>
    </row>
    <row r="48" spans="1:15" x14ac:dyDescent="0.25">
      <c r="A48" t="s">
        <v>92</v>
      </c>
      <c r="B48" s="5">
        <v>45715</v>
      </c>
      <c r="C48" t="s">
        <v>65</v>
      </c>
      <c r="D48" t="s">
        <v>17</v>
      </c>
      <c r="E48" t="s">
        <v>28</v>
      </c>
      <c r="F48" t="s">
        <v>68</v>
      </c>
      <c r="G48" t="s">
        <v>51</v>
      </c>
      <c r="H48" s="1" t="s">
        <v>30</v>
      </c>
      <c r="I48" t="s">
        <v>22</v>
      </c>
      <c r="J48">
        <v>4</v>
      </c>
      <c r="K48" s="1">
        <v>72000</v>
      </c>
      <c r="L48" s="2">
        <v>0</v>
      </c>
      <c r="M48" s="1">
        <v>288000</v>
      </c>
      <c r="N48" s="1">
        <v>196528.43</v>
      </c>
      <c r="O48" s="1">
        <v>91471.57</v>
      </c>
    </row>
    <row r="49" spans="1:15" x14ac:dyDescent="0.25">
      <c r="A49" t="s">
        <v>93</v>
      </c>
      <c r="B49" s="5">
        <v>45717</v>
      </c>
      <c r="C49" t="s">
        <v>94</v>
      </c>
      <c r="D49" t="s">
        <v>17</v>
      </c>
      <c r="E49" t="s">
        <v>18</v>
      </c>
      <c r="F49" t="s">
        <v>25</v>
      </c>
      <c r="G49" t="s">
        <v>20</v>
      </c>
      <c r="H49" s="1" t="s">
        <v>30</v>
      </c>
      <c r="I49" t="s">
        <v>34</v>
      </c>
      <c r="J49">
        <v>3</v>
      </c>
      <c r="K49" s="1">
        <v>571000</v>
      </c>
      <c r="L49" s="2">
        <v>0</v>
      </c>
      <c r="M49" s="1">
        <v>1713000</v>
      </c>
      <c r="N49" s="1">
        <v>1345687.92</v>
      </c>
      <c r="O49" s="1">
        <v>367312.08</v>
      </c>
    </row>
    <row r="50" spans="1:15" x14ac:dyDescent="0.25">
      <c r="A50" t="s">
        <v>95</v>
      </c>
      <c r="B50" s="5">
        <v>45719</v>
      </c>
      <c r="C50" t="s">
        <v>94</v>
      </c>
      <c r="D50" t="s">
        <v>17</v>
      </c>
      <c r="E50" t="s">
        <v>49</v>
      </c>
      <c r="F50" t="s">
        <v>29</v>
      </c>
      <c r="G50" t="s">
        <v>26</v>
      </c>
      <c r="H50" s="1" t="s">
        <v>33</v>
      </c>
      <c r="I50" t="s">
        <v>22</v>
      </c>
      <c r="J50">
        <v>4</v>
      </c>
      <c r="K50" s="1">
        <v>232000</v>
      </c>
      <c r="L50" s="2">
        <v>0</v>
      </c>
      <c r="M50" s="1">
        <v>928000</v>
      </c>
      <c r="N50" s="1">
        <v>742873.82</v>
      </c>
      <c r="O50" s="1">
        <v>185126.18</v>
      </c>
    </row>
    <row r="51" spans="1:15" x14ac:dyDescent="0.25">
      <c r="A51" t="s">
        <v>96</v>
      </c>
      <c r="B51" s="5">
        <v>45719</v>
      </c>
      <c r="C51" t="s">
        <v>94</v>
      </c>
      <c r="D51" t="s">
        <v>17</v>
      </c>
      <c r="E51" t="s">
        <v>18</v>
      </c>
      <c r="F51" t="s">
        <v>58</v>
      </c>
      <c r="G51" t="s">
        <v>51</v>
      </c>
      <c r="H51" s="1" t="s">
        <v>30</v>
      </c>
      <c r="I51" t="s">
        <v>34</v>
      </c>
      <c r="J51">
        <v>2</v>
      </c>
      <c r="K51" s="1">
        <v>66000</v>
      </c>
      <c r="L51" s="2">
        <v>0</v>
      </c>
      <c r="M51" s="1">
        <v>132000</v>
      </c>
      <c r="N51" s="1">
        <v>91629.6</v>
      </c>
      <c r="O51" s="1">
        <v>40370.400000000001</v>
      </c>
    </row>
    <row r="52" spans="1:15" x14ac:dyDescent="0.25">
      <c r="A52" t="s">
        <v>97</v>
      </c>
      <c r="B52" s="5">
        <v>45719</v>
      </c>
      <c r="C52" t="s">
        <v>94</v>
      </c>
      <c r="D52" t="s">
        <v>17</v>
      </c>
      <c r="E52" t="s">
        <v>49</v>
      </c>
      <c r="F52" t="s">
        <v>36</v>
      </c>
      <c r="G52" t="s">
        <v>26</v>
      </c>
      <c r="H52" s="1" t="s">
        <v>21</v>
      </c>
      <c r="I52" t="s">
        <v>31</v>
      </c>
      <c r="J52">
        <v>2</v>
      </c>
      <c r="K52" s="1">
        <v>123000</v>
      </c>
      <c r="L52" s="2">
        <v>0.1</v>
      </c>
      <c r="M52" s="1">
        <v>221400</v>
      </c>
      <c r="N52" s="1">
        <v>148275.13</v>
      </c>
      <c r="O52" s="1">
        <v>73124.87</v>
      </c>
    </row>
    <row r="53" spans="1:15" x14ac:dyDescent="0.25">
      <c r="A53" t="s">
        <v>98</v>
      </c>
      <c r="B53" s="5">
        <v>45719</v>
      </c>
      <c r="C53" t="s">
        <v>94</v>
      </c>
      <c r="D53" t="s">
        <v>17</v>
      </c>
      <c r="E53" t="s">
        <v>47</v>
      </c>
      <c r="F53" t="s">
        <v>58</v>
      </c>
      <c r="G53" t="s">
        <v>40</v>
      </c>
      <c r="H53" s="1" t="s">
        <v>33</v>
      </c>
      <c r="I53" t="s">
        <v>41</v>
      </c>
      <c r="J53">
        <v>2</v>
      </c>
      <c r="K53" s="1">
        <v>36000</v>
      </c>
      <c r="L53" s="2">
        <v>0</v>
      </c>
      <c r="M53" s="1">
        <v>72000</v>
      </c>
      <c r="N53" s="1">
        <v>57407.1</v>
      </c>
      <c r="O53" s="1">
        <v>14592.9</v>
      </c>
    </row>
    <row r="54" spans="1:15" x14ac:dyDescent="0.25">
      <c r="A54" t="s">
        <v>99</v>
      </c>
      <c r="B54" s="5">
        <v>45720</v>
      </c>
      <c r="C54" t="s">
        <v>94</v>
      </c>
      <c r="D54" t="s">
        <v>17</v>
      </c>
      <c r="E54" t="s">
        <v>28</v>
      </c>
      <c r="F54" t="s">
        <v>29</v>
      </c>
      <c r="G54" t="s">
        <v>40</v>
      </c>
      <c r="H54" s="1" t="s">
        <v>21</v>
      </c>
      <c r="I54" t="s">
        <v>31</v>
      </c>
      <c r="J54">
        <v>2</v>
      </c>
      <c r="K54" s="1">
        <v>38000</v>
      </c>
      <c r="L54" s="2">
        <v>0</v>
      </c>
      <c r="M54" s="1">
        <v>76000</v>
      </c>
      <c r="N54" s="1">
        <v>56315.3</v>
      </c>
      <c r="O54" s="1">
        <v>19684.7</v>
      </c>
    </row>
    <row r="55" spans="1:15" x14ac:dyDescent="0.25">
      <c r="A55" t="s">
        <v>100</v>
      </c>
      <c r="B55" s="5">
        <v>45725</v>
      </c>
      <c r="C55" t="s">
        <v>94</v>
      </c>
      <c r="D55" t="s">
        <v>17</v>
      </c>
      <c r="E55" t="s">
        <v>24</v>
      </c>
      <c r="F55" t="s">
        <v>55</v>
      </c>
      <c r="G55" t="s">
        <v>51</v>
      </c>
      <c r="H55" s="1" t="s">
        <v>30</v>
      </c>
      <c r="I55" t="s">
        <v>34</v>
      </c>
      <c r="J55">
        <v>2</v>
      </c>
      <c r="K55" s="1">
        <v>22000</v>
      </c>
      <c r="L55" s="2">
        <v>0.02</v>
      </c>
      <c r="M55" s="1">
        <v>43120</v>
      </c>
      <c r="N55" s="1">
        <v>31898.52</v>
      </c>
      <c r="O55" s="1">
        <v>11221.48</v>
      </c>
    </row>
    <row r="56" spans="1:15" x14ac:dyDescent="0.25">
      <c r="A56" t="s">
        <v>101</v>
      </c>
      <c r="B56" s="5">
        <v>45729</v>
      </c>
      <c r="C56" t="s">
        <v>94</v>
      </c>
      <c r="D56" t="s">
        <v>17</v>
      </c>
      <c r="E56" t="s">
        <v>49</v>
      </c>
      <c r="F56" t="s">
        <v>36</v>
      </c>
      <c r="G56" t="s">
        <v>40</v>
      </c>
      <c r="H56" s="1" t="s">
        <v>33</v>
      </c>
      <c r="I56" t="s">
        <v>34</v>
      </c>
      <c r="J56">
        <v>5</v>
      </c>
      <c r="K56" s="1">
        <v>25000</v>
      </c>
      <c r="L56" s="2">
        <v>0</v>
      </c>
      <c r="M56" s="1">
        <v>125000</v>
      </c>
      <c r="N56" s="1">
        <v>88880.5</v>
      </c>
      <c r="O56" s="1">
        <v>36119.5</v>
      </c>
    </row>
    <row r="57" spans="1:15" x14ac:dyDescent="0.25">
      <c r="A57" t="s">
        <v>102</v>
      </c>
      <c r="B57" s="5">
        <v>45729</v>
      </c>
      <c r="C57" t="s">
        <v>94</v>
      </c>
      <c r="D57" t="s">
        <v>17</v>
      </c>
      <c r="E57" t="s">
        <v>18</v>
      </c>
      <c r="F57" t="s">
        <v>29</v>
      </c>
      <c r="G57" t="s">
        <v>20</v>
      </c>
      <c r="H57" s="1" t="s">
        <v>21</v>
      </c>
      <c r="I57" t="s">
        <v>31</v>
      </c>
      <c r="J57">
        <v>2</v>
      </c>
      <c r="K57" s="1">
        <v>710000</v>
      </c>
      <c r="L57" s="2">
        <v>0.05</v>
      </c>
      <c r="M57" s="1">
        <v>1349000</v>
      </c>
      <c r="N57" s="1">
        <v>964052.03</v>
      </c>
      <c r="O57" s="1">
        <v>384947.97</v>
      </c>
    </row>
    <row r="58" spans="1:15" x14ac:dyDescent="0.25">
      <c r="A58" t="s">
        <v>103</v>
      </c>
      <c r="B58" s="5">
        <v>45730</v>
      </c>
      <c r="C58" t="s">
        <v>94</v>
      </c>
      <c r="D58" t="s">
        <v>17</v>
      </c>
      <c r="E58" t="s">
        <v>18</v>
      </c>
      <c r="F58" t="s">
        <v>68</v>
      </c>
      <c r="G58" t="s">
        <v>26</v>
      </c>
      <c r="H58" s="1" t="s">
        <v>30</v>
      </c>
      <c r="I58" t="s">
        <v>22</v>
      </c>
      <c r="J58">
        <v>6</v>
      </c>
      <c r="K58" s="1">
        <v>157000</v>
      </c>
      <c r="L58" s="2">
        <v>0</v>
      </c>
      <c r="M58" s="1">
        <v>942000</v>
      </c>
      <c r="N58" s="1">
        <v>646230.75</v>
      </c>
      <c r="O58" s="1">
        <v>295769.25</v>
      </c>
    </row>
    <row r="59" spans="1:15" x14ac:dyDescent="0.25">
      <c r="A59" t="s">
        <v>104</v>
      </c>
      <c r="B59" s="5">
        <v>45730</v>
      </c>
      <c r="C59" t="s">
        <v>94</v>
      </c>
      <c r="D59" t="s">
        <v>17</v>
      </c>
      <c r="E59" t="s">
        <v>18</v>
      </c>
      <c r="F59" t="s">
        <v>55</v>
      </c>
      <c r="G59" t="s">
        <v>20</v>
      </c>
      <c r="H59" s="1" t="s">
        <v>30</v>
      </c>
      <c r="I59" t="s">
        <v>41</v>
      </c>
      <c r="J59">
        <v>5</v>
      </c>
      <c r="K59" s="1">
        <v>604000</v>
      </c>
      <c r="L59" s="2">
        <v>0</v>
      </c>
      <c r="M59" s="1">
        <v>3020000</v>
      </c>
      <c r="N59" s="1">
        <v>1919279.25</v>
      </c>
      <c r="O59" s="1">
        <v>1100720.75</v>
      </c>
    </row>
    <row r="60" spans="1:15" x14ac:dyDescent="0.25">
      <c r="A60" t="s">
        <v>105</v>
      </c>
      <c r="B60" s="5">
        <v>45730</v>
      </c>
      <c r="C60" t="s">
        <v>94</v>
      </c>
      <c r="D60" t="s">
        <v>17</v>
      </c>
      <c r="E60" t="s">
        <v>18</v>
      </c>
      <c r="F60" t="s">
        <v>29</v>
      </c>
      <c r="G60" t="s">
        <v>51</v>
      </c>
      <c r="H60" s="1" t="s">
        <v>33</v>
      </c>
      <c r="I60" t="s">
        <v>31</v>
      </c>
      <c r="J60">
        <v>1</v>
      </c>
      <c r="K60" s="1">
        <v>72000</v>
      </c>
      <c r="L60" s="2">
        <v>0.02</v>
      </c>
      <c r="M60" s="1">
        <v>70560</v>
      </c>
      <c r="N60" s="1">
        <v>50439.64</v>
      </c>
      <c r="O60" s="1">
        <v>20120.36</v>
      </c>
    </row>
    <row r="61" spans="1:15" x14ac:dyDescent="0.25">
      <c r="A61" t="s">
        <v>106</v>
      </c>
      <c r="B61" s="5">
        <v>45732</v>
      </c>
      <c r="C61" t="s">
        <v>94</v>
      </c>
      <c r="D61" t="s">
        <v>17</v>
      </c>
      <c r="E61" t="s">
        <v>18</v>
      </c>
      <c r="F61" t="s">
        <v>29</v>
      </c>
      <c r="G61" t="s">
        <v>53</v>
      </c>
      <c r="H61" s="1" t="s">
        <v>33</v>
      </c>
      <c r="I61" t="s">
        <v>22</v>
      </c>
      <c r="J61">
        <v>2</v>
      </c>
      <c r="K61" s="1">
        <v>413000</v>
      </c>
      <c r="L61" s="2">
        <v>0</v>
      </c>
      <c r="M61" s="1">
        <v>826000</v>
      </c>
      <c r="N61" s="1">
        <v>616122.93000000005</v>
      </c>
      <c r="O61" s="1">
        <v>209877.07</v>
      </c>
    </row>
    <row r="62" spans="1:15" x14ac:dyDescent="0.25">
      <c r="A62" t="s">
        <v>107</v>
      </c>
      <c r="B62" s="5">
        <v>45733</v>
      </c>
      <c r="C62" t="s">
        <v>94</v>
      </c>
      <c r="D62" t="s">
        <v>17</v>
      </c>
      <c r="E62" t="s">
        <v>49</v>
      </c>
      <c r="F62" t="s">
        <v>68</v>
      </c>
      <c r="G62" t="s">
        <v>51</v>
      </c>
      <c r="H62" s="1" t="s">
        <v>30</v>
      </c>
      <c r="I62" t="s">
        <v>34</v>
      </c>
      <c r="J62">
        <v>3</v>
      </c>
      <c r="K62" s="1">
        <v>50000</v>
      </c>
      <c r="L62" s="2">
        <v>0</v>
      </c>
      <c r="M62" s="1">
        <v>150000</v>
      </c>
      <c r="N62" s="1">
        <v>102508.4</v>
      </c>
      <c r="O62" s="1">
        <v>47491.6</v>
      </c>
    </row>
    <row r="63" spans="1:15" x14ac:dyDescent="0.25">
      <c r="A63" t="s">
        <v>108</v>
      </c>
      <c r="B63" s="5">
        <v>45733</v>
      </c>
      <c r="C63" t="s">
        <v>94</v>
      </c>
      <c r="D63" t="s">
        <v>17</v>
      </c>
      <c r="E63" t="s">
        <v>18</v>
      </c>
      <c r="F63" t="s">
        <v>29</v>
      </c>
      <c r="G63" t="s">
        <v>51</v>
      </c>
      <c r="H63" s="1" t="s">
        <v>30</v>
      </c>
      <c r="I63" t="s">
        <v>34</v>
      </c>
      <c r="J63">
        <v>1</v>
      </c>
      <c r="K63" s="1">
        <v>73000</v>
      </c>
      <c r="L63" s="2">
        <v>0.02</v>
      </c>
      <c r="M63" s="1">
        <v>71540</v>
      </c>
      <c r="N63" s="1">
        <v>57780.58</v>
      </c>
      <c r="O63" s="1">
        <v>13759.42</v>
      </c>
    </row>
    <row r="64" spans="1:15" x14ac:dyDescent="0.25">
      <c r="A64" t="s">
        <v>109</v>
      </c>
      <c r="B64" s="5">
        <v>45735</v>
      </c>
      <c r="C64" t="s">
        <v>94</v>
      </c>
      <c r="D64" t="s">
        <v>17</v>
      </c>
      <c r="E64" t="s">
        <v>24</v>
      </c>
      <c r="F64" t="s">
        <v>68</v>
      </c>
      <c r="G64" t="s">
        <v>26</v>
      </c>
      <c r="H64" s="1" t="s">
        <v>30</v>
      </c>
      <c r="I64" t="s">
        <v>41</v>
      </c>
      <c r="J64">
        <v>5</v>
      </c>
      <c r="K64" s="1">
        <v>210000</v>
      </c>
      <c r="L64" s="2">
        <v>0</v>
      </c>
      <c r="M64" s="1">
        <v>1050000</v>
      </c>
      <c r="N64" s="1">
        <v>737080.03</v>
      </c>
      <c r="O64" s="1">
        <v>312919.96999999997</v>
      </c>
    </row>
    <row r="65" spans="1:15" x14ac:dyDescent="0.25">
      <c r="A65" t="s">
        <v>110</v>
      </c>
      <c r="B65" s="5">
        <v>45738</v>
      </c>
      <c r="C65" t="s">
        <v>94</v>
      </c>
      <c r="D65" t="s">
        <v>17</v>
      </c>
      <c r="E65" t="s">
        <v>18</v>
      </c>
      <c r="F65" t="s">
        <v>55</v>
      </c>
      <c r="G65" t="s">
        <v>53</v>
      </c>
      <c r="H65" s="1" t="s">
        <v>30</v>
      </c>
      <c r="I65" t="s">
        <v>34</v>
      </c>
      <c r="J65">
        <v>4</v>
      </c>
      <c r="K65" s="1">
        <v>296000</v>
      </c>
      <c r="L65" s="2">
        <v>0.02</v>
      </c>
      <c r="M65" s="1">
        <v>1160320</v>
      </c>
      <c r="N65" s="1">
        <v>753764.05</v>
      </c>
      <c r="O65" s="1">
        <v>406555.95</v>
      </c>
    </row>
    <row r="66" spans="1:15" x14ac:dyDescent="0.25">
      <c r="A66" t="s">
        <v>111</v>
      </c>
      <c r="B66" s="5">
        <v>45739</v>
      </c>
      <c r="C66" t="s">
        <v>94</v>
      </c>
      <c r="D66" t="s">
        <v>17</v>
      </c>
      <c r="E66" t="s">
        <v>28</v>
      </c>
      <c r="F66" t="s">
        <v>68</v>
      </c>
      <c r="G66" t="s">
        <v>37</v>
      </c>
      <c r="H66" s="1" t="s">
        <v>30</v>
      </c>
      <c r="I66" t="s">
        <v>22</v>
      </c>
      <c r="J66">
        <v>1</v>
      </c>
      <c r="K66" s="1">
        <v>26000</v>
      </c>
      <c r="L66" s="2">
        <v>0.05</v>
      </c>
      <c r="M66" s="1">
        <v>24700</v>
      </c>
      <c r="N66" s="1">
        <v>18490.05</v>
      </c>
      <c r="O66" s="1">
        <v>6209.95</v>
      </c>
    </row>
    <row r="67" spans="1:15" x14ac:dyDescent="0.25">
      <c r="A67" t="s">
        <v>112</v>
      </c>
      <c r="B67" s="5">
        <v>45740</v>
      </c>
      <c r="C67" t="s">
        <v>94</v>
      </c>
      <c r="D67" t="s">
        <v>17</v>
      </c>
      <c r="E67" t="s">
        <v>18</v>
      </c>
      <c r="F67" t="s">
        <v>25</v>
      </c>
      <c r="G67" t="s">
        <v>20</v>
      </c>
      <c r="H67" s="1" t="s">
        <v>33</v>
      </c>
      <c r="I67" t="s">
        <v>34</v>
      </c>
      <c r="J67">
        <v>1</v>
      </c>
      <c r="K67" s="1">
        <v>847000</v>
      </c>
      <c r="L67" s="2">
        <v>0.02</v>
      </c>
      <c r="M67" s="1">
        <v>830060</v>
      </c>
      <c r="N67" s="1">
        <v>677939.71</v>
      </c>
      <c r="O67" s="1">
        <v>152120.29</v>
      </c>
    </row>
    <row r="68" spans="1:15" x14ac:dyDescent="0.25">
      <c r="A68" t="s">
        <v>113</v>
      </c>
      <c r="B68" s="5">
        <v>45741</v>
      </c>
      <c r="C68" t="s">
        <v>94</v>
      </c>
      <c r="D68" t="s">
        <v>17</v>
      </c>
      <c r="E68" t="s">
        <v>49</v>
      </c>
      <c r="F68" t="s">
        <v>43</v>
      </c>
      <c r="G68" t="s">
        <v>40</v>
      </c>
      <c r="H68" s="1" t="s">
        <v>33</v>
      </c>
      <c r="I68" t="s">
        <v>41</v>
      </c>
      <c r="J68">
        <v>1</v>
      </c>
      <c r="K68" s="1">
        <v>40000</v>
      </c>
      <c r="L68" s="2">
        <v>0.02</v>
      </c>
      <c r="M68" s="1">
        <v>39200</v>
      </c>
      <c r="N68" s="1">
        <v>25699.8</v>
      </c>
      <c r="O68" s="1">
        <v>13500.2</v>
      </c>
    </row>
    <row r="69" spans="1:15" x14ac:dyDescent="0.25">
      <c r="A69" t="s">
        <v>114</v>
      </c>
      <c r="B69" s="5">
        <v>45741</v>
      </c>
      <c r="C69" t="s">
        <v>94</v>
      </c>
      <c r="D69" t="s">
        <v>17</v>
      </c>
      <c r="E69" t="s">
        <v>28</v>
      </c>
      <c r="F69" t="s">
        <v>43</v>
      </c>
      <c r="G69" t="s">
        <v>40</v>
      </c>
      <c r="H69" s="1" t="s">
        <v>33</v>
      </c>
      <c r="I69" t="s">
        <v>22</v>
      </c>
      <c r="J69">
        <v>4</v>
      </c>
      <c r="K69" s="1">
        <v>47000</v>
      </c>
      <c r="L69" s="2">
        <v>0</v>
      </c>
      <c r="M69" s="1">
        <v>188000</v>
      </c>
      <c r="N69" s="1">
        <v>138981.69</v>
      </c>
      <c r="O69" s="1">
        <v>49018.31</v>
      </c>
    </row>
    <row r="70" spans="1:15" x14ac:dyDescent="0.25">
      <c r="A70" t="s">
        <v>115</v>
      </c>
      <c r="B70" s="5">
        <v>45743</v>
      </c>
      <c r="C70" t="s">
        <v>94</v>
      </c>
      <c r="D70" t="s">
        <v>17</v>
      </c>
      <c r="E70" t="s">
        <v>28</v>
      </c>
      <c r="F70" t="s">
        <v>36</v>
      </c>
      <c r="G70" t="s">
        <v>40</v>
      </c>
      <c r="H70" s="1" t="s">
        <v>33</v>
      </c>
      <c r="I70" t="s">
        <v>22</v>
      </c>
      <c r="J70">
        <v>3</v>
      </c>
      <c r="K70" s="1">
        <v>16000</v>
      </c>
      <c r="L70" s="2">
        <v>0.1</v>
      </c>
      <c r="M70" s="1">
        <v>43200</v>
      </c>
      <c r="N70" s="1">
        <v>31586.17</v>
      </c>
      <c r="O70" s="1">
        <v>11613.83</v>
      </c>
    </row>
    <row r="71" spans="1:15" x14ac:dyDescent="0.25">
      <c r="A71" t="s">
        <v>116</v>
      </c>
      <c r="B71" s="5">
        <v>45743</v>
      </c>
      <c r="C71" t="s">
        <v>94</v>
      </c>
      <c r="D71" t="s">
        <v>17</v>
      </c>
      <c r="E71" t="s">
        <v>18</v>
      </c>
      <c r="F71" t="s">
        <v>36</v>
      </c>
      <c r="G71" t="s">
        <v>26</v>
      </c>
      <c r="H71" s="1" t="s">
        <v>33</v>
      </c>
      <c r="I71" t="s">
        <v>22</v>
      </c>
      <c r="J71">
        <v>2</v>
      </c>
      <c r="K71" s="1">
        <v>206000</v>
      </c>
      <c r="L71" s="2">
        <v>0</v>
      </c>
      <c r="M71" s="1">
        <v>412000</v>
      </c>
      <c r="N71" s="1">
        <v>284772.15000000002</v>
      </c>
      <c r="O71" s="1">
        <v>127227.85</v>
      </c>
    </row>
    <row r="72" spans="1:15" x14ac:dyDescent="0.25">
      <c r="A72" t="s">
        <v>117</v>
      </c>
      <c r="B72" s="5">
        <v>45744</v>
      </c>
      <c r="C72" t="s">
        <v>94</v>
      </c>
      <c r="D72" t="s">
        <v>17</v>
      </c>
      <c r="E72" t="s">
        <v>47</v>
      </c>
      <c r="F72" t="s">
        <v>36</v>
      </c>
      <c r="G72" t="s">
        <v>40</v>
      </c>
      <c r="H72" s="1" t="s">
        <v>21</v>
      </c>
      <c r="I72" t="s">
        <v>22</v>
      </c>
      <c r="J72">
        <v>1</v>
      </c>
      <c r="K72" s="1">
        <v>44000</v>
      </c>
      <c r="L72" s="2">
        <v>0.02</v>
      </c>
      <c r="M72" s="1">
        <v>43120</v>
      </c>
      <c r="N72" s="1">
        <v>34573.9</v>
      </c>
      <c r="O72" s="1">
        <v>8546.1</v>
      </c>
    </row>
    <row r="73" spans="1:15" x14ac:dyDescent="0.25">
      <c r="A73" t="s">
        <v>118</v>
      </c>
      <c r="B73" s="5">
        <v>45745</v>
      </c>
      <c r="C73" t="s">
        <v>94</v>
      </c>
      <c r="D73" t="s">
        <v>17</v>
      </c>
      <c r="E73" t="s">
        <v>24</v>
      </c>
      <c r="F73" t="s">
        <v>29</v>
      </c>
      <c r="G73" t="s">
        <v>53</v>
      </c>
      <c r="H73" s="1" t="s">
        <v>33</v>
      </c>
      <c r="I73" t="s">
        <v>41</v>
      </c>
      <c r="J73">
        <v>4</v>
      </c>
      <c r="K73" s="1">
        <v>548000</v>
      </c>
      <c r="L73" s="2">
        <v>0.02</v>
      </c>
      <c r="M73" s="1">
        <v>2148160</v>
      </c>
      <c r="N73" s="1">
        <v>1716692.06</v>
      </c>
      <c r="O73" s="1">
        <v>431467.94</v>
      </c>
    </row>
    <row r="74" spans="1:15" x14ac:dyDescent="0.25">
      <c r="A74" t="s">
        <v>119</v>
      </c>
      <c r="B74" s="5">
        <v>45746</v>
      </c>
      <c r="C74" t="s">
        <v>94</v>
      </c>
      <c r="D74" t="s">
        <v>17</v>
      </c>
      <c r="E74" t="s">
        <v>47</v>
      </c>
      <c r="F74" t="s">
        <v>58</v>
      </c>
      <c r="G74" t="s">
        <v>40</v>
      </c>
      <c r="H74" s="1" t="s">
        <v>21</v>
      </c>
      <c r="I74" t="s">
        <v>31</v>
      </c>
      <c r="J74">
        <v>4</v>
      </c>
      <c r="K74" s="1">
        <v>45000</v>
      </c>
      <c r="L74" s="2">
        <v>0.02</v>
      </c>
      <c r="M74" s="1">
        <v>176400</v>
      </c>
      <c r="N74" s="1">
        <v>143962.75</v>
      </c>
      <c r="O74" s="1">
        <v>32437.25</v>
      </c>
    </row>
    <row r="75" spans="1:15" x14ac:dyDescent="0.25">
      <c r="A75" t="s">
        <v>120</v>
      </c>
      <c r="B75" s="5">
        <v>45746</v>
      </c>
      <c r="C75" t="s">
        <v>94</v>
      </c>
      <c r="D75" t="s">
        <v>17</v>
      </c>
      <c r="E75" t="s">
        <v>18</v>
      </c>
      <c r="F75" t="s">
        <v>29</v>
      </c>
      <c r="G75" t="s">
        <v>37</v>
      </c>
      <c r="H75" s="1" t="s">
        <v>33</v>
      </c>
      <c r="I75" t="s">
        <v>22</v>
      </c>
      <c r="J75">
        <v>5</v>
      </c>
      <c r="K75" s="1">
        <v>17000</v>
      </c>
      <c r="L75" s="2">
        <v>0</v>
      </c>
      <c r="M75" s="1">
        <v>85000</v>
      </c>
      <c r="N75" s="1">
        <v>61956.31</v>
      </c>
      <c r="O75" s="1">
        <v>23043.69</v>
      </c>
    </row>
    <row r="76" spans="1:15" x14ac:dyDescent="0.25">
      <c r="A76" t="s">
        <v>121</v>
      </c>
      <c r="B76" s="5">
        <v>45747</v>
      </c>
      <c r="C76" t="s">
        <v>94</v>
      </c>
      <c r="D76" t="s">
        <v>17</v>
      </c>
      <c r="E76" t="s">
        <v>18</v>
      </c>
      <c r="F76" t="s">
        <v>58</v>
      </c>
      <c r="G76" t="s">
        <v>40</v>
      </c>
      <c r="H76" s="1" t="s">
        <v>33</v>
      </c>
      <c r="I76" t="s">
        <v>41</v>
      </c>
      <c r="J76">
        <v>4</v>
      </c>
      <c r="K76" s="1">
        <v>18000</v>
      </c>
      <c r="L76" s="2">
        <v>0</v>
      </c>
      <c r="M76" s="1">
        <v>72000</v>
      </c>
      <c r="N76" s="1">
        <v>58704.84</v>
      </c>
      <c r="O76" s="1">
        <v>13295.16</v>
      </c>
    </row>
    <row r="77" spans="1:15" x14ac:dyDescent="0.25">
      <c r="A77" t="s">
        <v>122</v>
      </c>
      <c r="B77" s="5">
        <v>45747</v>
      </c>
      <c r="C77" t="s">
        <v>94</v>
      </c>
      <c r="D77" t="s">
        <v>17</v>
      </c>
      <c r="E77" t="s">
        <v>24</v>
      </c>
      <c r="F77" t="s">
        <v>36</v>
      </c>
      <c r="G77" t="s">
        <v>45</v>
      </c>
      <c r="H77" s="1" t="s">
        <v>30</v>
      </c>
      <c r="I77" t="s">
        <v>22</v>
      </c>
      <c r="J77">
        <v>3</v>
      </c>
      <c r="K77" s="1">
        <v>217000</v>
      </c>
      <c r="L77" s="2">
        <v>0</v>
      </c>
      <c r="M77" s="1">
        <v>651000</v>
      </c>
      <c r="N77" s="1">
        <v>418571.75</v>
      </c>
      <c r="O77" s="1">
        <v>232428.25</v>
      </c>
    </row>
    <row r="78" spans="1:15" x14ac:dyDescent="0.25">
      <c r="A78" t="s">
        <v>123</v>
      </c>
      <c r="B78" s="5">
        <v>45749</v>
      </c>
      <c r="C78" t="s">
        <v>124</v>
      </c>
      <c r="D78" t="s">
        <v>125</v>
      </c>
      <c r="E78" t="s">
        <v>18</v>
      </c>
      <c r="F78" t="s">
        <v>36</v>
      </c>
      <c r="G78" t="s">
        <v>26</v>
      </c>
      <c r="H78" s="1" t="s">
        <v>21</v>
      </c>
      <c r="I78" t="s">
        <v>31</v>
      </c>
      <c r="J78">
        <v>1</v>
      </c>
      <c r="K78" s="1">
        <v>134000</v>
      </c>
      <c r="L78" s="2">
        <v>0.05</v>
      </c>
      <c r="M78" s="1">
        <v>127300</v>
      </c>
      <c r="N78" s="1">
        <v>82033.009999999995</v>
      </c>
      <c r="O78" s="1">
        <v>45266.99</v>
      </c>
    </row>
    <row r="79" spans="1:15" x14ac:dyDescent="0.25">
      <c r="A79" t="s">
        <v>126</v>
      </c>
      <c r="B79" s="5">
        <v>45749</v>
      </c>
      <c r="C79" t="s">
        <v>124</v>
      </c>
      <c r="D79" t="s">
        <v>125</v>
      </c>
      <c r="E79" t="s">
        <v>18</v>
      </c>
      <c r="F79" t="s">
        <v>36</v>
      </c>
      <c r="G79" t="s">
        <v>26</v>
      </c>
      <c r="H79" s="1" t="s">
        <v>33</v>
      </c>
      <c r="I79" t="s">
        <v>31</v>
      </c>
      <c r="J79">
        <v>3</v>
      </c>
      <c r="K79" s="1">
        <v>274000</v>
      </c>
      <c r="L79" s="2">
        <v>0</v>
      </c>
      <c r="M79" s="1">
        <v>822000</v>
      </c>
      <c r="N79" s="1">
        <v>644742.38</v>
      </c>
      <c r="O79" s="1">
        <v>177257.62</v>
      </c>
    </row>
    <row r="80" spans="1:15" x14ac:dyDescent="0.25">
      <c r="A80" t="s">
        <v>127</v>
      </c>
      <c r="B80" s="5">
        <v>45749</v>
      </c>
      <c r="C80" t="s">
        <v>124</v>
      </c>
      <c r="D80" t="s">
        <v>125</v>
      </c>
      <c r="E80" t="s">
        <v>18</v>
      </c>
      <c r="F80" t="s">
        <v>25</v>
      </c>
      <c r="G80" t="s">
        <v>37</v>
      </c>
      <c r="H80" s="1" t="s">
        <v>30</v>
      </c>
      <c r="I80" t="s">
        <v>34</v>
      </c>
      <c r="J80">
        <v>1</v>
      </c>
      <c r="K80" s="1">
        <v>19000</v>
      </c>
      <c r="L80" s="2">
        <v>0.05</v>
      </c>
      <c r="M80" s="1">
        <v>18050</v>
      </c>
      <c r="N80" s="1">
        <v>14366.29</v>
      </c>
      <c r="O80" s="1">
        <v>3683.71</v>
      </c>
    </row>
    <row r="81" spans="1:15" x14ac:dyDescent="0.25">
      <c r="A81" t="s">
        <v>128</v>
      </c>
      <c r="B81" s="5">
        <v>45753</v>
      </c>
      <c r="C81" t="s">
        <v>124</v>
      </c>
      <c r="D81" t="s">
        <v>125</v>
      </c>
      <c r="E81" t="s">
        <v>18</v>
      </c>
      <c r="F81" t="s">
        <v>36</v>
      </c>
      <c r="G81" t="s">
        <v>37</v>
      </c>
      <c r="H81" s="1" t="s">
        <v>30</v>
      </c>
      <c r="I81" t="s">
        <v>41</v>
      </c>
      <c r="J81">
        <v>10</v>
      </c>
      <c r="K81" s="1">
        <v>25000</v>
      </c>
      <c r="L81" s="2">
        <v>0</v>
      </c>
      <c r="M81" s="1">
        <v>250000</v>
      </c>
      <c r="N81" s="1">
        <v>173600.9</v>
      </c>
      <c r="O81" s="1">
        <v>76399.100000000006</v>
      </c>
    </row>
    <row r="82" spans="1:15" x14ac:dyDescent="0.25">
      <c r="A82" t="s">
        <v>129</v>
      </c>
      <c r="B82" s="5">
        <v>45753</v>
      </c>
      <c r="C82" t="s">
        <v>124</v>
      </c>
      <c r="D82" t="s">
        <v>125</v>
      </c>
      <c r="E82" t="s">
        <v>49</v>
      </c>
      <c r="F82" t="s">
        <v>43</v>
      </c>
      <c r="G82" t="s">
        <v>53</v>
      </c>
      <c r="H82" s="1" t="s">
        <v>33</v>
      </c>
      <c r="I82" t="s">
        <v>31</v>
      </c>
      <c r="J82">
        <v>2</v>
      </c>
      <c r="K82" s="1">
        <v>236000</v>
      </c>
      <c r="L82" s="2">
        <v>0.05</v>
      </c>
      <c r="M82" s="1">
        <v>448400</v>
      </c>
      <c r="N82" s="1">
        <v>306992.84000000003</v>
      </c>
      <c r="O82" s="1">
        <v>141407.16</v>
      </c>
    </row>
    <row r="83" spans="1:15" x14ac:dyDescent="0.25">
      <c r="A83" t="s">
        <v>130</v>
      </c>
      <c r="B83" s="5">
        <v>45753</v>
      </c>
      <c r="C83" t="s">
        <v>124</v>
      </c>
      <c r="D83" t="s">
        <v>125</v>
      </c>
      <c r="E83" t="s">
        <v>47</v>
      </c>
      <c r="F83" t="s">
        <v>55</v>
      </c>
      <c r="G83" t="s">
        <v>40</v>
      </c>
      <c r="H83" s="1" t="s">
        <v>30</v>
      </c>
      <c r="I83" t="s">
        <v>41</v>
      </c>
      <c r="J83">
        <v>4</v>
      </c>
      <c r="K83" s="1">
        <v>44000</v>
      </c>
      <c r="L83" s="2">
        <v>0</v>
      </c>
      <c r="M83" s="1">
        <v>176000</v>
      </c>
      <c r="N83" s="1">
        <v>128244.18</v>
      </c>
      <c r="O83" s="1">
        <v>47755.82</v>
      </c>
    </row>
    <row r="84" spans="1:15" x14ac:dyDescent="0.25">
      <c r="A84" t="s">
        <v>131</v>
      </c>
      <c r="B84" s="5">
        <v>45755</v>
      </c>
      <c r="C84" t="s">
        <v>124</v>
      </c>
      <c r="D84" t="s">
        <v>125</v>
      </c>
      <c r="E84" t="s">
        <v>18</v>
      </c>
      <c r="F84" t="s">
        <v>36</v>
      </c>
      <c r="G84" t="s">
        <v>53</v>
      </c>
      <c r="H84" s="1" t="s">
        <v>21</v>
      </c>
      <c r="I84" t="s">
        <v>34</v>
      </c>
      <c r="J84">
        <v>3</v>
      </c>
      <c r="K84" s="1">
        <v>369000</v>
      </c>
      <c r="L84" s="2">
        <v>0.05</v>
      </c>
      <c r="M84" s="1">
        <v>1051650</v>
      </c>
      <c r="N84" s="1">
        <v>767460.23</v>
      </c>
      <c r="O84" s="1">
        <v>284189.77</v>
      </c>
    </row>
    <row r="85" spans="1:15" x14ac:dyDescent="0.25">
      <c r="A85" t="s">
        <v>132</v>
      </c>
      <c r="B85" s="5">
        <v>45755</v>
      </c>
      <c r="C85" t="s">
        <v>124</v>
      </c>
      <c r="D85" t="s">
        <v>125</v>
      </c>
      <c r="E85" t="s">
        <v>49</v>
      </c>
      <c r="F85" t="s">
        <v>19</v>
      </c>
      <c r="G85" t="s">
        <v>53</v>
      </c>
      <c r="H85" s="1" t="s">
        <v>33</v>
      </c>
      <c r="I85" t="s">
        <v>41</v>
      </c>
      <c r="J85">
        <v>3</v>
      </c>
      <c r="K85" s="1">
        <v>285000</v>
      </c>
      <c r="L85" s="2">
        <v>0.02</v>
      </c>
      <c r="M85" s="1">
        <v>837900</v>
      </c>
      <c r="N85" s="1">
        <v>616708.85</v>
      </c>
      <c r="O85" s="1">
        <v>221191.15</v>
      </c>
    </row>
    <row r="86" spans="1:15" x14ac:dyDescent="0.25">
      <c r="A86" t="s">
        <v>133</v>
      </c>
      <c r="B86" s="5">
        <v>45759</v>
      </c>
      <c r="C86" t="s">
        <v>124</v>
      </c>
      <c r="D86" t="s">
        <v>125</v>
      </c>
      <c r="E86" t="s">
        <v>28</v>
      </c>
      <c r="F86" t="s">
        <v>58</v>
      </c>
      <c r="G86" t="s">
        <v>60</v>
      </c>
      <c r="H86" s="1" t="s">
        <v>33</v>
      </c>
      <c r="I86" t="s">
        <v>22</v>
      </c>
      <c r="J86">
        <v>1</v>
      </c>
      <c r="K86" s="1">
        <v>255000</v>
      </c>
      <c r="L86" s="2">
        <v>0.02</v>
      </c>
      <c r="M86" s="1">
        <v>249900</v>
      </c>
      <c r="N86" s="1">
        <v>171082.1</v>
      </c>
      <c r="O86" s="1">
        <v>78817.899999999994</v>
      </c>
    </row>
    <row r="87" spans="1:15" x14ac:dyDescent="0.25">
      <c r="A87" t="s">
        <v>134</v>
      </c>
      <c r="B87" s="5">
        <v>45760</v>
      </c>
      <c r="C87" t="s">
        <v>124</v>
      </c>
      <c r="D87" t="s">
        <v>125</v>
      </c>
      <c r="E87" t="s">
        <v>18</v>
      </c>
      <c r="F87" t="s">
        <v>68</v>
      </c>
      <c r="G87" t="s">
        <v>53</v>
      </c>
      <c r="H87" s="1" t="s">
        <v>33</v>
      </c>
      <c r="I87" t="s">
        <v>41</v>
      </c>
      <c r="J87">
        <v>10</v>
      </c>
      <c r="K87" s="1">
        <v>614000</v>
      </c>
      <c r="L87" s="2">
        <v>0.05</v>
      </c>
      <c r="M87" s="1">
        <v>5833000</v>
      </c>
      <c r="N87" s="1">
        <v>4169678.31</v>
      </c>
      <c r="O87" s="1">
        <v>1663321.69</v>
      </c>
    </row>
    <row r="88" spans="1:15" x14ac:dyDescent="0.25">
      <c r="A88" t="s">
        <v>135</v>
      </c>
      <c r="B88" s="5">
        <v>45760</v>
      </c>
      <c r="C88" t="s">
        <v>124</v>
      </c>
      <c r="D88" t="s">
        <v>125</v>
      </c>
      <c r="E88" t="s">
        <v>18</v>
      </c>
      <c r="F88" t="s">
        <v>68</v>
      </c>
      <c r="G88" t="s">
        <v>26</v>
      </c>
      <c r="H88" s="1" t="s">
        <v>33</v>
      </c>
      <c r="I88" t="s">
        <v>34</v>
      </c>
      <c r="J88">
        <v>1</v>
      </c>
      <c r="K88" s="1">
        <v>257000</v>
      </c>
      <c r="L88" s="2">
        <v>0.05</v>
      </c>
      <c r="M88" s="1">
        <v>244150</v>
      </c>
      <c r="N88" s="1">
        <v>168844.44</v>
      </c>
      <c r="O88" s="1">
        <v>75305.56</v>
      </c>
    </row>
    <row r="89" spans="1:15" x14ac:dyDescent="0.25">
      <c r="A89" t="s">
        <v>136</v>
      </c>
      <c r="B89" s="5">
        <v>45761</v>
      </c>
      <c r="C89" t="s">
        <v>124</v>
      </c>
      <c r="D89" t="s">
        <v>125</v>
      </c>
      <c r="E89" t="s">
        <v>49</v>
      </c>
      <c r="F89" t="s">
        <v>43</v>
      </c>
      <c r="G89" t="s">
        <v>40</v>
      </c>
      <c r="H89" s="1" t="s">
        <v>30</v>
      </c>
      <c r="I89" t="s">
        <v>41</v>
      </c>
      <c r="J89">
        <v>5</v>
      </c>
      <c r="K89" s="1">
        <v>40000</v>
      </c>
      <c r="L89" s="2">
        <v>0</v>
      </c>
      <c r="M89" s="1">
        <v>200000</v>
      </c>
      <c r="N89" s="1">
        <v>160603.6</v>
      </c>
      <c r="O89" s="1">
        <v>39396.400000000001</v>
      </c>
    </row>
    <row r="90" spans="1:15" x14ac:dyDescent="0.25">
      <c r="A90" t="s">
        <v>137</v>
      </c>
      <c r="B90" s="5">
        <v>45762</v>
      </c>
      <c r="C90" t="s">
        <v>124</v>
      </c>
      <c r="D90" t="s">
        <v>125</v>
      </c>
      <c r="E90" t="s">
        <v>47</v>
      </c>
      <c r="F90" t="s">
        <v>55</v>
      </c>
      <c r="G90" t="s">
        <v>60</v>
      </c>
      <c r="H90" s="1" t="s">
        <v>30</v>
      </c>
      <c r="I90" t="s">
        <v>22</v>
      </c>
      <c r="J90">
        <v>1</v>
      </c>
      <c r="K90" s="1">
        <v>313000</v>
      </c>
      <c r="L90" s="2">
        <v>0</v>
      </c>
      <c r="M90" s="1">
        <v>313000</v>
      </c>
      <c r="N90" s="1">
        <v>210380.65</v>
      </c>
      <c r="O90" s="1">
        <v>102619.35</v>
      </c>
    </row>
    <row r="91" spans="1:15" x14ac:dyDescent="0.25">
      <c r="A91" t="s">
        <v>138</v>
      </c>
      <c r="B91" s="5">
        <v>45766</v>
      </c>
      <c r="C91" t="s">
        <v>124</v>
      </c>
      <c r="D91" t="s">
        <v>125</v>
      </c>
      <c r="E91" t="s">
        <v>47</v>
      </c>
      <c r="F91" t="s">
        <v>19</v>
      </c>
      <c r="G91" t="s">
        <v>53</v>
      </c>
      <c r="H91" s="1" t="s">
        <v>33</v>
      </c>
      <c r="I91" t="s">
        <v>34</v>
      </c>
      <c r="J91">
        <v>2</v>
      </c>
      <c r="K91" s="1">
        <v>309000</v>
      </c>
      <c r="L91" s="2">
        <v>0</v>
      </c>
      <c r="M91" s="1">
        <v>618000</v>
      </c>
      <c r="N91" s="1">
        <v>433962.2</v>
      </c>
      <c r="O91" s="1">
        <v>184037.8</v>
      </c>
    </row>
    <row r="92" spans="1:15" x14ac:dyDescent="0.25">
      <c r="A92" t="s">
        <v>139</v>
      </c>
      <c r="B92" s="5">
        <v>45766</v>
      </c>
      <c r="C92" t="s">
        <v>124</v>
      </c>
      <c r="D92" t="s">
        <v>125</v>
      </c>
      <c r="E92" t="s">
        <v>18</v>
      </c>
      <c r="F92" t="s">
        <v>29</v>
      </c>
      <c r="G92" t="s">
        <v>26</v>
      </c>
      <c r="H92" s="1" t="s">
        <v>30</v>
      </c>
      <c r="I92" t="s">
        <v>22</v>
      </c>
      <c r="J92">
        <v>5</v>
      </c>
      <c r="K92" s="1">
        <v>234000</v>
      </c>
      <c r="L92" s="2">
        <v>0</v>
      </c>
      <c r="M92" s="1">
        <v>1170000</v>
      </c>
      <c r="N92" s="1">
        <v>796145.98</v>
      </c>
      <c r="O92" s="1">
        <v>373854.02</v>
      </c>
    </row>
    <row r="93" spans="1:15" x14ac:dyDescent="0.25">
      <c r="A93" t="s">
        <v>140</v>
      </c>
      <c r="B93" s="5">
        <v>45766</v>
      </c>
      <c r="C93" t="s">
        <v>124</v>
      </c>
      <c r="D93" t="s">
        <v>125</v>
      </c>
      <c r="E93" t="s">
        <v>24</v>
      </c>
      <c r="F93" t="s">
        <v>58</v>
      </c>
      <c r="G93" t="s">
        <v>26</v>
      </c>
      <c r="H93" s="1" t="s">
        <v>33</v>
      </c>
      <c r="I93" t="s">
        <v>31</v>
      </c>
      <c r="J93">
        <v>1</v>
      </c>
      <c r="K93" s="1">
        <v>219000</v>
      </c>
      <c r="L93" s="2">
        <v>0</v>
      </c>
      <c r="M93" s="1">
        <v>219000</v>
      </c>
      <c r="N93" s="1">
        <v>167154.96</v>
      </c>
      <c r="O93" s="1">
        <v>51845.04</v>
      </c>
    </row>
    <row r="94" spans="1:15" x14ac:dyDescent="0.25">
      <c r="A94" t="s">
        <v>141</v>
      </c>
      <c r="B94" s="5">
        <v>45768</v>
      </c>
      <c r="C94" t="s">
        <v>124</v>
      </c>
      <c r="D94" t="s">
        <v>125</v>
      </c>
      <c r="E94" t="s">
        <v>24</v>
      </c>
      <c r="F94" t="s">
        <v>29</v>
      </c>
      <c r="G94" t="s">
        <v>45</v>
      </c>
      <c r="H94" s="1" t="s">
        <v>30</v>
      </c>
      <c r="I94" t="s">
        <v>34</v>
      </c>
      <c r="J94">
        <v>3</v>
      </c>
      <c r="K94" s="1">
        <v>269000</v>
      </c>
      <c r="L94" s="2">
        <v>0.02</v>
      </c>
      <c r="M94" s="1">
        <v>790860</v>
      </c>
      <c r="N94" s="1">
        <v>606877.88</v>
      </c>
      <c r="O94" s="1">
        <v>183982.12</v>
      </c>
    </row>
    <row r="95" spans="1:15" x14ac:dyDescent="0.25">
      <c r="A95" t="s">
        <v>142</v>
      </c>
      <c r="B95" s="5">
        <v>45770</v>
      </c>
      <c r="C95" t="s">
        <v>124</v>
      </c>
      <c r="D95" t="s">
        <v>125</v>
      </c>
      <c r="E95" t="s">
        <v>18</v>
      </c>
      <c r="F95" t="s">
        <v>25</v>
      </c>
      <c r="G95" t="s">
        <v>26</v>
      </c>
      <c r="H95" s="1" t="s">
        <v>33</v>
      </c>
      <c r="I95" t="s">
        <v>41</v>
      </c>
      <c r="J95">
        <v>3</v>
      </c>
      <c r="K95" s="1">
        <v>249000</v>
      </c>
      <c r="L95" s="2">
        <v>0.02</v>
      </c>
      <c r="M95" s="1">
        <v>732060</v>
      </c>
      <c r="N95" s="1">
        <v>469288.41</v>
      </c>
      <c r="O95" s="1">
        <v>262771.59000000003</v>
      </c>
    </row>
    <row r="96" spans="1:15" x14ac:dyDescent="0.25">
      <c r="A96" t="s">
        <v>143</v>
      </c>
      <c r="B96" s="5">
        <v>45774</v>
      </c>
      <c r="C96" t="s">
        <v>124</v>
      </c>
      <c r="D96" t="s">
        <v>125</v>
      </c>
      <c r="E96" t="s">
        <v>47</v>
      </c>
      <c r="F96" t="s">
        <v>36</v>
      </c>
      <c r="G96" t="s">
        <v>20</v>
      </c>
      <c r="H96" s="1" t="s">
        <v>30</v>
      </c>
      <c r="I96" t="s">
        <v>41</v>
      </c>
      <c r="J96">
        <v>3</v>
      </c>
      <c r="K96" s="1">
        <v>640000</v>
      </c>
      <c r="L96" s="2">
        <v>0</v>
      </c>
      <c r="M96" s="1">
        <v>1920000</v>
      </c>
      <c r="N96" s="1">
        <v>1560587.08</v>
      </c>
      <c r="O96" s="1">
        <v>359412.92</v>
      </c>
    </row>
    <row r="97" spans="1:15" x14ac:dyDescent="0.25">
      <c r="A97" t="s">
        <v>144</v>
      </c>
      <c r="B97" s="5">
        <v>45775</v>
      </c>
      <c r="C97" t="s">
        <v>124</v>
      </c>
      <c r="D97" t="s">
        <v>125</v>
      </c>
      <c r="E97" t="s">
        <v>49</v>
      </c>
      <c r="F97" t="s">
        <v>43</v>
      </c>
      <c r="G97" t="s">
        <v>51</v>
      </c>
      <c r="H97" s="1" t="s">
        <v>33</v>
      </c>
      <c r="I97" t="s">
        <v>31</v>
      </c>
      <c r="J97">
        <v>3</v>
      </c>
      <c r="K97" s="1">
        <v>39000</v>
      </c>
      <c r="L97" s="2">
        <v>0</v>
      </c>
      <c r="M97" s="1">
        <v>117000</v>
      </c>
      <c r="N97" s="1">
        <v>72600.47</v>
      </c>
      <c r="O97" s="1">
        <v>44399.53</v>
      </c>
    </row>
    <row r="98" spans="1:15" x14ac:dyDescent="0.25">
      <c r="A98" t="s">
        <v>145</v>
      </c>
      <c r="B98" s="5">
        <v>45775</v>
      </c>
      <c r="C98" t="s">
        <v>124</v>
      </c>
      <c r="D98" t="s">
        <v>125</v>
      </c>
      <c r="E98" t="s">
        <v>24</v>
      </c>
      <c r="F98" t="s">
        <v>55</v>
      </c>
      <c r="G98" t="s">
        <v>40</v>
      </c>
      <c r="H98" s="1" t="s">
        <v>21</v>
      </c>
      <c r="I98" t="s">
        <v>34</v>
      </c>
      <c r="J98">
        <v>1</v>
      </c>
      <c r="K98" s="1">
        <v>29000</v>
      </c>
      <c r="L98" s="2">
        <v>0.02</v>
      </c>
      <c r="M98" s="1">
        <v>28420</v>
      </c>
      <c r="N98" s="1">
        <v>20577.830000000002</v>
      </c>
      <c r="O98" s="1">
        <v>7842.17</v>
      </c>
    </row>
    <row r="99" spans="1:15" x14ac:dyDescent="0.25">
      <c r="A99" t="s">
        <v>146</v>
      </c>
      <c r="B99" s="5">
        <v>45776</v>
      </c>
      <c r="C99" t="s">
        <v>124</v>
      </c>
      <c r="D99" t="s">
        <v>125</v>
      </c>
      <c r="E99" t="s">
        <v>49</v>
      </c>
      <c r="F99" t="s">
        <v>36</v>
      </c>
      <c r="G99" t="s">
        <v>40</v>
      </c>
      <c r="H99" s="1" t="s">
        <v>21</v>
      </c>
      <c r="I99" t="s">
        <v>41</v>
      </c>
      <c r="J99">
        <v>8</v>
      </c>
      <c r="K99" s="1">
        <v>31000</v>
      </c>
      <c r="L99" s="2">
        <v>0.05</v>
      </c>
      <c r="M99" s="1">
        <v>235600</v>
      </c>
      <c r="N99" s="1">
        <v>148202.70000000001</v>
      </c>
      <c r="O99" s="1">
        <v>87397.3</v>
      </c>
    </row>
    <row r="100" spans="1:15" x14ac:dyDescent="0.25">
      <c r="A100" t="s">
        <v>147</v>
      </c>
      <c r="B100" s="5">
        <v>45777</v>
      </c>
      <c r="C100" t="s">
        <v>124</v>
      </c>
      <c r="D100" t="s">
        <v>125</v>
      </c>
      <c r="E100" t="s">
        <v>28</v>
      </c>
      <c r="F100" t="s">
        <v>43</v>
      </c>
      <c r="G100" t="s">
        <v>45</v>
      </c>
      <c r="H100" s="1" t="s">
        <v>33</v>
      </c>
      <c r="I100" t="s">
        <v>41</v>
      </c>
      <c r="J100">
        <v>4</v>
      </c>
      <c r="K100" s="1">
        <v>200000</v>
      </c>
      <c r="L100" s="2">
        <v>0.05</v>
      </c>
      <c r="M100" s="1">
        <v>760000</v>
      </c>
      <c r="N100" s="1">
        <v>606037.14</v>
      </c>
      <c r="O100" s="1">
        <v>153962.85999999999</v>
      </c>
    </row>
    <row r="101" spans="1:15" x14ac:dyDescent="0.25">
      <c r="A101" t="s">
        <v>148</v>
      </c>
      <c r="B101" s="5">
        <v>45777</v>
      </c>
      <c r="C101" t="s">
        <v>124</v>
      </c>
      <c r="D101" t="s">
        <v>125</v>
      </c>
      <c r="E101" t="s">
        <v>18</v>
      </c>
      <c r="F101" t="s">
        <v>55</v>
      </c>
      <c r="G101" t="s">
        <v>45</v>
      </c>
      <c r="H101" s="1" t="s">
        <v>21</v>
      </c>
      <c r="I101" t="s">
        <v>22</v>
      </c>
      <c r="J101">
        <v>1</v>
      </c>
      <c r="K101" s="1">
        <v>282000</v>
      </c>
      <c r="L101" s="2">
        <v>0.02</v>
      </c>
      <c r="M101" s="1">
        <v>276360</v>
      </c>
      <c r="N101" s="1">
        <v>190460.85</v>
      </c>
      <c r="O101" s="1">
        <v>85899.15</v>
      </c>
    </row>
    <row r="102" spans="1:15" x14ac:dyDescent="0.25">
      <c r="A102" t="s">
        <v>149</v>
      </c>
      <c r="B102" s="5">
        <v>45779</v>
      </c>
      <c r="C102" t="s">
        <v>150</v>
      </c>
      <c r="D102" t="s">
        <v>125</v>
      </c>
      <c r="E102" t="s">
        <v>24</v>
      </c>
      <c r="F102" t="s">
        <v>68</v>
      </c>
      <c r="G102" t="s">
        <v>53</v>
      </c>
      <c r="H102" s="1" t="s">
        <v>21</v>
      </c>
      <c r="I102" t="s">
        <v>41</v>
      </c>
      <c r="J102">
        <v>4</v>
      </c>
      <c r="K102" s="1">
        <v>616000</v>
      </c>
      <c r="L102" s="2">
        <v>0</v>
      </c>
      <c r="M102" s="1">
        <v>2464000</v>
      </c>
      <c r="N102" s="1">
        <v>1533945.9</v>
      </c>
      <c r="O102" s="1">
        <v>930054.1</v>
      </c>
    </row>
    <row r="103" spans="1:15" x14ac:dyDescent="0.25">
      <c r="A103" t="s">
        <v>151</v>
      </c>
      <c r="B103" s="5">
        <v>45780</v>
      </c>
      <c r="C103" t="s">
        <v>150</v>
      </c>
      <c r="D103" t="s">
        <v>125</v>
      </c>
      <c r="E103" t="s">
        <v>18</v>
      </c>
      <c r="F103" t="s">
        <v>36</v>
      </c>
      <c r="G103" t="s">
        <v>37</v>
      </c>
      <c r="H103" s="1" t="s">
        <v>30</v>
      </c>
      <c r="I103" t="s">
        <v>22</v>
      </c>
      <c r="J103">
        <v>1</v>
      </c>
      <c r="K103" s="1">
        <v>12000</v>
      </c>
      <c r="L103" s="2">
        <v>0</v>
      </c>
      <c r="M103" s="1">
        <v>12000</v>
      </c>
      <c r="N103" s="1">
        <v>8967.43</v>
      </c>
      <c r="O103" s="1">
        <v>3032.57</v>
      </c>
    </row>
    <row r="104" spans="1:15" x14ac:dyDescent="0.25">
      <c r="A104" t="s">
        <v>152</v>
      </c>
      <c r="B104" s="5">
        <v>45781</v>
      </c>
      <c r="C104" t="s">
        <v>150</v>
      </c>
      <c r="D104" t="s">
        <v>125</v>
      </c>
      <c r="E104" t="s">
        <v>28</v>
      </c>
      <c r="F104" t="s">
        <v>43</v>
      </c>
      <c r="G104" t="s">
        <v>60</v>
      </c>
      <c r="H104" s="1" t="s">
        <v>21</v>
      </c>
      <c r="I104" t="s">
        <v>22</v>
      </c>
      <c r="J104">
        <v>1</v>
      </c>
      <c r="K104" s="1">
        <v>105000</v>
      </c>
      <c r="L104" s="2">
        <v>0</v>
      </c>
      <c r="M104" s="1">
        <v>105000</v>
      </c>
      <c r="N104" s="1">
        <v>78696.97</v>
      </c>
      <c r="O104" s="1">
        <v>26303.03</v>
      </c>
    </row>
    <row r="105" spans="1:15" x14ac:dyDescent="0.25">
      <c r="A105" t="s">
        <v>153</v>
      </c>
      <c r="B105" s="5">
        <v>45782</v>
      </c>
      <c r="C105" t="s">
        <v>150</v>
      </c>
      <c r="D105" t="s">
        <v>125</v>
      </c>
      <c r="E105" t="s">
        <v>24</v>
      </c>
      <c r="F105" t="s">
        <v>43</v>
      </c>
      <c r="G105" t="s">
        <v>53</v>
      </c>
      <c r="H105" s="1" t="s">
        <v>33</v>
      </c>
      <c r="I105" t="s">
        <v>41</v>
      </c>
      <c r="J105">
        <v>5</v>
      </c>
      <c r="K105" s="1">
        <v>624000</v>
      </c>
      <c r="L105" s="2">
        <v>0.02</v>
      </c>
      <c r="M105" s="1">
        <v>3057600</v>
      </c>
      <c r="N105" s="1">
        <v>2178414.98</v>
      </c>
      <c r="O105" s="1">
        <v>879185.02</v>
      </c>
    </row>
    <row r="106" spans="1:15" x14ac:dyDescent="0.25">
      <c r="A106" t="s">
        <v>154</v>
      </c>
      <c r="B106" s="5">
        <v>45782</v>
      </c>
      <c r="C106" t="s">
        <v>150</v>
      </c>
      <c r="D106" t="s">
        <v>125</v>
      </c>
      <c r="E106" t="s">
        <v>24</v>
      </c>
      <c r="F106" t="s">
        <v>55</v>
      </c>
      <c r="G106" t="s">
        <v>20</v>
      </c>
      <c r="H106" s="1" t="s">
        <v>33</v>
      </c>
      <c r="I106" t="s">
        <v>41</v>
      </c>
      <c r="J106">
        <v>1</v>
      </c>
      <c r="K106" s="1">
        <v>681000</v>
      </c>
      <c r="L106" s="2">
        <v>0</v>
      </c>
      <c r="M106" s="1">
        <v>681000</v>
      </c>
      <c r="N106" s="1">
        <v>496128.2</v>
      </c>
      <c r="O106" s="1">
        <v>184871.8</v>
      </c>
    </row>
    <row r="107" spans="1:15" x14ac:dyDescent="0.25">
      <c r="A107" t="s">
        <v>155</v>
      </c>
      <c r="B107" s="5">
        <v>45783</v>
      </c>
      <c r="C107" t="s">
        <v>150</v>
      </c>
      <c r="D107" t="s">
        <v>125</v>
      </c>
      <c r="E107" t="s">
        <v>49</v>
      </c>
      <c r="F107" t="s">
        <v>25</v>
      </c>
      <c r="G107" t="s">
        <v>26</v>
      </c>
      <c r="H107" s="1" t="s">
        <v>33</v>
      </c>
      <c r="I107" t="s">
        <v>34</v>
      </c>
      <c r="J107">
        <v>4</v>
      </c>
      <c r="K107" s="1">
        <v>161000</v>
      </c>
      <c r="L107" s="2">
        <v>0</v>
      </c>
      <c r="M107" s="1">
        <v>644000</v>
      </c>
      <c r="N107" s="1">
        <v>441816.53</v>
      </c>
      <c r="O107" s="1">
        <v>202183.47</v>
      </c>
    </row>
    <row r="108" spans="1:15" x14ac:dyDescent="0.25">
      <c r="A108" t="s">
        <v>156</v>
      </c>
      <c r="B108" s="5">
        <v>45783</v>
      </c>
      <c r="C108" t="s">
        <v>150</v>
      </c>
      <c r="D108" t="s">
        <v>125</v>
      </c>
      <c r="E108" t="s">
        <v>47</v>
      </c>
      <c r="F108" t="s">
        <v>29</v>
      </c>
      <c r="G108" t="s">
        <v>53</v>
      </c>
      <c r="H108" s="1" t="s">
        <v>30</v>
      </c>
      <c r="I108" t="s">
        <v>31</v>
      </c>
      <c r="J108">
        <v>3</v>
      </c>
      <c r="K108" s="1">
        <v>191000</v>
      </c>
      <c r="L108" s="2">
        <v>0.02</v>
      </c>
      <c r="M108" s="1">
        <v>561540</v>
      </c>
      <c r="N108" s="1">
        <v>386407.37</v>
      </c>
      <c r="O108" s="1">
        <v>175132.63</v>
      </c>
    </row>
    <row r="109" spans="1:15" x14ac:dyDescent="0.25">
      <c r="A109" t="s">
        <v>157</v>
      </c>
      <c r="B109" s="5">
        <v>45783</v>
      </c>
      <c r="C109" t="s">
        <v>150</v>
      </c>
      <c r="D109" t="s">
        <v>125</v>
      </c>
      <c r="E109" t="s">
        <v>47</v>
      </c>
      <c r="F109" t="s">
        <v>19</v>
      </c>
      <c r="G109" t="s">
        <v>37</v>
      </c>
      <c r="H109" s="1" t="s">
        <v>33</v>
      </c>
      <c r="I109" t="s">
        <v>22</v>
      </c>
      <c r="J109">
        <v>1</v>
      </c>
      <c r="K109" s="1">
        <v>9000</v>
      </c>
      <c r="L109" s="2">
        <v>0.02</v>
      </c>
      <c r="M109" s="1">
        <v>8820</v>
      </c>
      <c r="N109" s="1">
        <v>6081.24</v>
      </c>
      <c r="O109" s="1">
        <v>2738.76</v>
      </c>
    </row>
    <row r="110" spans="1:15" x14ac:dyDescent="0.25">
      <c r="A110" t="s">
        <v>158</v>
      </c>
      <c r="B110" s="5">
        <v>45786</v>
      </c>
      <c r="C110" t="s">
        <v>150</v>
      </c>
      <c r="D110" t="s">
        <v>125</v>
      </c>
      <c r="E110" t="s">
        <v>24</v>
      </c>
      <c r="F110" t="s">
        <v>43</v>
      </c>
      <c r="G110" t="s">
        <v>60</v>
      </c>
      <c r="H110" s="1" t="s">
        <v>21</v>
      </c>
      <c r="I110" t="s">
        <v>34</v>
      </c>
      <c r="J110">
        <v>3</v>
      </c>
      <c r="K110" s="1">
        <v>325000</v>
      </c>
      <c r="L110" s="2">
        <v>0</v>
      </c>
      <c r="M110" s="1">
        <v>975000</v>
      </c>
      <c r="N110" s="1">
        <v>780763.1</v>
      </c>
      <c r="O110" s="1">
        <v>194236.9</v>
      </c>
    </row>
    <row r="111" spans="1:15" x14ac:dyDescent="0.25">
      <c r="A111" t="s">
        <v>159</v>
      </c>
      <c r="B111" s="5">
        <v>45787</v>
      </c>
      <c r="C111" t="s">
        <v>150</v>
      </c>
      <c r="D111" t="s">
        <v>125</v>
      </c>
      <c r="E111" t="s">
        <v>18</v>
      </c>
      <c r="F111" t="s">
        <v>25</v>
      </c>
      <c r="G111" t="s">
        <v>40</v>
      </c>
      <c r="H111" s="1" t="s">
        <v>21</v>
      </c>
      <c r="I111" t="s">
        <v>31</v>
      </c>
      <c r="J111">
        <v>1</v>
      </c>
      <c r="K111" s="1">
        <v>49000</v>
      </c>
      <c r="L111" s="2">
        <v>0</v>
      </c>
      <c r="M111" s="1">
        <v>49000</v>
      </c>
      <c r="N111" s="1">
        <v>33023.550000000003</v>
      </c>
      <c r="O111" s="1">
        <v>15976.45</v>
      </c>
    </row>
    <row r="112" spans="1:15" x14ac:dyDescent="0.25">
      <c r="A112" t="s">
        <v>160</v>
      </c>
      <c r="B112" s="5">
        <v>45789</v>
      </c>
      <c r="C112" t="s">
        <v>150</v>
      </c>
      <c r="D112" t="s">
        <v>125</v>
      </c>
      <c r="E112" t="s">
        <v>47</v>
      </c>
      <c r="F112" t="s">
        <v>36</v>
      </c>
      <c r="G112" t="s">
        <v>37</v>
      </c>
      <c r="H112" s="1" t="s">
        <v>21</v>
      </c>
      <c r="I112" t="s">
        <v>31</v>
      </c>
      <c r="J112">
        <v>4</v>
      </c>
      <c r="K112" s="1">
        <v>20000</v>
      </c>
      <c r="L112" s="2">
        <v>0.05</v>
      </c>
      <c r="M112" s="1">
        <v>76000</v>
      </c>
      <c r="N112" s="1">
        <v>53262.93</v>
      </c>
      <c r="O112" s="1">
        <v>22737.07</v>
      </c>
    </row>
    <row r="113" spans="1:15" x14ac:dyDescent="0.25">
      <c r="A113" t="s">
        <v>161</v>
      </c>
      <c r="B113" s="5">
        <v>45790</v>
      </c>
      <c r="C113" t="s">
        <v>150</v>
      </c>
      <c r="D113" t="s">
        <v>125</v>
      </c>
      <c r="E113" t="s">
        <v>24</v>
      </c>
      <c r="F113" t="s">
        <v>55</v>
      </c>
      <c r="G113" t="s">
        <v>26</v>
      </c>
      <c r="H113" s="1" t="s">
        <v>21</v>
      </c>
      <c r="I113" t="s">
        <v>34</v>
      </c>
      <c r="J113">
        <v>2</v>
      </c>
      <c r="K113" s="1">
        <v>238000</v>
      </c>
      <c r="L113" s="2">
        <v>0.02</v>
      </c>
      <c r="M113" s="1">
        <v>466480</v>
      </c>
      <c r="N113" s="1">
        <v>369672.68</v>
      </c>
      <c r="O113" s="1">
        <v>96807.32</v>
      </c>
    </row>
    <row r="114" spans="1:15" x14ac:dyDescent="0.25">
      <c r="A114" t="s">
        <v>162</v>
      </c>
      <c r="B114" s="5">
        <v>45790</v>
      </c>
      <c r="C114" t="s">
        <v>150</v>
      </c>
      <c r="D114" t="s">
        <v>125</v>
      </c>
      <c r="E114" t="s">
        <v>28</v>
      </c>
      <c r="F114" t="s">
        <v>43</v>
      </c>
      <c r="G114" t="s">
        <v>40</v>
      </c>
      <c r="H114" s="1" t="s">
        <v>21</v>
      </c>
      <c r="I114" t="s">
        <v>41</v>
      </c>
      <c r="J114">
        <v>1</v>
      </c>
      <c r="K114" s="1">
        <v>18000</v>
      </c>
      <c r="L114" s="2">
        <v>0.05</v>
      </c>
      <c r="M114" s="1">
        <v>17100</v>
      </c>
      <c r="N114" s="1">
        <v>11319.36</v>
      </c>
      <c r="O114" s="1">
        <v>5780.64</v>
      </c>
    </row>
    <row r="115" spans="1:15" x14ac:dyDescent="0.25">
      <c r="A115" t="s">
        <v>163</v>
      </c>
      <c r="B115" s="5">
        <v>45791</v>
      </c>
      <c r="C115" t="s">
        <v>150</v>
      </c>
      <c r="D115" t="s">
        <v>125</v>
      </c>
      <c r="E115" t="s">
        <v>24</v>
      </c>
      <c r="F115" t="s">
        <v>55</v>
      </c>
      <c r="G115" t="s">
        <v>51</v>
      </c>
      <c r="H115" s="1" t="s">
        <v>30</v>
      </c>
      <c r="I115" t="s">
        <v>31</v>
      </c>
      <c r="J115">
        <v>1</v>
      </c>
      <c r="K115" s="1">
        <v>29000</v>
      </c>
      <c r="L115" s="2">
        <v>0</v>
      </c>
      <c r="M115" s="1">
        <v>29000</v>
      </c>
      <c r="N115" s="1">
        <v>23200.11</v>
      </c>
      <c r="O115" s="1">
        <v>5799.89</v>
      </c>
    </row>
    <row r="116" spans="1:15" x14ac:dyDescent="0.25">
      <c r="A116" t="s">
        <v>164</v>
      </c>
      <c r="B116" s="5">
        <v>45792</v>
      </c>
      <c r="C116" t="s">
        <v>150</v>
      </c>
      <c r="D116" t="s">
        <v>125</v>
      </c>
      <c r="E116" t="s">
        <v>18</v>
      </c>
      <c r="F116" t="s">
        <v>43</v>
      </c>
      <c r="G116" t="s">
        <v>20</v>
      </c>
      <c r="H116" s="1" t="s">
        <v>21</v>
      </c>
      <c r="I116" t="s">
        <v>31</v>
      </c>
      <c r="J116">
        <v>4</v>
      </c>
      <c r="K116" s="1">
        <v>849000</v>
      </c>
      <c r="L116" s="2">
        <v>0.05</v>
      </c>
      <c r="M116" s="1">
        <v>3226200</v>
      </c>
      <c r="N116" s="1">
        <v>2190344.2200000002</v>
      </c>
      <c r="O116" s="1">
        <v>1035855.78</v>
      </c>
    </row>
    <row r="117" spans="1:15" x14ac:dyDescent="0.25">
      <c r="A117" t="s">
        <v>165</v>
      </c>
      <c r="B117" s="5">
        <v>45793</v>
      </c>
      <c r="C117" t="s">
        <v>150</v>
      </c>
      <c r="D117" t="s">
        <v>125</v>
      </c>
      <c r="E117" t="s">
        <v>49</v>
      </c>
      <c r="F117" t="s">
        <v>19</v>
      </c>
      <c r="G117" t="s">
        <v>53</v>
      </c>
      <c r="H117" s="1" t="s">
        <v>21</v>
      </c>
      <c r="I117" t="s">
        <v>41</v>
      </c>
      <c r="J117">
        <v>3</v>
      </c>
      <c r="K117" s="1">
        <v>224000</v>
      </c>
      <c r="L117" s="2">
        <v>0.05</v>
      </c>
      <c r="M117" s="1">
        <v>638400</v>
      </c>
      <c r="N117" s="1">
        <v>451195.65</v>
      </c>
      <c r="O117" s="1">
        <v>187204.35</v>
      </c>
    </row>
    <row r="118" spans="1:15" x14ac:dyDescent="0.25">
      <c r="A118" t="s">
        <v>166</v>
      </c>
      <c r="B118" s="5">
        <v>45799</v>
      </c>
      <c r="C118" t="s">
        <v>150</v>
      </c>
      <c r="D118" t="s">
        <v>125</v>
      </c>
      <c r="E118" t="s">
        <v>24</v>
      </c>
      <c r="F118" t="s">
        <v>19</v>
      </c>
      <c r="G118" t="s">
        <v>51</v>
      </c>
      <c r="H118" s="1" t="s">
        <v>33</v>
      </c>
      <c r="I118" t="s">
        <v>22</v>
      </c>
      <c r="J118">
        <v>1</v>
      </c>
      <c r="K118" s="1">
        <v>18000</v>
      </c>
      <c r="L118" s="2">
        <v>0</v>
      </c>
      <c r="M118" s="1">
        <v>18000</v>
      </c>
      <c r="N118" s="1">
        <v>12526.21</v>
      </c>
      <c r="O118" s="1">
        <v>5473.79</v>
      </c>
    </row>
    <row r="119" spans="1:15" x14ac:dyDescent="0.25">
      <c r="A119" t="s">
        <v>167</v>
      </c>
      <c r="B119" s="5">
        <v>45799</v>
      </c>
      <c r="C119" t="s">
        <v>150</v>
      </c>
      <c r="D119" t="s">
        <v>125</v>
      </c>
      <c r="E119" t="s">
        <v>28</v>
      </c>
      <c r="F119" t="s">
        <v>68</v>
      </c>
      <c r="G119" t="s">
        <v>51</v>
      </c>
      <c r="H119" s="1" t="s">
        <v>33</v>
      </c>
      <c r="I119" t="s">
        <v>34</v>
      </c>
      <c r="J119">
        <v>3</v>
      </c>
      <c r="K119" s="1">
        <v>47000</v>
      </c>
      <c r="L119" s="2">
        <v>0.05</v>
      </c>
      <c r="M119" s="1">
        <v>133950</v>
      </c>
      <c r="N119" s="1">
        <v>100461.53</v>
      </c>
      <c r="O119" s="1">
        <v>33488.47</v>
      </c>
    </row>
    <row r="120" spans="1:15" x14ac:dyDescent="0.25">
      <c r="A120" t="s">
        <v>168</v>
      </c>
      <c r="B120" s="5">
        <v>45802</v>
      </c>
      <c r="C120" t="s">
        <v>150</v>
      </c>
      <c r="D120" t="s">
        <v>125</v>
      </c>
      <c r="E120" t="s">
        <v>49</v>
      </c>
      <c r="F120" t="s">
        <v>55</v>
      </c>
      <c r="G120" t="s">
        <v>37</v>
      </c>
      <c r="H120" s="1" t="s">
        <v>33</v>
      </c>
      <c r="I120" t="s">
        <v>34</v>
      </c>
      <c r="J120">
        <v>1</v>
      </c>
      <c r="K120" s="1">
        <v>8000</v>
      </c>
      <c r="L120" s="2">
        <v>0.05</v>
      </c>
      <c r="M120" s="1">
        <v>7600</v>
      </c>
      <c r="N120" s="1">
        <v>5748.26</v>
      </c>
      <c r="O120" s="1">
        <v>1851.74</v>
      </c>
    </row>
    <row r="121" spans="1:15" x14ac:dyDescent="0.25">
      <c r="A121" t="s">
        <v>169</v>
      </c>
      <c r="B121" s="5">
        <v>45806</v>
      </c>
      <c r="C121" t="s">
        <v>150</v>
      </c>
      <c r="D121" t="s">
        <v>125</v>
      </c>
      <c r="E121" t="s">
        <v>18</v>
      </c>
      <c r="F121" t="s">
        <v>25</v>
      </c>
      <c r="G121" t="s">
        <v>53</v>
      </c>
      <c r="H121" s="1" t="s">
        <v>33</v>
      </c>
      <c r="I121" t="s">
        <v>41</v>
      </c>
      <c r="J121">
        <v>6</v>
      </c>
      <c r="K121" s="1">
        <v>612000</v>
      </c>
      <c r="L121" s="2">
        <v>0</v>
      </c>
      <c r="M121" s="1">
        <v>3672000</v>
      </c>
      <c r="N121" s="1">
        <v>2710872.68</v>
      </c>
      <c r="O121" s="1">
        <v>961127.32</v>
      </c>
    </row>
    <row r="122" spans="1:15" x14ac:dyDescent="0.25">
      <c r="A122" t="s">
        <v>170</v>
      </c>
      <c r="B122" s="5">
        <v>45808</v>
      </c>
      <c r="C122" t="s">
        <v>150</v>
      </c>
      <c r="D122" t="s">
        <v>125</v>
      </c>
      <c r="E122" t="s">
        <v>49</v>
      </c>
      <c r="F122" t="s">
        <v>55</v>
      </c>
      <c r="G122" t="s">
        <v>53</v>
      </c>
      <c r="H122" s="1" t="s">
        <v>33</v>
      </c>
      <c r="I122" t="s">
        <v>41</v>
      </c>
      <c r="J122">
        <v>2</v>
      </c>
      <c r="K122" s="1">
        <v>504000</v>
      </c>
      <c r="L122" s="2">
        <v>0.05</v>
      </c>
      <c r="M122" s="1">
        <v>957600</v>
      </c>
      <c r="N122" s="1">
        <v>620050.01</v>
      </c>
      <c r="O122" s="1">
        <v>337549.99</v>
      </c>
    </row>
    <row r="123" spans="1:15" x14ac:dyDescent="0.25">
      <c r="A123" t="s">
        <v>171</v>
      </c>
      <c r="B123" s="5">
        <v>45809</v>
      </c>
      <c r="C123" t="s">
        <v>172</v>
      </c>
      <c r="D123" t="s">
        <v>125</v>
      </c>
      <c r="E123" t="s">
        <v>47</v>
      </c>
      <c r="F123" t="s">
        <v>25</v>
      </c>
      <c r="G123" t="s">
        <v>53</v>
      </c>
      <c r="H123" s="1" t="s">
        <v>30</v>
      </c>
      <c r="I123" t="s">
        <v>41</v>
      </c>
      <c r="J123">
        <v>4</v>
      </c>
      <c r="K123" s="1">
        <v>547000</v>
      </c>
      <c r="L123" s="2">
        <v>0</v>
      </c>
      <c r="M123" s="1">
        <v>2188000</v>
      </c>
      <c r="N123" s="1">
        <v>1499140.2</v>
      </c>
      <c r="O123" s="1">
        <v>688859.8</v>
      </c>
    </row>
    <row r="124" spans="1:15" x14ac:dyDescent="0.25">
      <c r="A124" t="s">
        <v>173</v>
      </c>
      <c r="B124" s="5">
        <v>45810</v>
      </c>
      <c r="C124" t="s">
        <v>172</v>
      </c>
      <c r="D124" t="s">
        <v>125</v>
      </c>
      <c r="E124" t="s">
        <v>18</v>
      </c>
      <c r="F124" t="s">
        <v>19</v>
      </c>
      <c r="G124" t="s">
        <v>37</v>
      </c>
      <c r="H124" s="1" t="s">
        <v>33</v>
      </c>
      <c r="I124" t="s">
        <v>34</v>
      </c>
      <c r="J124">
        <v>3</v>
      </c>
      <c r="K124" s="1">
        <v>22000</v>
      </c>
      <c r="L124" s="2">
        <v>0</v>
      </c>
      <c r="M124" s="1">
        <v>66000</v>
      </c>
      <c r="N124" s="1">
        <v>53329.760000000002</v>
      </c>
      <c r="O124" s="1">
        <v>12670.24</v>
      </c>
    </row>
    <row r="125" spans="1:15" x14ac:dyDescent="0.25">
      <c r="A125" t="s">
        <v>174</v>
      </c>
      <c r="B125" s="5">
        <v>45811</v>
      </c>
      <c r="C125" t="s">
        <v>172</v>
      </c>
      <c r="D125" t="s">
        <v>125</v>
      </c>
      <c r="E125" t="s">
        <v>28</v>
      </c>
      <c r="F125" t="s">
        <v>36</v>
      </c>
      <c r="G125" t="s">
        <v>60</v>
      </c>
      <c r="H125" s="1" t="s">
        <v>21</v>
      </c>
      <c r="I125" t="s">
        <v>22</v>
      </c>
      <c r="J125">
        <v>2</v>
      </c>
      <c r="K125" s="1">
        <v>135000</v>
      </c>
      <c r="L125" s="2">
        <v>0</v>
      </c>
      <c r="M125" s="1">
        <v>270000</v>
      </c>
      <c r="N125" s="1">
        <v>207354.82</v>
      </c>
      <c r="O125" s="1">
        <v>62645.18</v>
      </c>
    </row>
    <row r="126" spans="1:15" x14ac:dyDescent="0.25">
      <c r="A126" t="s">
        <v>175</v>
      </c>
      <c r="B126" s="5">
        <v>45813</v>
      </c>
      <c r="C126" t="s">
        <v>172</v>
      </c>
      <c r="D126" t="s">
        <v>125</v>
      </c>
      <c r="E126" t="s">
        <v>47</v>
      </c>
      <c r="F126" t="s">
        <v>36</v>
      </c>
      <c r="G126" t="s">
        <v>40</v>
      </c>
      <c r="H126" s="1" t="s">
        <v>21</v>
      </c>
      <c r="I126" t="s">
        <v>41</v>
      </c>
      <c r="J126">
        <v>4</v>
      </c>
      <c r="K126" s="1">
        <v>20000</v>
      </c>
      <c r="L126" s="2">
        <v>0</v>
      </c>
      <c r="M126" s="1">
        <v>80000</v>
      </c>
      <c r="N126" s="1">
        <v>60581.24</v>
      </c>
      <c r="O126" s="1">
        <v>19418.759999999998</v>
      </c>
    </row>
    <row r="127" spans="1:15" x14ac:dyDescent="0.25">
      <c r="A127" t="s">
        <v>176</v>
      </c>
      <c r="B127" s="5">
        <v>45814</v>
      </c>
      <c r="C127" t="s">
        <v>172</v>
      </c>
      <c r="D127" t="s">
        <v>125</v>
      </c>
      <c r="E127" t="s">
        <v>49</v>
      </c>
      <c r="F127" t="s">
        <v>36</v>
      </c>
      <c r="G127" t="s">
        <v>60</v>
      </c>
      <c r="H127" s="1" t="s">
        <v>21</v>
      </c>
      <c r="I127" t="s">
        <v>41</v>
      </c>
      <c r="J127">
        <v>2</v>
      </c>
      <c r="K127" s="1">
        <v>300000</v>
      </c>
      <c r="L127" s="2">
        <v>0</v>
      </c>
      <c r="M127" s="1">
        <v>600000</v>
      </c>
      <c r="N127" s="1">
        <v>467283.02</v>
      </c>
      <c r="O127" s="1">
        <v>132716.98000000001</v>
      </c>
    </row>
    <row r="128" spans="1:15" x14ac:dyDescent="0.25">
      <c r="A128" t="s">
        <v>177</v>
      </c>
      <c r="B128" s="5">
        <v>45815</v>
      </c>
      <c r="C128" t="s">
        <v>172</v>
      </c>
      <c r="D128" t="s">
        <v>125</v>
      </c>
      <c r="E128" t="s">
        <v>49</v>
      </c>
      <c r="F128" t="s">
        <v>58</v>
      </c>
      <c r="G128" t="s">
        <v>45</v>
      </c>
      <c r="H128" s="1" t="s">
        <v>21</v>
      </c>
      <c r="I128" t="s">
        <v>34</v>
      </c>
      <c r="J128">
        <v>3</v>
      </c>
      <c r="K128" s="1">
        <v>347000</v>
      </c>
      <c r="L128" s="2">
        <v>0</v>
      </c>
      <c r="M128" s="1">
        <v>1041000</v>
      </c>
      <c r="N128" s="1">
        <v>819923.28</v>
      </c>
      <c r="O128" s="1">
        <v>221076.72</v>
      </c>
    </row>
    <row r="129" spans="1:15" x14ac:dyDescent="0.25">
      <c r="A129" t="s">
        <v>178</v>
      </c>
      <c r="B129" s="5">
        <v>45815</v>
      </c>
      <c r="C129" t="s">
        <v>172</v>
      </c>
      <c r="D129" t="s">
        <v>125</v>
      </c>
      <c r="E129" t="s">
        <v>28</v>
      </c>
      <c r="F129" t="s">
        <v>25</v>
      </c>
      <c r="G129" t="s">
        <v>53</v>
      </c>
      <c r="H129" s="1" t="s">
        <v>33</v>
      </c>
      <c r="I129" t="s">
        <v>22</v>
      </c>
      <c r="J129">
        <v>3</v>
      </c>
      <c r="K129" s="1">
        <v>190000</v>
      </c>
      <c r="L129" s="2">
        <v>0.05</v>
      </c>
      <c r="M129" s="1">
        <v>541500</v>
      </c>
      <c r="N129" s="1">
        <v>395184.58</v>
      </c>
      <c r="O129" s="1">
        <v>146315.42000000001</v>
      </c>
    </row>
    <row r="130" spans="1:15" x14ac:dyDescent="0.25">
      <c r="A130" t="s">
        <v>179</v>
      </c>
      <c r="B130" s="5">
        <v>45817</v>
      </c>
      <c r="C130" t="s">
        <v>172</v>
      </c>
      <c r="D130" t="s">
        <v>125</v>
      </c>
      <c r="E130" t="s">
        <v>28</v>
      </c>
      <c r="F130" t="s">
        <v>19</v>
      </c>
      <c r="G130" t="s">
        <v>40</v>
      </c>
      <c r="H130" s="1" t="s">
        <v>30</v>
      </c>
      <c r="I130" t="s">
        <v>22</v>
      </c>
      <c r="J130">
        <v>8</v>
      </c>
      <c r="K130" s="1">
        <v>39000</v>
      </c>
      <c r="L130" s="2">
        <v>0.05</v>
      </c>
      <c r="M130" s="1">
        <v>296400</v>
      </c>
      <c r="N130" s="1">
        <v>235175.55</v>
      </c>
      <c r="O130" s="1">
        <v>61224.45</v>
      </c>
    </row>
    <row r="131" spans="1:15" x14ac:dyDescent="0.25">
      <c r="A131" t="s">
        <v>180</v>
      </c>
      <c r="B131" s="5">
        <v>45817</v>
      </c>
      <c r="C131" t="s">
        <v>172</v>
      </c>
      <c r="D131" t="s">
        <v>125</v>
      </c>
      <c r="E131" t="s">
        <v>47</v>
      </c>
      <c r="F131" t="s">
        <v>29</v>
      </c>
      <c r="G131" t="s">
        <v>26</v>
      </c>
      <c r="H131" s="1" t="s">
        <v>33</v>
      </c>
      <c r="I131" t="s">
        <v>31</v>
      </c>
      <c r="J131">
        <v>1</v>
      </c>
      <c r="K131" s="1">
        <v>191000</v>
      </c>
      <c r="L131" s="2">
        <v>0</v>
      </c>
      <c r="M131" s="1">
        <v>191000</v>
      </c>
      <c r="N131" s="1">
        <v>127215.4</v>
      </c>
      <c r="O131" s="1">
        <v>63784.6</v>
      </c>
    </row>
    <row r="132" spans="1:15" x14ac:dyDescent="0.25">
      <c r="A132" t="s">
        <v>181</v>
      </c>
      <c r="B132" s="5">
        <v>45818</v>
      </c>
      <c r="C132" t="s">
        <v>172</v>
      </c>
      <c r="D132" t="s">
        <v>125</v>
      </c>
      <c r="E132" t="s">
        <v>18</v>
      </c>
      <c r="F132" t="s">
        <v>19</v>
      </c>
      <c r="G132" t="s">
        <v>40</v>
      </c>
      <c r="H132" s="1" t="s">
        <v>33</v>
      </c>
      <c r="I132" t="s">
        <v>34</v>
      </c>
      <c r="J132">
        <v>1</v>
      </c>
      <c r="K132" s="1">
        <v>54000</v>
      </c>
      <c r="L132" s="2">
        <v>0</v>
      </c>
      <c r="M132" s="1">
        <v>54000</v>
      </c>
      <c r="N132" s="1">
        <v>35541.839999999997</v>
      </c>
      <c r="O132" s="1">
        <v>18458.16</v>
      </c>
    </row>
    <row r="133" spans="1:15" x14ac:dyDescent="0.25">
      <c r="A133" t="s">
        <v>182</v>
      </c>
      <c r="B133" s="5">
        <v>45819</v>
      </c>
      <c r="C133" t="s">
        <v>172</v>
      </c>
      <c r="D133" t="s">
        <v>125</v>
      </c>
      <c r="E133" t="s">
        <v>18</v>
      </c>
      <c r="F133" t="s">
        <v>43</v>
      </c>
      <c r="G133" t="s">
        <v>37</v>
      </c>
      <c r="H133" s="1" t="s">
        <v>21</v>
      </c>
      <c r="I133" t="s">
        <v>22</v>
      </c>
      <c r="J133">
        <v>1</v>
      </c>
      <c r="K133" s="1">
        <v>14000</v>
      </c>
      <c r="L133" s="2">
        <v>0</v>
      </c>
      <c r="M133" s="1">
        <v>14000</v>
      </c>
      <c r="N133" s="1">
        <v>9437.1</v>
      </c>
      <c r="O133" s="1">
        <v>4562.8999999999996</v>
      </c>
    </row>
    <row r="134" spans="1:15" x14ac:dyDescent="0.25">
      <c r="A134" t="s">
        <v>183</v>
      </c>
      <c r="B134" s="5">
        <v>45820</v>
      </c>
      <c r="C134" t="s">
        <v>172</v>
      </c>
      <c r="D134" t="s">
        <v>125</v>
      </c>
      <c r="E134" t="s">
        <v>18</v>
      </c>
      <c r="F134" t="s">
        <v>58</v>
      </c>
      <c r="G134" t="s">
        <v>60</v>
      </c>
      <c r="H134" s="1" t="s">
        <v>21</v>
      </c>
      <c r="I134" t="s">
        <v>34</v>
      </c>
      <c r="J134">
        <v>2</v>
      </c>
      <c r="K134" s="1">
        <v>302000</v>
      </c>
      <c r="L134" s="2">
        <v>0.02</v>
      </c>
      <c r="M134" s="1">
        <v>591920</v>
      </c>
      <c r="N134" s="1">
        <v>430916.03</v>
      </c>
      <c r="O134" s="1">
        <v>161003.97</v>
      </c>
    </row>
    <row r="135" spans="1:15" x14ac:dyDescent="0.25">
      <c r="A135" t="s">
        <v>184</v>
      </c>
      <c r="B135" s="5">
        <v>45821</v>
      </c>
      <c r="C135" t="s">
        <v>172</v>
      </c>
      <c r="D135" t="s">
        <v>125</v>
      </c>
      <c r="E135" t="s">
        <v>28</v>
      </c>
      <c r="F135" t="s">
        <v>68</v>
      </c>
      <c r="G135" t="s">
        <v>53</v>
      </c>
      <c r="H135" s="1" t="s">
        <v>33</v>
      </c>
      <c r="I135" t="s">
        <v>34</v>
      </c>
      <c r="J135">
        <v>8</v>
      </c>
      <c r="K135" s="1">
        <v>363000</v>
      </c>
      <c r="L135" s="2">
        <v>0</v>
      </c>
      <c r="M135" s="1">
        <v>2904000</v>
      </c>
      <c r="N135" s="1">
        <v>2181912.65</v>
      </c>
      <c r="O135" s="1">
        <v>722087.35</v>
      </c>
    </row>
    <row r="136" spans="1:15" x14ac:dyDescent="0.25">
      <c r="A136" t="s">
        <v>185</v>
      </c>
      <c r="B136" s="5">
        <v>45821</v>
      </c>
      <c r="C136" t="s">
        <v>172</v>
      </c>
      <c r="D136" t="s">
        <v>125</v>
      </c>
      <c r="E136" t="s">
        <v>47</v>
      </c>
      <c r="F136" t="s">
        <v>68</v>
      </c>
      <c r="G136" t="s">
        <v>20</v>
      </c>
      <c r="H136" s="1" t="s">
        <v>30</v>
      </c>
      <c r="I136" t="s">
        <v>34</v>
      </c>
      <c r="J136">
        <v>2</v>
      </c>
      <c r="K136" s="1">
        <v>691000</v>
      </c>
      <c r="L136" s="2">
        <v>0</v>
      </c>
      <c r="M136" s="1">
        <v>1382000</v>
      </c>
      <c r="N136" s="1">
        <v>936634.95</v>
      </c>
      <c r="O136" s="1">
        <v>445365.05</v>
      </c>
    </row>
    <row r="137" spans="1:15" x14ac:dyDescent="0.25">
      <c r="A137" t="s">
        <v>186</v>
      </c>
      <c r="B137" s="5">
        <v>45824</v>
      </c>
      <c r="C137" t="s">
        <v>172</v>
      </c>
      <c r="D137" t="s">
        <v>125</v>
      </c>
      <c r="E137" t="s">
        <v>24</v>
      </c>
      <c r="F137" t="s">
        <v>43</v>
      </c>
      <c r="G137" t="s">
        <v>60</v>
      </c>
      <c r="H137" s="1" t="s">
        <v>33</v>
      </c>
      <c r="I137" t="s">
        <v>31</v>
      </c>
      <c r="J137">
        <v>1</v>
      </c>
      <c r="K137" s="1">
        <v>141000</v>
      </c>
      <c r="L137" s="2">
        <v>0.02</v>
      </c>
      <c r="M137" s="1">
        <v>138180</v>
      </c>
      <c r="N137" s="1">
        <v>101655.9</v>
      </c>
      <c r="O137" s="1">
        <v>36524.1</v>
      </c>
    </row>
    <row r="138" spans="1:15" x14ac:dyDescent="0.25">
      <c r="A138" t="s">
        <v>187</v>
      </c>
      <c r="B138" s="5">
        <v>45825</v>
      </c>
      <c r="C138" t="s">
        <v>172</v>
      </c>
      <c r="D138" t="s">
        <v>125</v>
      </c>
      <c r="E138" t="s">
        <v>28</v>
      </c>
      <c r="F138" t="s">
        <v>43</v>
      </c>
      <c r="G138" t="s">
        <v>40</v>
      </c>
      <c r="H138" s="1" t="s">
        <v>33</v>
      </c>
      <c r="I138" t="s">
        <v>41</v>
      </c>
      <c r="J138">
        <v>3</v>
      </c>
      <c r="K138" s="1">
        <v>33000</v>
      </c>
      <c r="L138" s="2">
        <v>0.05</v>
      </c>
      <c r="M138" s="1">
        <v>94050</v>
      </c>
      <c r="N138" s="1">
        <v>65573.59</v>
      </c>
      <c r="O138" s="1">
        <v>28476.41</v>
      </c>
    </row>
    <row r="139" spans="1:15" x14ac:dyDescent="0.25">
      <c r="A139" t="s">
        <v>188</v>
      </c>
      <c r="B139" s="5">
        <v>45826</v>
      </c>
      <c r="C139" t="s">
        <v>172</v>
      </c>
      <c r="D139" t="s">
        <v>125</v>
      </c>
      <c r="E139" t="s">
        <v>18</v>
      </c>
      <c r="F139" t="s">
        <v>19</v>
      </c>
      <c r="G139" t="s">
        <v>51</v>
      </c>
      <c r="H139" s="1" t="s">
        <v>30</v>
      </c>
      <c r="I139" t="s">
        <v>34</v>
      </c>
      <c r="J139">
        <v>3</v>
      </c>
      <c r="K139" s="1">
        <v>48000</v>
      </c>
      <c r="L139" s="2">
        <v>0.02</v>
      </c>
      <c r="M139" s="1">
        <v>141120</v>
      </c>
      <c r="N139" s="1">
        <v>110632.37</v>
      </c>
      <c r="O139" s="1">
        <v>30487.63</v>
      </c>
    </row>
    <row r="140" spans="1:15" x14ac:dyDescent="0.25">
      <c r="A140" t="s">
        <v>189</v>
      </c>
      <c r="B140" s="5">
        <v>45826</v>
      </c>
      <c r="C140" t="s">
        <v>172</v>
      </c>
      <c r="D140" t="s">
        <v>125</v>
      </c>
      <c r="E140" t="s">
        <v>18</v>
      </c>
      <c r="F140" t="s">
        <v>25</v>
      </c>
      <c r="G140" t="s">
        <v>51</v>
      </c>
      <c r="H140" s="1" t="s">
        <v>30</v>
      </c>
      <c r="I140" t="s">
        <v>34</v>
      </c>
      <c r="J140">
        <v>4</v>
      </c>
      <c r="K140" s="1">
        <v>63000</v>
      </c>
      <c r="L140" s="2">
        <v>0.05</v>
      </c>
      <c r="M140" s="1">
        <v>239400</v>
      </c>
      <c r="N140" s="1">
        <v>189954.05</v>
      </c>
      <c r="O140" s="1">
        <v>49445.95</v>
      </c>
    </row>
    <row r="141" spans="1:15" x14ac:dyDescent="0.25">
      <c r="A141" t="s">
        <v>190</v>
      </c>
      <c r="B141" s="5">
        <v>45827</v>
      </c>
      <c r="C141" t="s">
        <v>172</v>
      </c>
      <c r="D141" t="s">
        <v>125</v>
      </c>
      <c r="E141" t="s">
        <v>24</v>
      </c>
      <c r="F141" t="s">
        <v>58</v>
      </c>
      <c r="G141" t="s">
        <v>45</v>
      </c>
      <c r="H141" s="1" t="s">
        <v>33</v>
      </c>
      <c r="I141" t="s">
        <v>41</v>
      </c>
      <c r="J141">
        <v>1</v>
      </c>
      <c r="K141" s="1">
        <v>315000</v>
      </c>
      <c r="L141" s="2">
        <v>0.02</v>
      </c>
      <c r="M141" s="1">
        <v>308700</v>
      </c>
      <c r="N141" s="1">
        <v>225525.11</v>
      </c>
      <c r="O141" s="1">
        <v>83174.89</v>
      </c>
    </row>
    <row r="142" spans="1:15" x14ac:dyDescent="0.25">
      <c r="A142" t="s">
        <v>191</v>
      </c>
      <c r="B142" s="5">
        <v>45829</v>
      </c>
      <c r="C142" t="s">
        <v>172</v>
      </c>
      <c r="D142" t="s">
        <v>125</v>
      </c>
      <c r="E142" t="s">
        <v>28</v>
      </c>
      <c r="F142" t="s">
        <v>36</v>
      </c>
      <c r="G142" t="s">
        <v>40</v>
      </c>
      <c r="H142" s="1" t="s">
        <v>30</v>
      </c>
      <c r="I142" t="s">
        <v>22</v>
      </c>
      <c r="J142">
        <v>2</v>
      </c>
      <c r="K142" s="1">
        <v>32000</v>
      </c>
      <c r="L142" s="2">
        <v>0.05</v>
      </c>
      <c r="M142" s="1">
        <v>60800</v>
      </c>
      <c r="N142" s="1">
        <v>47416.9</v>
      </c>
      <c r="O142" s="1">
        <v>13383.1</v>
      </c>
    </row>
    <row r="143" spans="1:15" x14ac:dyDescent="0.25">
      <c r="A143" t="s">
        <v>192</v>
      </c>
      <c r="B143" s="5">
        <v>45830</v>
      </c>
      <c r="C143" t="s">
        <v>172</v>
      </c>
      <c r="D143" t="s">
        <v>125</v>
      </c>
      <c r="E143" t="s">
        <v>47</v>
      </c>
      <c r="F143" t="s">
        <v>36</v>
      </c>
      <c r="G143" t="s">
        <v>37</v>
      </c>
      <c r="H143" s="1" t="s">
        <v>21</v>
      </c>
      <c r="I143" t="s">
        <v>41</v>
      </c>
      <c r="J143">
        <v>2</v>
      </c>
      <c r="K143" s="1">
        <v>16000</v>
      </c>
      <c r="L143" s="2">
        <v>0</v>
      </c>
      <c r="M143" s="1">
        <v>32000</v>
      </c>
      <c r="N143" s="1">
        <v>21449.23</v>
      </c>
      <c r="O143" s="1">
        <v>10550.77</v>
      </c>
    </row>
    <row r="144" spans="1:15" x14ac:dyDescent="0.25">
      <c r="A144" t="s">
        <v>193</v>
      </c>
      <c r="B144" s="5">
        <v>45834</v>
      </c>
      <c r="C144" t="s">
        <v>172</v>
      </c>
      <c r="D144" t="s">
        <v>125</v>
      </c>
      <c r="E144" t="s">
        <v>24</v>
      </c>
      <c r="F144" t="s">
        <v>55</v>
      </c>
      <c r="G144" t="s">
        <v>60</v>
      </c>
      <c r="H144" s="1" t="s">
        <v>33</v>
      </c>
      <c r="I144" t="s">
        <v>22</v>
      </c>
      <c r="J144">
        <v>4</v>
      </c>
      <c r="K144" s="1">
        <v>220000</v>
      </c>
      <c r="L144" s="2">
        <v>0</v>
      </c>
      <c r="M144" s="1">
        <v>880000</v>
      </c>
      <c r="N144" s="1">
        <v>691532.9</v>
      </c>
      <c r="O144" s="1">
        <v>188467.1</v>
      </c>
    </row>
    <row r="145" spans="1:15" x14ac:dyDescent="0.25">
      <c r="A145" t="s">
        <v>194</v>
      </c>
      <c r="B145" s="5">
        <v>45836</v>
      </c>
      <c r="C145" t="s">
        <v>172</v>
      </c>
      <c r="D145" t="s">
        <v>125</v>
      </c>
      <c r="E145" t="s">
        <v>18</v>
      </c>
      <c r="F145" t="s">
        <v>68</v>
      </c>
      <c r="G145" t="s">
        <v>53</v>
      </c>
      <c r="H145" s="1" t="s">
        <v>33</v>
      </c>
      <c r="I145" t="s">
        <v>41</v>
      </c>
      <c r="J145">
        <v>8</v>
      </c>
      <c r="K145" s="1">
        <v>260000</v>
      </c>
      <c r="L145" s="2">
        <v>0</v>
      </c>
      <c r="M145" s="1">
        <v>2080000</v>
      </c>
      <c r="N145" s="1">
        <v>1617741.74</v>
      </c>
      <c r="O145" s="1">
        <v>462258.26</v>
      </c>
    </row>
    <row r="146" spans="1:15" x14ac:dyDescent="0.25">
      <c r="A146" t="s">
        <v>195</v>
      </c>
      <c r="B146" s="5">
        <v>45836</v>
      </c>
      <c r="C146" t="s">
        <v>172</v>
      </c>
      <c r="D146" t="s">
        <v>125</v>
      </c>
      <c r="E146" t="s">
        <v>18</v>
      </c>
      <c r="F146" t="s">
        <v>55</v>
      </c>
      <c r="G146" t="s">
        <v>40</v>
      </c>
      <c r="H146" s="1" t="s">
        <v>33</v>
      </c>
      <c r="I146" t="s">
        <v>34</v>
      </c>
      <c r="J146">
        <v>1</v>
      </c>
      <c r="K146" s="1">
        <v>23000</v>
      </c>
      <c r="L146" s="2">
        <v>0</v>
      </c>
      <c r="M146" s="1">
        <v>23000</v>
      </c>
      <c r="N146" s="1">
        <v>14735.22</v>
      </c>
      <c r="O146" s="1">
        <v>8264.7800000000007</v>
      </c>
    </row>
    <row r="147" spans="1:15" x14ac:dyDescent="0.25">
      <c r="A147" t="s">
        <v>196</v>
      </c>
      <c r="B147" s="5">
        <v>45837</v>
      </c>
      <c r="C147" t="s">
        <v>172</v>
      </c>
      <c r="D147" t="s">
        <v>125</v>
      </c>
      <c r="E147" t="s">
        <v>49</v>
      </c>
      <c r="F147" t="s">
        <v>19</v>
      </c>
      <c r="G147" t="s">
        <v>26</v>
      </c>
      <c r="H147" s="1" t="s">
        <v>33</v>
      </c>
      <c r="I147" t="s">
        <v>31</v>
      </c>
      <c r="J147">
        <v>2</v>
      </c>
      <c r="K147" s="1">
        <v>132000</v>
      </c>
      <c r="L147" s="2">
        <v>0</v>
      </c>
      <c r="M147" s="1">
        <v>264000</v>
      </c>
      <c r="N147" s="1">
        <v>172993.23</v>
      </c>
      <c r="O147" s="1">
        <v>91006.77</v>
      </c>
    </row>
    <row r="148" spans="1:15" x14ac:dyDescent="0.25">
      <c r="A148" t="s">
        <v>197</v>
      </c>
      <c r="B148" s="5">
        <v>45838</v>
      </c>
      <c r="C148" t="s">
        <v>172</v>
      </c>
      <c r="D148" t="s">
        <v>125</v>
      </c>
      <c r="E148" t="s">
        <v>28</v>
      </c>
      <c r="F148" t="s">
        <v>55</v>
      </c>
      <c r="G148" t="s">
        <v>53</v>
      </c>
      <c r="H148" s="1" t="s">
        <v>30</v>
      </c>
      <c r="I148" t="s">
        <v>34</v>
      </c>
      <c r="J148">
        <v>3</v>
      </c>
      <c r="K148" s="1">
        <v>393000</v>
      </c>
      <c r="L148" s="2">
        <v>0</v>
      </c>
      <c r="M148" s="1">
        <v>1179000</v>
      </c>
      <c r="N148" s="1">
        <v>918864.93</v>
      </c>
      <c r="O148" s="1">
        <v>260135.07</v>
      </c>
    </row>
    <row r="149" spans="1:15" x14ac:dyDescent="0.25">
      <c r="A149" t="s">
        <v>198</v>
      </c>
      <c r="B149" s="5">
        <v>45838</v>
      </c>
      <c r="C149" t="s">
        <v>172</v>
      </c>
      <c r="D149" t="s">
        <v>125</v>
      </c>
      <c r="E149" t="s">
        <v>28</v>
      </c>
      <c r="F149" t="s">
        <v>19</v>
      </c>
      <c r="G149" t="s">
        <v>60</v>
      </c>
      <c r="H149" s="1" t="s">
        <v>21</v>
      </c>
      <c r="I149" t="s">
        <v>41</v>
      </c>
      <c r="J149">
        <v>2</v>
      </c>
      <c r="K149" s="1">
        <v>355000</v>
      </c>
      <c r="L149" s="2">
        <v>0.1</v>
      </c>
      <c r="M149" s="1">
        <v>639000</v>
      </c>
      <c r="N149" s="1">
        <v>473100.47</v>
      </c>
      <c r="O149" s="1">
        <v>165899.53</v>
      </c>
    </row>
    <row r="150" spans="1:15" x14ac:dyDescent="0.25">
      <c r="A150" t="s">
        <v>199</v>
      </c>
      <c r="B150" s="5">
        <v>45839</v>
      </c>
      <c r="C150" t="s">
        <v>200</v>
      </c>
      <c r="D150" t="s">
        <v>201</v>
      </c>
      <c r="E150" t="s">
        <v>49</v>
      </c>
      <c r="F150" t="s">
        <v>29</v>
      </c>
      <c r="G150" t="s">
        <v>53</v>
      </c>
      <c r="H150" s="1" t="s">
        <v>21</v>
      </c>
      <c r="I150" t="s">
        <v>41</v>
      </c>
      <c r="J150">
        <v>6</v>
      </c>
      <c r="K150" s="1">
        <v>296000</v>
      </c>
      <c r="L150" s="2">
        <v>0</v>
      </c>
      <c r="M150" s="1">
        <v>1776000</v>
      </c>
      <c r="N150" s="1">
        <v>1197716.54</v>
      </c>
      <c r="O150" s="1">
        <v>578283.46</v>
      </c>
    </row>
    <row r="151" spans="1:15" x14ac:dyDescent="0.25">
      <c r="A151" t="s">
        <v>202</v>
      </c>
      <c r="B151" s="5">
        <v>45841</v>
      </c>
      <c r="C151" t="s">
        <v>200</v>
      </c>
      <c r="D151" t="s">
        <v>201</v>
      </c>
      <c r="E151" t="s">
        <v>49</v>
      </c>
      <c r="F151" t="s">
        <v>19</v>
      </c>
      <c r="G151" t="s">
        <v>45</v>
      </c>
      <c r="H151" s="1" t="s">
        <v>33</v>
      </c>
      <c r="I151" t="s">
        <v>22</v>
      </c>
      <c r="J151">
        <v>1</v>
      </c>
      <c r="K151" s="1">
        <v>308000</v>
      </c>
      <c r="L151" s="2">
        <v>0.05</v>
      </c>
      <c r="M151" s="1">
        <v>292600</v>
      </c>
      <c r="N151" s="1">
        <v>188872.64</v>
      </c>
      <c r="O151" s="1">
        <v>103727.36</v>
      </c>
    </row>
    <row r="152" spans="1:15" x14ac:dyDescent="0.25">
      <c r="A152" t="s">
        <v>203</v>
      </c>
      <c r="B152" s="5">
        <v>45843</v>
      </c>
      <c r="C152" t="s">
        <v>200</v>
      </c>
      <c r="D152" t="s">
        <v>201</v>
      </c>
      <c r="E152" t="s">
        <v>28</v>
      </c>
      <c r="F152" t="s">
        <v>43</v>
      </c>
      <c r="G152" t="s">
        <v>40</v>
      </c>
      <c r="H152" s="1" t="s">
        <v>33</v>
      </c>
      <c r="I152" t="s">
        <v>34</v>
      </c>
      <c r="J152">
        <v>5</v>
      </c>
      <c r="K152" s="1">
        <v>38000</v>
      </c>
      <c r="L152" s="2">
        <v>0.02</v>
      </c>
      <c r="M152" s="1">
        <v>186200</v>
      </c>
      <c r="N152" s="1">
        <v>152391.04000000001</v>
      </c>
      <c r="O152" s="1">
        <v>33808.959999999999</v>
      </c>
    </row>
    <row r="153" spans="1:15" x14ac:dyDescent="0.25">
      <c r="A153" t="s">
        <v>204</v>
      </c>
      <c r="B153" s="5">
        <v>45844</v>
      </c>
      <c r="C153" t="s">
        <v>200</v>
      </c>
      <c r="D153" t="s">
        <v>201</v>
      </c>
      <c r="E153" t="s">
        <v>47</v>
      </c>
      <c r="F153" t="s">
        <v>43</v>
      </c>
      <c r="G153" t="s">
        <v>53</v>
      </c>
      <c r="H153" s="1" t="s">
        <v>21</v>
      </c>
      <c r="I153" t="s">
        <v>31</v>
      </c>
      <c r="J153">
        <v>4</v>
      </c>
      <c r="K153" s="1">
        <v>372000</v>
      </c>
      <c r="L153" s="2">
        <v>0</v>
      </c>
      <c r="M153" s="1">
        <v>1488000</v>
      </c>
      <c r="N153" s="1">
        <v>945469.22</v>
      </c>
      <c r="O153" s="1">
        <v>542530.78</v>
      </c>
    </row>
    <row r="154" spans="1:15" x14ac:dyDescent="0.25">
      <c r="A154" t="s">
        <v>205</v>
      </c>
      <c r="B154" s="5">
        <v>45845</v>
      </c>
      <c r="C154" t="s">
        <v>200</v>
      </c>
      <c r="D154" t="s">
        <v>201</v>
      </c>
      <c r="E154" t="s">
        <v>24</v>
      </c>
      <c r="F154" t="s">
        <v>58</v>
      </c>
      <c r="G154" t="s">
        <v>26</v>
      </c>
      <c r="H154" s="1" t="s">
        <v>30</v>
      </c>
      <c r="I154" t="s">
        <v>41</v>
      </c>
      <c r="J154">
        <v>5</v>
      </c>
      <c r="K154" s="1">
        <v>203000</v>
      </c>
      <c r="L154" s="2">
        <v>0</v>
      </c>
      <c r="M154" s="1">
        <v>1015000</v>
      </c>
      <c r="N154" s="1">
        <v>637573.07999999996</v>
      </c>
      <c r="O154" s="1">
        <v>377426.92</v>
      </c>
    </row>
    <row r="155" spans="1:15" x14ac:dyDescent="0.25">
      <c r="A155" t="s">
        <v>206</v>
      </c>
      <c r="B155" s="5">
        <v>45845</v>
      </c>
      <c r="C155" t="s">
        <v>200</v>
      </c>
      <c r="D155" t="s">
        <v>201</v>
      </c>
      <c r="E155" t="s">
        <v>24</v>
      </c>
      <c r="F155" t="s">
        <v>29</v>
      </c>
      <c r="G155" t="s">
        <v>37</v>
      </c>
      <c r="H155" s="1" t="s">
        <v>30</v>
      </c>
      <c r="I155" t="s">
        <v>22</v>
      </c>
      <c r="J155">
        <v>3</v>
      </c>
      <c r="K155" s="1">
        <v>9000</v>
      </c>
      <c r="L155" s="2">
        <v>0.02</v>
      </c>
      <c r="M155" s="1">
        <v>26460</v>
      </c>
      <c r="N155" s="1">
        <v>19591.75</v>
      </c>
      <c r="O155" s="1">
        <v>6868.25</v>
      </c>
    </row>
    <row r="156" spans="1:15" x14ac:dyDescent="0.25">
      <c r="A156" t="s">
        <v>207</v>
      </c>
      <c r="B156" s="5">
        <v>45845</v>
      </c>
      <c r="C156" t="s">
        <v>200</v>
      </c>
      <c r="D156" t="s">
        <v>201</v>
      </c>
      <c r="E156" t="s">
        <v>18</v>
      </c>
      <c r="F156" t="s">
        <v>36</v>
      </c>
      <c r="G156" t="s">
        <v>20</v>
      </c>
      <c r="H156" s="1" t="s">
        <v>33</v>
      </c>
      <c r="I156" t="s">
        <v>34</v>
      </c>
      <c r="J156">
        <v>3</v>
      </c>
      <c r="K156" s="1">
        <v>459000</v>
      </c>
      <c r="L156" s="2">
        <v>0</v>
      </c>
      <c r="M156" s="1">
        <v>1377000</v>
      </c>
      <c r="N156" s="1">
        <v>866591.72</v>
      </c>
      <c r="O156" s="1">
        <v>510408.28</v>
      </c>
    </row>
    <row r="157" spans="1:15" x14ac:dyDescent="0.25">
      <c r="A157" t="s">
        <v>208</v>
      </c>
      <c r="B157" s="5">
        <v>45846</v>
      </c>
      <c r="C157" t="s">
        <v>200</v>
      </c>
      <c r="D157" t="s">
        <v>201</v>
      </c>
      <c r="E157" t="s">
        <v>24</v>
      </c>
      <c r="F157" t="s">
        <v>58</v>
      </c>
      <c r="G157" t="s">
        <v>53</v>
      </c>
      <c r="H157" s="1" t="s">
        <v>33</v>
      </c>
      <c r="I157" t="s">
        <v>22</v>
      </c>
      <c r="J157">
        <v>5</v>
      </c>
      <c r="K157" s="1">
        <v>417000</v>
      </c>
      <c r="L157" s="2">
        <v>0.02</v>
      </c>
      <c r="M157" s="1">
        <v>2043300</v>
      </c>
      <c r="N157" s="1">
        <v>1488436.66</v>
      </c>
      <c r="O157" s="1">
        <v>554863.34</v>
      </c>
    </row>
    <row r="158" spans="1:15" x14ac:dyDescent="0.25">
      <c r="A158" t="s">
        <v>209</v>
      </c>
      <c r="B158" s="5">
        <v>45847</v>
      </c>
      <c r="C158" t="s">
        <v>200</v>
      </c>
      <c r="D158" t="s">
        <v>201</v>
      </c>
      <c r="E158" t="s">
        <v>47</v>
      </c>
      <c r="F158" t="s">
        <v>58</v>
      </c>
      <c r="G158" t="s">
        <v>51</v>
      </c>
      <c r="H158" s="1" t="s">
        <v>33</v>
      </c>
      <c r="I158" t="s">
        <v>31</v>
      </c>
      <c r="J158">
        <v>1</v>
      </c>
      <c r="K158" s="1">
        <v>37000</v>
      </c>
      <c r="L158" s="2">
        <v>0.02</v>
      </c>
      <c r="M158" s="1">
        <v>36260</v>
      </c>
      <c r="N158" s="1">
        <v>28471.19</v>
      </c>
      <c r="O158" s="1">
        <v>7788.81</v>
      </c>
    </row>
    <row r="159" spans="1:15" x14ac:dyDescent="0.25">
      <c r="A159" t="s">
        <v>210</v>
      </c>
      <c r="B159" s="5">
        <v>45847</v>
      </c>
      <c r="C159" t="s">
        <v>200</v>
      </c>
      <c r="D159" t="s">
        <v>201</v>
      </c>
      <c r="E159" t="s">
        <v>18</v>
      </c>
      <c r="F159" t="s">
        <v>19</v>
      </c>
      <c r="G159" t="s">
        <v>60</v>
      </c>
      <c r="H159" s="1" t="s">
        <v>30</v>
      </c>
      <c r="I159" t="s">
        <v>22</v>
      </c>
      <c r="J159">
        <v>2</v>
      </c>
      <c r="K159" s="1">
        <v>332000</v>
      </c>
      <c r="L159" s="2">
        <v>0.02</v>
      </c>
      <c r="M159" s="1">
        <v>650720</v>
      </c>
      <c r="N159" s="1">
        <v>471229.85</v>
      </c>
      <c r="O159" s="1">
        <v>179490.15</v>
      </c>
    </row>
    <row r="160" spans="1:15" x14ac:dyDescent="0.25">
      <c r="A160" t="s">
        <v>211</v>
      </c>
      <c r="B160" s="5">
        <v>45848</v>
      </c>
      <c r="C160" t="s">
        <v>200</v>
      </c>
      <c r="D160" t="s">
        <v>201</v>
      </c>
      <c r="E160" t="s">
        <v>24</v>
      </c>
      <c r="F160" t="s">
        <v>43</v>
      </c>
      <c r="G160" t="s">
        <v>40</v>
      </c>
      <c r="H160" s="1" t="s">
        <v>21</v>
      </c>
      <c r="I160" t="s">
        <v>34</v>
      </c>
      <c r="J160">
        <v>3</v>
      </c>
      <c r="K160" s="1">
        <v>27000</v>
      </c>
      <c r="L160" s="2">
        <v>0</v>
      </c>
      <c r="M160" s="1">
        <v>81000</v>
      </c>
      <c r="N160" s="1">
        <v>53214.64</v>
      </c>
      <c r="O160" s="1">
        <v>27785.360000000001</v>
      </c>
    </row>
    <row r="161" spans="1:15" x14ac:dyDescent="0.25">
      <c r="A161" t="s">
        <v>212</v>
      </c>
      <c r="B161" s="5">
        <v>45849</v>
      </c>
      <c r="C161" t="s">
        <v>200</v>
      </c>
      <c r="D161" t="s">
        <v>201</v>
      </c>
      <c r="E161" t="s">
        <v>49</v>
      </c>
      <c r="F161" t="s">
        <v>25</v>
      </c>
      <c r="G161" t="s">
        <v>20</v>
      </c>
      <c r="H161" s="1" t="s">
        <v>33</v>
      </c>
      <c r="I161" t="s">
        <v>22</v>
      </c>
      <c r="J161">
        <v>5</v>
      </c>
      <c r="K161" s="1">
        <v>583000</v>
      </c>
      <c r="L161" s="2">
        <v>0.02</v>
      </c>
      <c r="M161" s="1">
        <v>2856700</v>
      </c>
      <c r="N161" s="1">
        <v>2221721.27</v>
      </c>
      <c r="O161" s="1">
        <v>634978.73</v>
      </c>
    </row>
    <row r="162" spans="1:15" x14ac:dyDescent="0.25">
      <c r="A162" t="s">
        <v>213</v>
      </c>
      <c r="B162" s="5">
        <v>45849</v>
      </c>
      <c r="C162" t="s">
        <v>200</v>
      </c>
      <c r="D162" t="s">
        <v>201</v>
      </c>
      <c r="E162" t="s">
        <v>28</v>
      </c>
      <c r="F162" t="s">
        <v>29</v>
      </c>
      <c r="G162" t="s">
        <v>37</v>
      </c>
      <c r="H162" s="1" t="s">
        <v>33</v>
      </c>
      <c r="I162" t="s">
        <v>34</v>
      </c>
      <c r="J162">
        <v>8</v>
      </c>
      <c r="K162" s="1">
        <v>8000</v>
      </c>
      <c r="L162" s="2">
        <v>0.05</v>
      </c>
      <c r="M162" s="1">
        <v>60800</v>
      </c>
      <c r="N162" s="1">
        <v>40278.04</v>
      </c>
      <c r="O162" s="1">
        <v>20521.96</v>
      </c>
    </row>
    <row r="163" spans="1:15" x14ac:dyDescent="0.25">
      <c r="A163" t="s">
        <v>214</v>
      </c>
      <c r="B163" s="5">
        <v>45850</v>
      </c>
      <c r="C163" t="s">
        <v>200</v>
      </c>
      <c r="D163" t="s">
        <v>201</v>
      </c>
      <c r="E163" t="s">
        <v>28</v>
      </c>
      <c r="F163" t="s">
        <v>68</v>
      </c>
      <c r="G163" t="s">
        <v>26</v>
      </c>
      <c r="H163" s="1" t="s">
        <v>33</v>
      </c>
      <c r="I163" t="s">
        <v>31</v>
      </c>
      <c r="J163">
        <v>5</v>
      </c>
      <c r="K163" s="1">
        <v>146000</v>
      </c>
      <c r="L163" s="2">
        <v>0.02</v>
      </c>
      <c r="M163" s="1">
        <v>715400</v>
      </c>
      <c r="N163" s="1">
        <v>527837.65</v>
      </c>
      <c r="O163" s="1">
        <v>187562.35</v>
      </c>
    </row>
    <row r="164" spans="1:15" x14ac:dyDescent="0.25">
      <c r="A164" t="s">
        <v>215</v>
      </c>
      <c r="B164" s="5">
        <v>45851</v>
      </c>
      <c r="C164" t="s">
        <v>200</v>
      </c>
      <c r="D164" t="s">
        <v>201</v>
      </c>
      <c r="E164" t="s">
        <v>49</v>
      </c>
      <c r="F164" t="s">
        <v>29</v>
      </c>
      <c r="G164" t="s">
        <v>45</v>
      </c>
      <c r="H164" s="1" t="s">
        <v>33</v>
      </c>
      <c r="I164" t="s">
        <v>34</v>
      </c>
      <c r="J164">
        <v>3</v>
      </c>
      <c r="K164" s="1">
        <v>312000</v>
      </c>
      <c r="L164" s="2">
        <v>0</v>
      </c>
      <c r="M164" s="1">
        <v>936000</v>
      </c>
      <c r="N164" s="1">
        <v>713991.88</v>
      </c>
      <c r="O164" s="1">
        <v>222008.12</v>
      </c>
    </row>
    <row r="165" spans="1:15" x14ac:dyDescent="0.25">
      <c r="A165" t="s">
        <v>216</v>
      </c>
      <c r="B165" s="5">
        <v>45853</v>
      </c>
      <c r="C165" t="s">
        <v>200</v>
      </c>
      <c r="D165" t="s">
        <v>201</v>
      </c>
      <c r="E165" t="s">
        <v>49</v>
      </c>
      <c r="F165" t="s">
        <v>55</v>
      </c>
      <c r="G165" t="s">
        <v>60</v>
      </c>
      <c r="H165" s="1" t="s">
        <v>30</v>
      </c>
      <c r="I165" t="s">
        <v>34</v>
      </c>
      <c r="J165">
        <v>4</v>
      </c>
      <c r="K165" s="1">
        <v>340000</v>
      </c>
      <c r="L165" s="2">
        <v>0.05</v>
      </c>
      <c r="M165" s="1">
        <v>1292000</v>
      </c>
      <c r="N165" s="1">
        <v>838024.27</v>
      </c>
      <c r="O165" s="1">
        <v>453975.73</v>
      </c>
    </row>
    <row r="166" spans="1:15" x14ac:dyDescent="0.25">
      <c r="A166" t="s">
        <v>217</v>
      </c>
      <c r="B166" s="5">
        <v>45855</v>
      </c>
      <c r="C166" t="s">
        <v>200</v>
      </c>
      <c r="D166" t="s">
        <v>201</v>
      </c>
      <c r="E166" t="s">
        <v>49</v>
      </c>
      <c r="F166" t="s">
        <v>68</v>
      </c>
      <c r="G166" t="s">
        <v>37</v>
      </c>
      <c r="H166" s="1" t="s">
        <v>33</v>
      </c>
      <c r="I166" t="s">
        <v>31</v>
      </c>
      <c r="J166">
        <v>4</v>
      </c>
      <c r="K166" s="1">
        <v>13000</v>
      </c>
      <c r="L166" s="2">
        <v>0</v>
      </c>
      <c r="M166" s="1">
        <v>52000</v>
      </c>
      <c r="N166" s="1">
        <v>38815.980000000003</v>
      </c>
      <c r="O166" s="1">
        <v>13184.02</v>
      </c>
    </row>
    <row r="167" spans="1:15" x14ac:dyDescent="0.25">
      <c r="A167" t="s">
        <v>218</v>
      </c>
      <c r="B167" s="5">
        <v>45855</v>
      </c>
      <c r="C167" t="s">
        <v>200</v>
      </c>
      <c r="D167" t="s">
        <v>201</v>
      </c>
      <c r="E167" t="s">
        <v>28</v>
      </c>
      <c r="F167" t="s">
        <v>68</v>
      </c>
      <c r="G167" t="s">
        <v>45</v>
      </c>
      <c r="H167" s="1" t="s">
        <v>21</v>
      </c>
      <c r="I167" t="s">
        <v>22</v>
      </c>
      <c r="J167">
        <v>8</v>
      </c>
      <c r="K167" s="1">
        <v>148000</v>
      </c>
      <c r="L167" s="2">
        <v>0.05</v>
      </c>
      <c r="M167" s="1">
        <v>1124800</v>
      </c>
      <c r="N167" s="1">
        <v>755636.74</v>
      </c>
      <c r="O167" s="1">
        <v>369163.26</v>
      </c>
    </row>
    <row r="168" spans="1:15" x14ac:dyDescent="0.25">
      <c r="A168" t="s">
        <v>219</v>
      </c>
      <c r="B168" s="5">
        <v>45856</v>
      </c>
      <c r="C168" t="s">
        <v>200</v>
      </c>
      <c r="D168" t="s">
        <v>201</v>
      </c>
      <c r="E168" t="s">
        <v>49</v>
      </c>
      <c r="F168" t="s">
        <v>55</v>
      </c>
      <c r="G168" t="s">
        <v>51</v>
      </c>
      <c r="H168" s="1" t="s">
        <v>33</v>
      </c>
      <c r="I168" t="s">
        <v>41</v>
      </c>
      <c r="J168">
        <v>4</v>
      </c>
      <c r="K168" s="1">
        <v>19000</v>
      </c>
      <c r="L168" s="2">
        <v>0.1</v>
      </c>
      <c r="M168" s="1">
        <v>68400</v>
      </c>
      <c r="N168" s="1">
        <v>50071.1</v>
      </c>
      <c r="O168" s="1">
        <v>18328.900000000001</v>
      </c>
    </row>
    <row r="169" spans="1:15" x14ac:dyDescent="0.25">
      <c r="A169" t="s">
        <v>220</v>
      </c>
      <c r="B169" s="5">
        <v>45858</v>
      </c>
      <c r="C169" t="s">
        <v>200</v>
      </c>
      <c r="D169" t="s">
        <v>201</v>
      </c>
      <c r="E169" t="s">
        <v>28</v>
      </c>
      <c r="F169" t="s">
        <v>43</v>
      </c>
      <c r="G169" t="s">
        <v>40</v>
      </c>
      <c r="H169" s="1" t="s">
        <v>21</v>
      </c>
      <c r="I169" t="s">
        <v>34</v>
      </c>
      <c r="J169">
        <v>2</v>
      </c>
      <c r="K169" s="1">
        <v>41000</v>
      </c>
      <c r="L169" s="2">
        <v>0</v>
      </c>
      <c r="M169" s="1">
        <v>82000</v>
      </c>
      <c r="N169" s="1">
        <v>58849.34</v>
      </c>
      <c r="O169" s="1">
        <v>23150.66</v>
      </c>
    </row>
    <row r="170" spans="1:15" x14ac:dyDescent="0.25">
      <c r="A170" t="s">
        <v>221</v>
      </c>
      <c r="B170" s="5">
        <v>45859</v>
      </c>
      <c r="C170" t="s">
        <v>200</v>
      </c>
      <c r="D170" t="s">
        <v>201</v>
      </c>
      <c r="E170" t="s">
        <v>24</v>
      </c>
      <c r="F170" t="s">
        <v>55</v>
      </c>
      <c r="G170" t="s">
        <v>60</v>
      </c>
      <c r="H170" s="1" t="s">
        <v>33</v>
      </c>
      <c r="I170" t="s">
        <v>34</v>
      </c>
      <c r="J170">
        <v>3</v>
      </c>
      <c r="K170" s="1">
        <v>145000</v>
      </c>
      <c r="L170" s="2">
        <v>0.02</v>
      </c>
      <c r="M170" s="1">
        <v>426300</v>
      </c>
      <c r="N170" s="1">
        <v>324198.15999999997</v>
      </c>
      <c r="O170" s="1">
        <v>102101.84</v>
      </c>
    </row>
    <row r="171" spans="1:15" x14ac:dyDescent="0.25">
      <c r="A171" t="s">
        <v>222</v>
      </c>
      <c r="B171" s="5">
        <v>45861</v>
      </c>
      <c r="C171" t="s">
        <v>200</v>
      </c>
      <c r="D171" t="s">
        <v>201</v>
      </c>
      <c r="E171" t="s">
        <v>49</v>
      </c>
      <c r="F171" t="s">
        <v>29</v>
      </c>
      <c r="G171" t="s">
        <v>53</v>
      </c>
      <c r="H171" s="1" t="s">
        <v>30</v>
      </c>
      <c r="I171" t="s">
        <v>41</v>
      </c>
      <c r="J171">
        <v>2</v>
      </c>
      <c r="K171" s="1">
        <v>348000</v>
      </c>
      <c r="L171" s="2">
        <v>0.02</v>
      </c>
      <c r="M171" s="1">
        <v>682080</v>
      </c>
      <c r="N171" s="1">
        <v>471553.56</v>
      </c>
      <c r="O171" s="1">
        <v>210526.44</v>
      </c>
    </row>
    <row r="172" spans="1:15" x14ac:dyDescent="0.25">
      <c r="A172" t="s">
        <v>223</v>
      </c>
      <c r="B172" s="5">
        <v>45863</v>
      </c>
      <c r="C172" t="s">
        <v>200</v>
      </c>
      <c r="D172" t="s">
        <v>201</v>
      </c>
      <c r="E172" t="s">
        <v>47</v>
      </c>
      <c r="F172" t="s">
        <v>58</v>
      </c>
      <c r="G172" t="s">
        <v>60</v>
      </c>
      <c r="H172" s="1" t="s">
        <v>30</v>
      </c>
      <c r="I172" t="s">
        <v>31</v>
      </c>
      <c r="J172">
        <v>4</v>
      </c>
      <c r="K172" s="1">
        <v>364000</v>
      </c>
      <c r="L172" s="2">
        <v>0.05</v>
      </c>
      <c r="M172" s="1">
        <v>1383200</v>
      </c>
      <c r="N172" s="1">
        <v>1129188.79</v>
      </c>
      <c r="O172" s="1">
        <v>254011.21</v>
      </c>
    </row>
    <row r="173" spans="1:15" x14ac:dyDescent="0.25">
      <c r="A173" t="s">
        <v>224</v>
      </c>
      <c r="B173" s="5">
        <v>45864</v>
      </c>
      <c r="C173" t="s">
        <v>200</v>
      </c>
      <c r="D173" t="s">
        <v>201</v>
      </c>
      <c r="E173" t="s">
        <v>24</v>
      </c>
      <c r="F173" t="s">
        <v>36</v>
      </c>
      <c r="G173" t="s">
        <v>60</v>
      </c>
      <c r="H173" s="1" t="s">
        <v>30</v>
      </c>
      <c r="I173" t="s">
        <v>22</v>
      </c>
      <c r="J173">
        <v>5</v>
      </c>
      <c r="K173" s="1">
        <v>128000</v>
      </c>
      <c r="L173" s="2">
        <v>0.02</v>
      </c>
      <c r="M173" s="1">
        <v>627200</v>
      </c>
      <c r="N173" s="1">
        <v>449080.97</v>
      </c>
      <c r="O173" s="1">
        <v>178119.03</v>
      </c>
    </row>
    <row r="174" spans="1:15" x14ac:dyDescent="0.25">
      <c r="A174" t="s">
        <v>225</v>
      </c>
      <c r="B174" s="5">
        <v>45865</v>
      </c>
      <c r="C174" t="s">
        <v>200</v>
      </c>
      <c r="D174" t="s">
        <v>201</v>
      </c>
      <c r="E174" t="s">
        <v>24</v>
      </c>
      <c r="F174" t="s">
        <v>36</v>
      </c>
      <c r="G174" t="s">
        <v>45</v>
      </c>
      <c r="H174" s="1" t="s">
        <v>30</v>
      </c>
      <c r="I174" t="s">
        <v>22</v>
      </c>
      <c r="J174">
        <v>1</v>
      </c>
      <c r="K174" s="1">
        <v>178000</v>
      </c>
      <c r="L174" s="2">
        <v>0.1</v>
      </c>
      <c r="M174" s="1">
        <v>160200</v>
      </c>
      <c r="N174" s="1">
        <v>106396.69</v>
      </c>
      <c r="O174" s="1">
        <v>53803.31</v>
      </c>
    </row>
    <row r="175" spans="1:15" x14ac:dyDescent="0.25">
      <c r="A175" t="s">
        <v>226</v>
      </c>
      <c r="B175" s="5">
        <v>45868</v>
      </c>
      <c r="C175" t="s">
        <v>200</v>
      </c>
      <c r="D175" t="s">
        <v>201</v>
      </c>
      <c r="E175" t="s">
        <v>47</v>
      </c>
      <c r="F175" t="s">
        <v>43</v>
      </c>
      <c r="G175" t="s">
        <v>26</v>
      </c>
      <c r="H175" s="1" t="s">
        <v>33</v>
      </c>
      <c r="I175" t="s">
        <v>34</v>
      </c>
      <c r="J175">
        <v>2</v>
      </c>
      <c r="K175" s="1">
        <v>163000</v>
      </c>
      <c r="L175" s="2">
        <v>0.1</v>
      </c>
      <c r="M175" s="1">
        <v>293400</v>
      </c>
      <c r="N175" s="1">
        <v>238871.61</v>
      </c>
      <c r="O175" s="1">
        <v>54528.39</v>
      </c>
    </row>
    <row r="176" spans="1:15" x14ac:dyDescent="0.25">
      <c r="A176" t="s">
        <v>227</v>
      </c>
      <c r="B176" s="5">
        <v>45868</v>
      </c>
      <c r="C176" t="s">
        <v>200</v>
      </c>
      <c r="D176" t="s">
        <v>201</v>
      </c>
      <c r="E176" t="s">
        <v>18</v>
      </c>
      <c r="F176" t="s">
        <v>36</v>
      </c>
      <c r="G176" t="s">
        <v>26</v>
      </c>
      <c r="H176" s="1" t="s">
        <v>33</v>
      </c>
      <c r="I176" t="s">
        <v>31</v>
      </c>
      <c r="J176">
        <v>2</v>
      </c>
      <c r="K176" s="1">
        <v>125000</v>
      </c>
      <c r="L176" s="2">
        <v>0</v>
      </c>
      <c r="M176" s="1">
        <v>250000</v>
      </c>
      <c r="N176" s="1">
        <v>174865.91</v>
      </c>
      <c r="O176" s="1">
        <v>75134.09</v>
      </c>
    </row>
    <row r="177" spans="1:15" x14ac:dyDescent="0.25">
      <c r="A177" t="s">
        <v>228</v>
      </c>
      <c r="B177" s="5">
        <v>45870</v>
      </c>
      <c r="C177" t="s">
        <v>229</v>
      </c>
      <c r="D177" t="s">
        <v>201</v>
      </c>
      <c r="E177" t="s">
        <v>18</v>
      </c>
      <c r="F177" t="s">
        <v>43</v>
      </c>
      <c r="G177" t="s">
        <v>53</v>
      </c>
      <c r="H177" s="1" t="s">
        <v>33</v>
      </c>
      <c r="I177" t="s">
        <v>34</v>
      </c>
      <c r="J177">
        <v>2</v>
      </c>
      <c r="K177" s="1">
        <v>241000</v>
      </c>
      <c r="L177" s="2">
        <v>0.05</v>
      </c>
      <c r="M177" s="1">
        <v>457900</v>
      </c>
      <c r="N177" s="1">
        <v>327129.28999999998</v>
      </c>
      <c r="O177" s="1">
        <v>130770.71</v>
      </c>
    </row>
    <row r="178" spans="1:15" x14ac:dyDescent="0.25">
      <c r="A178" t="s">
        <v>230</v>
      </c>
      <c r="B178" s="5">
        <v>45872</v>
      </c>
      <c r="C178" t="s">
        <v>229</v>
      </c>
      <c r="D178" t="s">
        <v>201</v>
      </c>
      <c r="E178" t="s">
        <v>18</v>
      </c>
      <c r="F178" t="s">
        <v>43</v>
      </c>
      <c r="G178" t="s">
        <v>60</v>
      </c>
      <c r="H178" s="1" t="s">
        <v>30</v>
      </c>
      <c r="I178" t="s">
        <v>34</v>
      </c>
      <c r="J178">
        <v>1</v>
      </c>
      <c r="K178" s="1">
        <v>362000</v>
      </c>
      <c r="L178" s="2">
        <v>0.02</v>
      </c>
      <c r="M178" s="1">
        <v>354760</v>
      </c>
      <c r="N178" s="1">
        <v>223579.36</v>
      </c>
      <c r="O178" s="1">
        <v>131180.64000000001</v>
      </c>
    </row>
    <row r="179" spans="1:15" x14ac:dyDescent="0.25">
      <c r="A179" t="s">
        <v>231</v>
      </c>
      <c r="B179" s="5">
        <v>45872</v>
      </c>
      <c r="C179" t="s">
        <v>229</v>
      </c>
      <c r="D179" t="s">
        <v>201</v>
      </c>
      <c r="E179" t="s">
        <v>18</v>
      </c>
      <c r="F179" t="s">
        <v>19</v>
      </c>
      <c r="G179" t="s">
        <v>45</v>
      </c>
      <c r="H179" s="1" t="s">
        <v>33</v>
      </c>
      <c r="I179" t="s">
        <v>41</v>
      </c>
      <c r="J179">
        <v>4</v>
      </c>
      <c r="K179" s="1">
        <v>338000</v>
      </c>
      <c r="L179" s="2">
        <v>0.02</v>
      </c>
      <c r="M179" s="1">
        <v>1324960</v>
      </c>
      <c r="N179" s="1">
        <v>862818.89</v>
      </c>
      <c r="O179" s="1">
        <v>462141.11</v>
      </c>
    </row>
    <row r="180" spans="1:15" x14ac:dyDescent="0.25">
      <c r="A180" t="s">
        <v>232</v>
      </c>
      <c r="B180" s="5">
        <v>45872</v>
      </c>
      <c r="C180" t="s">
        <v>229</v>
      </c>
      <c r="D180" t="s">
        <v>201</v>
      </c>
      <c r="E180" t="s">
        <v>24</v>
      </c>
      <c r="F180" t="s">
        <v>29</v>
      </c>
      <c r="G180" t="s">
        <v>60</v>
      </c>
      <c r="H180" s="1" t="s">
        <v>30</v>
      </c>
      <c r="I180" t="s">
        <v>31</v>
      </c>
      <c r="J180">
        <v>1</v>
      </c>
      <c r="K180" s="1">
        <v>344000</v>
      </c>
      <c r="L180" s="2">
        <v>0.05</v>
      </c>
      <c r="M180" s="1">
        <v>326800</v>
      </c>
      <c r="N180" s="1">
        <v>234474.5</v>
      </c>
      <c r="O180" s="1">
        <v>92325.5</v>
      </c>
    </row>
    <row r="181" spans="1:15" x14ac:dyDescent="0.25">
      <c r="A181" t="s">
        <v>233</v>
      </c>
      <c r="B181" s="5">
        <v>45874</v>
      </c>
      <c r="C181" t="s">
        <v>229</v>
      </c>
      <c r="D181" t="s">
        <v>201</v>
      </c>
      <c r="E181" t="s">
        <v>47</v>
      </c>
      <c r="F181" t="s">
        <v>43</v>
      </c>
      <c r="G181" t="s">
        <v>60</v>
      </c>
      <c r="H181" s="1" t="s">
        <v>33</v>
      </c>
      <c r="I181" t="s">
        <v>22</v>
      </c>
      <c r="J181">
        <v>2</v>
      </c>
      <c r="K181" s="1">
        <v>219000</v>
      </c>
      <c r="L181" s="2">
        <v>0.05</v>
      </c>
      <c r="M181" s="1">
        <v>416100</v>
      </c>
      <c r="N181" s="1">
        <v>336812.03</v>
      </c>
      <c r="O181" s="1">
        <v>79287.97</v>
      </c>
    </row>
    <row r="182" spans="1:15" x14ac:dyDescent="0.25">
      <c r="A182" t="s">
        <v>234</v>
      </c>
      <c r="B182" s="5">
        <v>45874</v>
      </c>
      <c r="C182" t="s">
        <v>229</v>
      </c>
      <c r="D182" t="s">
        <v>201</v>
      </c>
      <c r="E182" t="s">
        <v>24</v>
      </c>
      <c r="F182" t="s">
        <v>29</v>
      </c>
      <c r="G182" t="s">
        <v>53</v>
      </c>
      <c r="H182" s="1" t="s">
        <v>30</v>
      </c>
      <c r="I182" t="s">
        <v>31</v>
      </c>
      <c r="J182">
        <v>4</v>
      </c>
      <c r="K182" s="1">
        <v>413000</v>
      </c>
      <c r="L182" s="2">
        <v>0</v>
      </c>
      <c r="M182" s="1">
        <v>1652000</v>
      </c>
      <c r="N182" s="1">
        <v>1333708.55</v>
      </c>
      <c r="O182" s="1">
        <v>318291.45</v>
      </c>
    </row>
    <row r="183" spans="1:15" x14ac:dyDescent="0.25">
      <c r="A183" t="s">
        <v>235</v>
      </c>
      <c r="B183" s="5">
        <v>45875</v>
      </c>
      <c r="C183" t="s">
        <v>229</v>
      </c>
      <c r="D183" t="s">
        <v>201</v>
      </c>
      <c r="E183" t="s">
        <v>18</v>
      </c>
      <c r="F183" t="s">
        <v>36</v>
      </c>
      <c r="G183" t="s">
        <v>51</v>
      </c>
      <c r="H183" s="1" t="s">
        <v>30</v>
      </c>
      <c r="I183" t="s">
        <v>31</v>
      </c>
      <c r="J183">
        <v>1</v>
      </c>
      <c r="K183" s="1">
        <v>44000</v>
      </c>
      <c r="L183" s="2">
        <v>0.02</v>
      </c>
      <c r="M183" s="1">
        <v>43120</v>
      </c>
      <c r="N183" s="1">
        <v>33295.410000000003</v>
      </c>
      <c r="O183" s="1">
        <v>9824.59</v>
      </c>
    </row>
    <row r="184" spans="1:15" x14ac:dyDescent="0.25">
      <c r="A184" t="s">
        <v>236</v>
      </c>
      <c r="B184" s="5">
        <v>45875</v>
      </c>
      <c r="C184" t="s">
        <v>229</v>
      </c>
      <c r="D184" t="s">
        <v>201</v>
      </c>
      <c r="E184" t="s">
        <v>47</v>
      </c>
      <c r="F184" t="s">
        <v>36</v>
      </c>
      <c r="G184" t="s">
        <v>51</v>
      </c>
      <c r="H184" s="1" t="s">
        <v>33</v>
      </c>
      <c r="I184" t="s">
        <v>31</v>
      </c>
      <c r="J184">
        <v>2</v>
      </c>
      <c r="K184" s="1">
        <v>51000</v>
      </c>
      <c r="L184" s="2">
        <v>0</v>
      </c>
      <c r="M184" s="1">
        <v>102000</v>
      </c>
      <c r="N184" s="1">
        <v>82564.58</v>
      </c>
      <c r="O184" s="1">
        <v>19435.419999999998</v>
      </c>
    </row>
    <row r="185" spans="1:15" x14ac:dyDescent="0.25">
      <c r="A185" t="s">
        <v>237</v>
      </c>
      <c r="B185" s="5">
        <v>45875</v>
      </c>
      <c r="C185" t="s">
        <v>229</v>
      </c>
      <c r="D185" t="s">
        <v>201</v>
      </c>
      <c r="E185" t="s">
        <v>28</v>
      </c>
      <c r="F185" t="s">
        <v>19</v>
      </c>
      <c r="G185" t="s">
        <v>20</v>
      </c>
      <c r="H185" s="1" t="s">
        <v>30</v>
      </c>
      <c r="I185" t="s">
        <v>22</v>
      </c>
      <c r="J185">
        <v>3</v>
      </c>
      <c r="K185" s="1">
        <v>588000</v>
      </c>
      <c r="L185" s="2">
        <v>0.02</v>
      </c>
      <c r="M185" s="1">
        <v>1728720</v>
      </c>
      <c r="N185" s="1">
        <v>1255373.8500000001</v>
      </c>
      <c r="O185" s="1">
        <v>473346.15</v>
      </c>
    </row>
    <row r="186" spans="1:15" x14ac:dyDescent="0.25">
      <c r="A186" t="s">
        <v>238</v>
      </c>
      <c r="B186" s="5">
        <v>45875</v>
      </c>
      <c r="C186" t="s">
        <v>229</v>
      </c>
      <c r="D186" t="s">
        <v>201</v>
      </c>
      <c r="E186" t="s">
        <v>18</v>
      </c>
      <c r="F186" t="s">
        <v>36</v>
      </c>
      <c r="G186" t="s">
        <v>26</v>
      </c>
      <c r="H186" s="1" t="s">
        <v>30</v>
      </c>
      <c r="I186" t="s">
        <v>31</v>
      </c>
      <c r="J186">
        <v>1</v>
      </c>
      <c r="K186" s="1">
        <v>254000</v>
      </c>
      <c r="L186" s="2">
        <v>0.02</v>
      </c>
      <c r="M186" s="1">
        <v>248920</v>
      </c>
      <c r="N186" s="1">
        <v>196055.13</v>
      </c>
      <c r="O186" s="1">
        <v>52864.87</v>
      </c>
    </row>
    <row r="187" spans="1:15" x14ac:dyDescent="0.25">
      <c r="A187" t="s">
        <v>239</v>
      </c>
      <c r="B187" s="5">
        <v>45876</v>
      </c>
      <c r="C187" t="s">
        <v>229</v>
      </c>
      <c r="D187" t="s">
        <v>201</v>
      </c>
      <c r="E187" t="s">
        <v>49</v>
      </c>
      <c r="F187" t="s">
        <v>58</v>
      </c>
      <c r="G187" t="s">
        <v>45</v>
      </c>
      <c r="H187" s="1" t="s">
        <v>30</v>
      </c>
      <c r="I187" t="s">
        <v>22</v>
      </c>
      <c r="J187">
        <v>3</v>
      </c>
      <c r="K187" s="1">
        <v>237000</v>
      </c>
      <c r="L187" s="2">
        <v>0.02</v>
      </c>
      <c r="M187" s="1">
        <v>696780</v>
      </c>
      <c r="N187" s="1">
        <v>552626.97</v>
      </c>
      <c r="O187" s="1">
        <v>144153.03</v>
      </c>
    </row>
    <row r="188" spans="1:15" x14ac:dyDescent="0.25">
      <c r="A188" t="s">
        <v>240</v>
      </c>
      <c r="B188" s="5">
        <v>45877</v>
      </c>
      <c r="C188" t="s">
        <v>229</v>
      </c>
      <c r="D188" t="s">
        <v>201</v>
      </c>
      <c r="E188" t="s">
        <v>28</v>
      </c>
      <c r="F188" t="s">
        <v>68</v>
      </c>
      <c r="G188" t="s">
        <v>26</v>
      </c>
      <c r="H188" s="1" t="s">
        <v>21</v>
      </c>
      <c r="I188" t="s">
        <v>31</v>
      </c>
      <c r="J188">
        <v>10</v>
      </c>
      <c r="K188" s="1">
        <v>167000</v>
      </c>
      <c r="L188" s="2">
        <v>0</v>
      </c>
      <c r="M188" s="1">
        <v>1670000</v>
      </c>
      <c r="N188" s="1">
        <v>1168283.77</v>
      </c>
      <c r="O188" s="1">
        <v>501716.23</v>
      </c>
    </row>
    <row r="189" spans="1:15" x14ac:dyDescent="0.25">
      <c r="A189" t="s">
        <v>241</v>
      </c>
      <c r="B189" s="5">
        <v>45877</v>
      </c>
      <c r="C189" t="s">
        <v>229</v>
      </c>
      <c r="D189" t="s">
        <v>201</v>
      </c>
      <c r="E189" t="s">
        <v>28</v>
      </c>
      <c r="F189" t="s">
        <v>19</v>
      </c>
      <c r="G189" t="s">
        <v>20</v>
      </c>
      <c r="H189" s="1" t="s">
        <v>21</v>
      </c>
      <c r="I189" t="s">
        <v>31</v>
      </c>
      <c r="J189">
        <v>4</v>
      </c>
      <c r="K189" s="1">
        <v>714000</v>
      </c>
      <c r="L189" s="2">
        <v>0</v>
      </c>
      <c r="M189" s="1">
        <v>2856000</v>
      </c>
      <c r="N189" s="1">
        <v>1782683.76</v>
      </c>
      <c r="O189" s="1">
        <v>1073316.24</v>
      </c>
    </row>
    <row r="190" spans="1:15" x14ac:dyDescent="0.25">
      <c r="A190" t="s">
        <v>242</v>
      </c>
      <c r="B190" s="5">
        <v>45877</v>
      </c>
      <c r="C190" t="s">
        <v>229</v>
      </c>
      <c r="D190" t="s">
        <v>201</v>
      </c>
      <c r="E190" t="s">
        <v>18</v>
      </c>
      <c r="F190" t="s">
        <v>19</v>
      </c>
      <c r="G190" t="s">
        <v>53</v>
      </c>
      <c r="H190" s="1" t="s">
        <v>33</v>
      </c>
      <c r="I190" t="s">
        <v>41</v>
      </c>
      <c r="J190">
        <v>2</v>
      </c>
      <c r="K190" s="1">
        <v>468000</v>
      </c>
      <c r="L190" s="2">
        <v>0.05</v>
      </c>
      <c r="M190" s="1">
        <v>889200</v>
      </c>
      <c r="N190" s="1">
        <v>581333.03</v>
      </c>
      <c r="O190" s="1">
        <v>307866.96999999997</v>
      </c>
    </row>
    <row r="191" spans="1:15" x14ac:dyDescent="0.25">
      <c r="A191" t="s">
        <v>243</v>
      </c>
      <c r="B191" s="5">
        <v>45880</v>
      </c>
      <c r="C191" t="s">
        <v>229</v>
      </c>
      <c r="D191" t="s">
        <v>201</v>
      </c>
      <c r="E191" t="s">
        <v>18</v>
      </c>
      <c r="F191" t="s">
        <v>58</v>
      </c>
      <c r="G191" t="s">
        <v>60</v>
      </c>
      <c r="H191" s="1" t="s">
        <v>30</v>
      </c>
      <c r="I191" t="s">
        <v>41</v>
      </c>
      <c r="J191">
        <v>8</v>
      </c>
      <c r="K191" s="1">
        <v>101000</v>
      </c>
      <c r="L191" s="2">
        <v>0.02</v>
      </c>
      <c r="M191" s="1">
        <v>791840</v>
      </c>
      <c r="N191" s="1">
        <v>628391.28</v>
      </c>
      <c r="O191" s="1">
        <v>163448.72</v>
      </c>
    </row>
    <row r="192" spans="1:15" x14ac:dyDescent="0.25">
      <c r="A192" t="s">
        <v>244</v>
      </c>
      <c r="B192" s="5">
        <v>45880</v>
      </c>
      <c r="C192" t="s">
        <v>229</v>
      </c>
      <c r="D192" t="s">
        <v>201</v>
      </c>
      <c r="E192" t="s">
        <v>18</v>
      </c>
      <c r="F192" t="s">
        <v>55</v>
      </c>
      <c r="G192" t="s">
        <v>51</v>
      </c>
      <c r="H192" s="1" t="s">
        <v>33</v>
      </c>
      <c r="I192" t="s">
        <v>22</v>
      </c>
      <c r="J192">
        <v>2</v>
      </c>
      <c r="K192" s="1">
        <v>65000</v>
      </c>
      <c r="L192" s="2">
        <v>0.02</v>
      </c>
      <c r="M192" s="1">
        <v>127400</v>
      </c>
      <c r="N192" s="1">
        <v>84211</v>
      </c>
      <c r="O192" s="1">
        <v>43189</v>
      </c>
    </row>
    <row r="193" spans="1:15" x14ac:dyDescent="0.25">
      <c r="A193" t="s">
        <v>245</v>
      </c>
      <c r="B193" s="5">
        <v>45885</v>
      </c>
      <c r="C193" t="s">
        <v>229</v>
      </c>
      <c r="D193" t="s">
        <v>201</v>
      </c>
      <c r="E193" t="s">
        <v>18</v>
      </c>
      <c r="F193" t="s">
        <v>29</v>
      </c>
      <c r="G193" t="s">
        <v>26</v>
      </c>
      <c r="H193" s="1" t="s">
        <v>30</v>
      </c>
      <c r="I193" t="s">
        <v>22</v>
      </c>
      <c r="J193">
        <v>4</v>
      </c>
      <c r="K193" s="1">
        <v>107000</v>
      </c>
      <c r="L193" s="2">
        <v>0</v>
      </c>
      <c r="M193" s="1">
        <v>428000</v>
      </c>
      <c r="N193" s="1">
        <v>291249.5</v>
      </c>
      <c r="O193" s="1">
        <v>136750.5</v>
      </c>
    </row>
    <row r="194" spans="1:15" x14ac:dyDescent="0.25">
      <c r="A194" t="s">
        <v>246</v>
      </c>
      <c r="B194" s="5">
        <v>45890</v>
      </c>
      <c r="C194" t="s">
        <v>229</v>
      </c>
      <c r="D194" t="s">
        <v>201</v>
      </c>
      <c r="E194" t="s">
        <v>28</v>
      </c>
      <c r="F194" t="s">
        <v>25</v>
      </c>
      <c r="G194" t="s">
        <v>20</v>
      </c>
      <c r="H194" s="1" t="s">
        <v>33</v>
      </c>
      <c r="I194" t="s">
        <v>31</v>
      </c>
      <c r="J194">
        <v>2</v>
      </c>
      <c r="K194" s="1">
        <v>847000</v>
      </c>
      <c r="L194" s="2">
        <v>0</v>
      </c>
      <c r="M194" s="1">
        <v>1694000</v>
      </c>
      <c r="N194" s="1">
        <v>1349607.77</v>
      </c>
      <c r="O194" s="1">
        <v>344392.23</v>
      </c>
    </row>
    <row r="195" spans="1:15" x14ac:dyDescent="0.25">
      <c r="A195" t="s">
        <v>247</v>
      </c>
      <c r="B195" s="5">
        <v>45891</v>
      </c>
      <c r="C195" t="s">
        <v>229</v>
      </c>
      <c r="D195" t="s">
        <v>201</v>
      </c>
      <c r="E195" t="s">
        <v>49</v>
      </c>
      <c r="F195" t="s">
        <v>36</v>
      </c>
      <c r="G195" t="s">
        <v>26</v>
      </c>
      <c r="H195" s="1" t="s">
        <v>21</v>
      </c>
      <c r="I195" t="s">
        <v>22</v>
      </c>
      <c r="J195">
        <v>2</v>
      </c>
      <c r="K195" s="1">
        <v>273000</v>
      </c>
      <c r="L195" s="2">
        <v>0</v>
      </c>
      <c r="M195" s="1">
        <v>546000</v>
      </c>
      <c r="N195" s="1">
        <v>341900.37</v>
      </c>
      <c r="O195" s="1">
        <v>204099.63</v>
      </c>
    </row>
    <row r="196" spans="1:15" x14ac:dyDescent="0.25">
      <c r="A196" t="s">
        <v>248</v>
      </c>
      <c r="B196" s="5">
        <v>45892</v>
      </c>
      <c r="C196" t="s">
        <v>229</v>
      </c>
      <c r="D196" t="s">
        <v>201</v>
      </c>
      <c r="E196" t="s">
        <v>47</v>
      </c>
      <c r="F196" t="s">
        <v>68</v>
      </c>
      <c r="G196" t="s">
        <v>26</v>
      </c>
      <c r="H196" s="1" t="s">
        <v>33</v>
      </c>
      <c r="I196" t="s">
        <v>34</v>
      </c>
      <c r="J196">
        <v>3</v>
      </c>
      <c r="K196" s="1">
        <v>100000</v>
      </c>
      <c r="L196" s="2">
        <v>0</v>
      </c>
      <c r="M196" s="1">
        <v>300000</v>
      </c>
      <c r="N196" s="1">
        <v>239262.25</v>
      </c>
      <c r="O196" s="1">
        <v>60737.75</v>
      </c>
    </row>
    <row r="197" spans="1:15" x14ac:dyDescent="0.25">
      <c r="A197" t="s">
        <v>249</v>
      </c>
      <c r="B197" s="5">
        <v>45892</v>
      </c>
      <c r="C197" t="s">
        <v>229</v>
      </c>
      <c r="D197" t="s">
        <v>201</v>
      </c>
      <c r="E197" t="s">
        <v>49</v>
      </c>
      <c r="F197" t="s">
        <v>55</v>
      </c>
      <c r="G197" t="s">
        <v>53</v>
      </c>
      <c r="H197" s="1" t="s">
        <v>30</v>
      </c>
      <c r="I197" t="s">
        <v>31</v>
      </c>
      <c r="J197">
        <v>3</v>
      </c>
      <c r="K197" s="1">
        <v>434000</v>
      </c>
      <c r="L197" s="2">
        <v>0</v>
      </c>
      <c r="M197" s="1">
        <v>1302000</v>
      </c>
      <c r="N197" s="1">
        <v>843528.32</v>
      </c>
      <c r="O197" s="1">
        <v>458471.67999999999</v>
      </c>
    </row>
    <row r="198" spans="1:15" x14ac:dyDescent="0.25">
      <c r="A198" t="s">
        <v>250</v>
      </c>
      <c r="B198" s="5">
        <v>45893</v>
      </c>
      <c r="C198" t="s">
        <v>229</v>
      </c>
      <c r="D198" t="s">
        <v>201</v>
      </c>
      <c r="E198" t="s">
        <v>18</v>
      </c>
      <c r="F198" t="s">
        <v>25</v>
      </c>
      <c r="G198" t="s">
        <v>51</v>
      </c>
      <c r="H198" s="1" t="s">
        <v>21</v>
      </c>
      <c r="I198" t="s">
        <v>41</v>
      </c>
      <c r="J198">
        <v>2</v>
      </c>
      <c r="K198" s="1">
        <v>62000</v>
      </c>
      <c r="L198" s="2">
        <v>0</v>
      </c>
      <c r="M198" s="1">
        <v>124000</v>
      </c>
      <c r="N198" s="1">
        <v>98407.75</v>
      </c>
      <c r="O198" s="1">
        <v>25592.25</v>
      </c>
    </row>
    <row r="199" spans="1:15" x14ac:dyDescent="0.25">
      <c r="A199" t="s">
        <v>251</v>
      </c>
      <c r="B199" s="5">
        <v>45894</v>
      </c>
      <c r="C199" t="s">
        <v>229</v>
      </c>
      <c r="D199" t="s">
        <v>201</v>
      </c>
      <c r="E199" t="s">
        <v>18</v>
      </c>
      <c r="F199" t="s">
        <v>19</v>
      </c>
      <c r="G199" t="s">
        <v>53</v>
      </c>
      <c r="H199" s="1" t="s">
        <v>30</v>
      </c>
      <c r="I199" t="s">
        <v>41</v>
      </c>
      <c r="J199">
        <v>2</v>
      </c>
      <c r="K199" s="1">
        <v>253000</v>
      </c>
      <c r="L199" s="2">
        <v>0</v>
      </c>
      <c r="M199" s="1">
        <v>506000</v>
      </c>
      <c r="N199" s="1">
        <v>386037.11</v>
      </c>
      <c r="O199" s="1">
        <v>119962.89</v>
      </c>
    </row>
    <row r="200" spans="1:15" x14ac:dyDescent="0.25">
      <c r="A200" t="s">
        <v>252</v>
      </c>
      <c r="B200" s="5">
        <v>45898</v>
      </c>
      <c r="C200" t="s">
        <v>229</v>
      </c>
      <c r="D200" t="s">
        <v>201</v>
      </c>
      <c r="E200" t="s">
        <v>18</v>
      </c>
      <c r="F200" t="s">
        <v>19</v>
      </c>
      <c r="G200" t="s">
        <v>37</v>
      </c>
      <c r="H200" s="1" t="s">
        <v>30</v>
      </c>
      <c r="I200" t="s">
        <v>31</v>
      </c>
      <c r="J200">
        <v>2</v>
      </c>
      <c r="K200" s="1">
        <v>10000</v>
      </c>
      <c r="L200" s="2">
        <v>0</v>
      </c>
      <c r="M200" s="1">
        <v>20000</v>
      </c>
      <c r="N200" s="1">
        <v>15983.05</v>
      </c>
      <c r="O200" s="1">
        <v>4016.95</v>
      </c>
    </row>
    <row r="201" spans="1:15" x14ac:dyDescent="0.25">
      <c r="A201" t="s">
        <v>253</v>
      </c>
      <c r="B201" s="5">
        <v>45899</v>
      </c>
      <c r="C201" t="s">
        <v>229</v>
      </c>
      <c r="D201" t="s">
        <v>201</v>
      </c>
      <c r="E201" t="s">
        <v>47</v>
      </c>
      <c r="F201" t="s">
        <v>25</v>
      </c>
      <c r="G201" t="s">
        <v>37</v>
      </c>
      <c r="H201" s="1" t="s">
        <v>21</v>
      </c>
      <c r="I201" t="s">
        <v>31</v>
      </c>
      <c r="J201">
        <v>3</v>
      </c>
      <c r="K201" s="1">
        <v>11000</v>
      </c>
      <c r="L201" s="2">
        <v>0</v>
      </c>
      <c r="M201" s="1">
        <v>33000</v>
      </c>
      <c r="N201" s="1">
        <v>20540</v>
      </c>
      <c r="O201" s="1">
        <v>12460</v>
      </c>
    </row>
    <row r="202" spans="1:15" x14ac:dyDescent="0.25">
      <c r="A202" t="s">
        <v>254</v>
      </c>
      <c r="B202" s="5">
        <v>45899</v>
      </c>
      <c r="C202" t="s">
        <v>229</v>
      </c>
      <c r="D202" t="s">
        <v>201</v>
      </c>
      <c r="E202" t="s">
        <v>18</v>
      </c>
      <c r="F202" t="s">
        <v>29</v>
      </c>
      <c r="G202" t="s">
        <v>51</v>
      </c>
      <c r="H202" s="1" t="s">
        <v>30</v>
      </c>
      <c r="I202" t="s">
        <v>34</v>
      </c>
      <c r="J202">
        <v>4</v>
      </c>
      <c r="K202" s="1">
        <v>42000</v>
      </c>
      <c r="L202" s="2">
        <v>0</v>
      </c>
      <c r="M202" s="1">
        <v>168000</v>
      </c>
      <c r="N202" s="1">
        <v>125121.67</v>
      </c>
      <c r="O202" s="1">
        <v>42878.33</v>
      </c>
    </row>
    <row r="203" spans="1:15" x14ac:dyDescent="0.25">
      <c r="A203" t="s">
        <v>255</v>
      </c>
      <c r="B203" s="5">
        <v>45901</v>
      </c>
      <c r="C203" t="s">
        <v>256</v>
      </c>
      <c r="D203" t="s">
        <v>201</v>
      </c>
      <c r="E203" t="s">
        <v>18</v>
      </c>
      <c r="F203" t="s">
        <v>68</v>
      </c>
      <c r="G203" t="s">
        <v>51</v>
      </c>
      <c r="H203" s="1" t="s">
        <v>33</v>
      </c>
      <c r="I203" t="s">
        <v>34</v>
      </c>
      <c r="J203">
        <v>5</v>
      </c>
      <c r="K203" s="1">
        <v>27000</v>
      </c>
      <c r="L203" s="2">
        <v>0.02</v>
      </c>
      <c r="M203" s="1">
        <v>132300</v>
      </c>
      <c r="N203" s="1">
        <v>97017.58</v>
      </c>
      <c r="O203" s="1">
        <v>35282.42</v>
      </c>
    </row>
    <row r="204" spans="1:15" x14ac:dyDescent="0.25">
      <c r="A204" t="s">
        <v>257</v>
      </c>
      <c r="B204" s="5">
        <v>45904</v>
      </c>
      <c r="C204" t="s">
        <v>256</v>
      </c>
      <c r="D204" t="s">
        <v>201</v>
      </c>
      <c r="E204" t="s">
        <v>18</v>
      </c>
      <c r="F204" t="s">
        <v>68</v>
      </c>
      <c r="G204" t="s">
        <v>20</v>
      </c>
      <c r="H204" s="1" t="s">
        <v>30</v>
      </c>
      <c r="I204" t="s">
        <v>31</v>
      </c>
      <c r="J204">
        <v>4</v>
      </c>
      <c r="K204" s="1">
        <v>512000</v>
      </c>
      <c r="L204" s="2">
        <v>0.02</v>
      </c>
      <c r="M204" s="1">
        <v>2007040</v>
      </c>
      <c r="N204" s="1">
        <v>1255241.3500000001</v>
      </c>
      <c r="O204" s="1">
        <v>751798.65</v>
      </c>
    </row>
    <row r="205" spans="1:15" x14ac:dyDescent="0.25">
      <c r="A205" t="s">
        <v>258</v>
      </c>
      <c r="B205" s="5">
        <v>45906</v>
      </c>
      <c r="C205" t="s">
        <v>256</v>
      </c>
      <c r="D205" t="s">
        <v>201</v>
      </c>
      <c r="E205" t="s">
        <v>18</v>
      </c>
      <c r="F205" t="s">
        <v>68</v>
      </c>
      <c r="G205" t="s">
        <v>20</v>
      </c>
      <c r="H205" s="1" t="s">
        <v>33</v>
      </c>
      <c r="I205" t="s">
        <v>41</v>
      </c>
      <c r="J205">
        <v>1</v>
      </c>
      <c r="K205" s="1">
        <v>729000</v>
      </c>
      <c r="L205" s="2">
        <v>0.05</v>
      </c>
      <c r="M205" s="1">
        <v>692550</v>
      </c>
      <c r="N205" s="1">
        <v>562532.78</v>
      </c>
      <c r="O205" s="1">
        <v>130017.22</v>
      </c>
    </row>
    <row r="206" spans="1:15" x14ac:dyDescent="0.25">
      <c r="A206" t="s">
        <v>259</v>
      </c>
      <c r="B206" s="5">
        <v>45907</v>
      </c>
      <c r="C206" t="s">
        <v>256</v>
      </c>
      <c r="D206" t="s">
        <v>201</v>
      </c>
      <c r="E206" t="s">
        <v>28</v>
      </c>
      <c r="F206" t="s">
        <v>19</v>
      </c>
      <c r="G206" t="s">
        <v>45</v>
      </c>
      <c r="H206" s="1" t="s">
        <v>21</v>
      </c>
      <c r="I206" t="s">
        <v>31</v>
      </c>
      <c r="J206">
        <v>3</v>
      </c>
      <c r="K206" s="1">
        <v>261000</v>
      </c>
      <c r="L206" s="2">
        <v>0</v>
      </c>
      <c r="M206" s="1">
        <v>783000</v>
      </c>
      <c r="N206" s="1">
        <v>544124.34</v>
      </c>
      <c r="O206" s="1">
        <v>238875.66</v>
      </c>
    </row>
    <row r="207" spans="1:15" x14ac:dyDescent="0.25">
      <c r="A207" t="s">
        <v>260</v>
      </c>
      <c r="B207" s="5">
        <v>45911</v>
      </c>
      <c r="C207" t="s">
        <v>256</v>
      </c>
      <c r="D207" t="s">
        <v>201</v>
      </c>
      <c r="E207" t="s">
        <v>28</v>
      </c>
      <c r="F207" t="s">
        <v>25</v>
      </c>
      <c r="G207" t="s">
        <v>53</v>
      </c>
      <c r="H207" s="1" t="s">
        <v>21</v>
      </c>
      <c r="I207" t="s">
        <v>22</v>
      </c>
      <c r="J207">
        <v>3</v>
      </c>
      <c r="K207" s="1">
        <v>641000</v>
      </c>
      <c r="L207" s="2">
        <v>0</v>
      </c>
      <c r="M207" s="1">
        <v>1923000</v>
      </c>
      <c r="N207" s="1">
        <v>1575419.17</v>
      </c>
      <c r="O207" s="1">
        <v>347580.83</v>
      </c>
    </row>
    <row r="208" spans="1:15" x14ac:dyDescent="0.25">
      <c r="A208" t="s">
        <v>261</v>
      </c>
      <c r="B208" s="5">
        <v>45913</v>
      </c>
      <c r="C208" t="s">
        <v>256</v>
      </c>
      <c r="D208" t="s">
        <v>201</v>
      </c>
      <c r="E208" t="s">
        <v>18</v>
      </c>
      <c r="F208" t="s">
        <v>55</v>
      </c>
      <c r="G208" t="s">
        <v>20</v>
      </c>
      <c r="H208" s="1" t="s">
        <v>33</v>
      </c>
      <c r="I208" t="s">
        <v>34</v>
      </c>
      <c r="J208">
        <v>2</v>
      </c>
      <c r="K208" s="1">
        <v>598000</v>
      </c>
      <c r="L208" s="2">
        <v>0.02</v>
      </c>
      <c r="M208" s="1">
        <v>1172080</v>
      </c>
      <c r="N208" s="1">
        <v>843741.44</v>
      </c>
      <c r="O208" s="1">
        <v>328338.56</v>
      </c>
    </row>
    <row r="209" spans="1:15" x14ac:dyDescent="0.25">
      <c r="A209" t="s">
        <v>262</v>
      </c>
      <c r="B209" s="5">
        <v>45913</v>
      </c>
      <c r="C209" t="s">
        <v>256</v>
      </c>
      <c r="D209" t="s">
        <v>201</v>
      </c>
      <c r="E209" t="s">
        <v>49</v>
      </c>
      <c r="F209" t="s">
        <v>55</v>
      </c>
      <c r="G209" t="s">
        <v>53</v>
      </c>
      <c r="H209" s="1" t="s">
        <v>21</v>
      </c>
      <c r="I209" t="s">
        <v>22</v>
      </c>
      <c r="J209">
        <v>3</v>
      </c>
      <c r="K209" s="1">
        <v>358000</v>
      </c>
      <c r="L209" s="2">
        <v>0</v>
      </c>
      <c r="M209" s="1">
        <v>1074000</v>
      </c>
      <c r="N209" s="1">
        <v>799947.19</v>
      </c>
      <c r="O209" s="1">
        <v>274052.81</v>
      </c>
    </row>
    <row r="210" spans="1:15" x14ac:dyDescent="0.25">
      <c r="A210" t="s">
        <v>263</v>
      </c>
      <c r="B210" s="5">
        <v>45914</v>
      </c>
      <c r="C210" t="s">
        <v>256</v>
      </c>
      <c r="D210" t="s">
        <v>201</v>
      </c>
      <c r="E210" t="s">
        <v>24</v>
      </c>
      <c r="F210" t="s">
        <v>55</v>
      </c>
      <c r="G210" t="s">
        <v>20</v>
      </c>
      <c r="H210" s="1" t="s">
        <v>33</v>
      </c>
      <c r="I210" t="s">
        <v>22</v>
      </c>
      <c r="J210">
        <v>8</v>
      </c>
      <c r="K210" s="1">
        <v>452000</v>
      </c>
      <c r="L210" s="2">
        <v>0.05</v>
      </c>
      <c r="M210" s="1">
        <v>3435200</v>
      </c>
      <c r="N210" s="1">
        <v>2685765.21</v>
      </c>
      <c r="O210" s="1">
        <v>749434.79</v>
      </c>
    </row>
    <row r="211" spans="1:15" x14ac:dyDescent="0.25">
      <c r="A211" t="s">
        <v>264</v>
      </c>
      <c r="B211" s="5">
        <v>45914</v>
      </c>
      <c r="C211" t="s">
        <v>256</v>
      </c>
      <c r="D211" t="s">
        <v>201</v>
      </c>
      <c r="E211" t="s">
        <v>18</v>
      </c>
      <c r="F211" t="s">
        <v>25</v>
      </c>
      <c r="G211" t="s">
        <v>40</v>
      </c>
      <c r="H211" s="1" t="s">
        <v>33</v>
      </c>
      <c r="I211" t="s">
        <v>41</v>
      </c>
      <c r="J211">
        <v>4</v>
      </c>
      <c r="K211" s="1">
        <v>31000</v>
      </c>
      <c r="L211" s="2">
        <v>0.05</v>
      </c>
      <c r="M211" s="1">
        <v>117800</v>
      </c>
      <c r="N211" s="1">
        <v>94842.39</v>
      </c>
      <c r="O211" s="1">
        <v>22957.61</v>
      </c>
    </row>
    <row r="212" spans="1:15" x14ac:dyDescent="0.25">
      <c r="A212" t="s">
        <v>265</v>
      </c>
      <c r="B212" s="5">
        <v>45914</v>
      </c>
      <c r="C212" t="s">
        <v>256</v>
      </c>
      <c r="D212" t="s">
        <v>201</v>
      </c>
      <c r="E212" t="s">
        <v>49</v>
      </c>
      <c r="F212" t="s">
        <v>19</v>
      </c>
      <c r="G212" t="s">
        <v>20</v>
      </c>
      <c r="H212" s="1" t="s">
        <v>30</v>
      </c>
      <c r="I212" t="s">
        <v>31</v>
      </c>
      <c r="J212">
        <v>3</v>
      </c>
      <c r="K212" s="1">
        <v>517000</v>
      </c>
      <c r="L212" s="2">
        <v>0</v>
      </c>
      <c r="M212" s="1">
        <v>1551000</v>
      </c>
      <c r="N212" s="1">
        <v>1218739.6200000001</v>
      </c>
      <c r="O212" s="1">
        <v>332260.38</v>
      </c>
    </row>
    <row r="213" spans="1:15" x14ac:dyDescent="0.25">
      <c r="A213" t="s">
        <v>266</v>
      </c>
      <c r="B213" s="5">
        <v>45915</v>
      </c>
      <c r="C213" t="s">
        <v>256</v>
      </c>
      <c r="D213" t="s">
        <v>201</v>
      </c>
      <c r="E213" t="s">
        <v>18</v>
      </c>
      <c r="F213" t="s">
        <v>68</v>
      </c>
      <c r="G213" t="s">
        <v>45</v>
      </c>
      <c r="H213" s="1" t="s">
        <v>33</v>
      </c>
      <c r="I213" t="s">
        <v>34</v>
      </c>
      <c r="J213">
        <v>2</v>
      </c>
      <c r="K213" s="1">
        <v>293000</v>
      </c>
      <c r="L213" s="2">
        <v>0</v>
      </c>
      <c r="M213" s="1">
        <v>586000</v>
      </c>
      <c r="N213" s="1">
        <v>448635.41</v>
      </c>
      <c r="O213" s="1">
        <v>137364.59</v>
      </c>
    </row>
    <row r="214" spans="1:15" x14ac:dyDescent="0.25">
      <c r="A214" t="s">
        <v>267</v>
      </c>
      <c r="B214" s="5">
        <v>45916</v>
      </c>
      <c r="C214" t="s">
        <v>256</v>
      </c>
      <c r="D214" t="s">
        <v>201</v>
      </c>
      <c r="E214" t="s">
        <v>18</v>
      </c>
      <c r="F214" t="s">
        <v>19</v>
      </c>
      <c r="G214" t="s">
        <v>51</v>
      </c>
      <c r="H214" s="1" t="s">
        <v>30</v>
      </c>
      <c r="I214" t="s">
        <v>34</v>
      </c>
      <c r="J214">
        <v>3</v>
      </c>
      <c r="K214" s="1">
        <v>33000</v>
      </c>
      <c r="L214" s="2">
        <v>0</v>
      </c>
      <c r="M214" s="1">
        <v>99000</v>
      </c>
      <c r="N214" s="1">
        <v>68360.86</v>
      </c>
      <c r="O214" s="1">
        <v>30639.14</v>
      </c>
    </row>
    <row r="215" spans="1:15" x14ac:dyDescent="0.25">
      <c r="A215" t="s">
        <v>268</v>
      </c>
      <c r="B215" s="5">
        <v>45918</v>
      </c>
      <c r="C215" t="s">
        <v>256</v>
      </c>
      <c r="D215" t="s">
        <v>201</v>
      </c>
      <c r="E215" t="s">
        <v>18</v>
      </c>
      <c r="F215" t="s">
        <v>43</v>
      </c>
      <c r="G215" t="s">
        <v>60</v>
      </c>
      <c r="H215" s="1" t="s">
        <v>33</v>
      </c>
      <c r="I215" t="s">
        <v>41</v>
      </c>
      <c r="J215">
        <v>3</v>
      </c>
      <c r="K215" s="1">
        <v>202000</v>
      </c>
      <c r="L215" s="2">
        <v>0</v>
      </c>
      <c r="M215" s="1">
        <v>606000</v>
      </c>
      <c r="N215" s="1">
        <v>430777.28</v>
      </c>
      <c r="O215" s="1">
        <v>175222.72</v>
      </c>
    </row>
    <row r="216" spans="1:15" x14ac:dyDescent="0.25">
      <c r="A216" t="s">
        <v>269</v>
      </c>
      <c r="B216" s="5">
        <v>45919</v>
      </c>
      <c r="C216" t="s">
        <v>256</v>
      </c>
      <c r="D216" t="s">
        <v>201</v>
      </c>
      <c r="E216" t="s">
        <v>24</v>
      </c>
      <c r="F216" t="s">
        <v>36</v>
      </c>
      <c r="G216" t="s">
        <v>53</v>
      </c>
      <c r="H216" s="1" t="s">
        <v>21</v>
      </c>
      <c r="I216" t="s">
        <v>31</v>
      </c>
      <c r="J216">
        <v>2</v>
      </c>
      <c r="K216" s="1">
        <v>262000</v>
      </c>
      <c r="L216" s="2">
        <v>0</v>
      </c>
      <c r="M216" s="1">
        <v>524000</v>
      </c>
      <c r="N216" s="1">
        <v>406580.45</v>
      </c>
      <c r="O216" s="1">
        <v>117419.55</v>
      </c>
    </row>
    <row r="217" spans="1:15" x14ac:dyDescent="0.25">
      <c r="A217" t="s">
        <v>270</v>
      </c>
      <c r="B217" s="5">
        <v>45921</v>
      </c>
      <c r="C217" t="s">
        <v>256</v>
      </c>
      <c r="D217" t="s">
        <v>201</v>
      </c>
      <c r="E217" t="s">
        <v>18</v>
      </c>
      <c r="F217" t="s">
        <v>36</v>
      </c>
      <c r="G217" t="s">
        <v>40</v>
      </c>
      <c r="H217" s="1" t="s">
        <v>33</v>
      </c>
      <c r="I217" t="s">
        <v>34</v>
      </c>
      <c r="J217">
        <v>1</v>
      </c>
      <c r="K217" s="1">
        <v>30000</v>
      </c>
      <c r="L217" s="2">
        <v>0</v>
      </c>
      <c r="M217" s="1">
        <v>30000</v>
      </c>
      <c r="N217" s="1">
        <v>20046.150000000001</v>
      </c>
      <c r="O217" s="1">
        <v>9953.85</v>
      </c>
    </row>
    <row r="218" spans="1:15" x14ac:dyDescent="0.25">
      <c r="A218" t="s">
        <v>271</v>
      </c>
      <c r="B218" s="5">
        <v>45921</v>
      </c>
      <c r="C218" t="s">
        <v>256</v>
      </c>
      <c r="D218" t="s">
        <v>201</v>
      </c>
      <c r="E218" t="s">
        <v>49</v>
      </c>
      <c r="F218" t="s">
        <v>55</v>
      </c>
      <c r="G218" t="s">
        <v>20</v>
      </c>
      <c r="H218" s="1" t="s">
        <v>33</v>
      </c>
      <c r="I218" t="s">
        <v>34</v>
      </c>
      <c r="J218">
        <v>1</v>
      </c>
      <c r="K218" s="1">
        <v>457000</v>
      </c>
      <c r="L218" s="2">
        <v>0.02</v>
      </c>
      <c r="M218" s="1">
        <v>447860</v>
      </c>
      <c r="N218" s="1">
        <v>284049.71000000002</v>
      </c>
      <c r="O218" s="1">
        <v>163810.29</v>
      </c>
    </row>
    <row r="219" spans="1:15" x14ac:dyDescent="0.25">
      <c r="A219" t="s">
        <v>272</v>
      </c>
      <c r="B219" s="5">
        <v>45921</v>
      </c>
      <c r="C219" t="s">
        <v>256</v>
      </c>
      <c r="D219" t="s">
        <v>201</v>
      </c>
      <c r="E219" t="s">
        <v>18</v>
      </c>
      <c r="F219" t="s">
        <v>19</v>
      </c>
      <c r="G219" t="s">
        <v>40</v>
      </c>
      <c r="H219" s="1" t="s">
        <v>21</v>
      </c>
      <c r="I219" t="s">
        <v>41</v>
      </c>
      <c r="J219">
        <v>3</v>
      </c>
      <c r="K219" s="1">
        <v>28000</v>
      </c>
      <c r="L219" s="2">
        <v>0.05</v>
      </c>
      <c r="M219" s="1">
        <v>79800</v>
      </c>
      <c r="N219" s="1">
        <v>58361.279999999999</v>
      </c>
      <c r="O219" s="1">
        <v>21438.720000000001</v>
      </c>
    </row>
    <row r="220" spans="1:15" x14ac:dyDescent="0.25">
      <c r="A220" t="s">
        <v>273</v>
      </c>
      <c r="B220" s="5">
        <v>45923</v>
      </c>
      <c r="C220" t="s">
        <v>256</v>
      </c>
      <c r="D220" t="s">
        <v>201</v>
      </c>
      <c r="E220" t="s">
        <v>49</v>
      </c>
      <c r="F220" t="s">
        <v>58</v>
      </c>
      <c r="G220" t="s">
        <v>37</v>
      </c>
      <c r="H220" s="1" t="s">
        <v>21</v>
      </c>
      <c r="I220" t="s">
        <v>31</v>
      </c>
      <c r="J220">
        <v>3</v>
      </c>
      <c r="K220" s="1">
        <v>17000</v>
      </c>
      <c r="L220" s="2">
        <v>0.02</v>
      </c>
      <c r="M220" s="1">
        <v>49980</v>
      </c>
      <c r="N220" s="1">
        <v>39864.44</v>
      </c>
      <c r="O220" s="1">
        <v>10115.56</v>
      </c>
    </row>
    <row r="221" spans="1:15" x14ac:dyDescent="0.25">
      <c r="A221" t="s">
        <v>274</v>
      </c>
      <c r="B221" s="5">
        <v>45923</v>
      </c>
      <c r="C221" t="s">
        <v>256</v>
      </c>
      <c r="D221" t="s">
        <v>201</v>
      </c>
      <c r="E221" t="s">
        <v>24</v>
      </c>
      <c r="F221" t="s">
        <v>29</v>
      </c>
      <c r="G221" t="s">
        <v>20</v>
      </c>
      <c r="H221" s="1" t="s">
        <v>30</v>
      </c>
      <c r="I221" t="s">
        <v>31</v>
      </c>
      <c r="J221">
        <v>2</v>
      </c>
      <c r="K221" s="1">
        <v>511000</v>
      </c>
      <c r="L221" s="2">
        <v>0.1</v>
      </c>
      <c r="M221" s="1">
        <v>919800</v>
      </c>
      <c r="N221" s="1">
        <v>675692.7</v>
      </c>
      <c r="O221" s="1">
        <v>244107.3</v>
      </c>
    </row>
    <row r="222" spans="1:15" x14ac:dyDescent="0.25">
      <c r="A222" t="s">
        <v>275</v>
      </c>
      <c r="B222" s="5">
        <v>45923</v>
      </c>
      <c r="C222" t="s">
        <v>256</v>
      </c>
      <c r="D222" t="s">
        <v>201</v>
      </c>
      <c r="E222" t="s">
        <v>18</v>
      </c>
      <c r="F222" t="s">
        <v>36</v>
      </c>
      <c r="G222" t="s">
        <v>37</v>
      </c>
      <c r="H222" s="1" t="s">
        <v>30</v>
      </c>
      <c r="I222" t="s">
        <v>31</v>
      </c>
      <c r="J222">
        <v>2</v>
      </c>
      <c r="K222" s="1">
        <v>10000</v>
      </c>
      <c r="L222" s="2">
        <v>0</v>
      </c>
      <c r="M222" s="1">
        <v>20000</v>
      </c>
      <c r="N222" s="1">
        <v>15412.98</v>
      </c>
      <c r="O222" s="1">
        <v>4587.0200000000004</v>
      </c>
    </row>
    <row r="223" spans="1:15" x14ac:dyDescent="0.25">
      <c r="A223" t="s">
        <v>276</v>
      </c>
      <c r="B223" s="5">
        <v>45924</v>
      </c>
      <c r="C223" t="s">
        <v>256</v>
      </c>
      <c r="D223" t="s">
        <v>201</v>
      </c>
      <c r="E223" t="s">
        <v>49</v>
      </c>
      <c r="F223" t="s">
        <v>19</v>
      </c>
      <c r="G223" t="s">
        <v>60</v>
      </c>
      <c r="H223" s="1" t="s">
        <v>33</v>
      </c>
      <c r="I223" t="s">
        <v>41</v>
      </c>
      <c r="J223">
        <v>4</v>
      </c>
      <c r="K223" s="1">
        <v>331000</v>
      </c>
      <c r="L223" s="2">
        <v>0.05</v>
      </c>
      <c r="M223" s="1">
        <v>1257800</v>
      </c>
      <c r="N223" s="1">
        <v>1019484.29</v>
      </c>
      <c r="O223" s="1">
        <v>238315.71</v>
      </c>
    </row>
    <row r="224" spans="1:15" x14ac:dyDescent="0.25">
      <c r="A224" t="s">
        <v>277</v>
      </c>
      <c r="B224" s="5">
        <v>45925</v>
      </c>
      <c r="C224" t="s">
        <v>256</v>
      </c>
      <c r="D224" t="s">
        <v>201</v>
      </c>
      <c r="E224" t="s">
        <v>49</v>
      </c>
      <c r="F224" t="s">
        <v>19</v>
      </c>
      <c r="G224" t="s">
        <v>40</v>
      </c>
      <c r="H224" s="1" t="s">
        <v>33</v>
      </c>
      <c r="I224" t="s">
        <v>31</v>
      </c>
      <c r="J224">
        <v>2</v>
      </c>
      <c r="K224" s="1">
        <v>47000</v>
      </c>
      <c r="L224" s="2">
        <v>0.05</v>
      </c>
      <c r="M224" s="1">
        <v>89300</v>
      </c>
      <c r="N224" s="1">
        <v>72591.55</v>
      </c>
      <c r="O224" s="1">
        <v>16708.45</v>
      </c>
    </row>
    <row r="225" spans="1:15" x14ac:dyDescent="0.25">
      <c r="A225" t="s">
        <v>278</v>
      </c>
      <c r="B225" s="5">
        <v>45926</v>
      </c>
      <c r="C225" t="s">
        <v>256</v>
      </c>
      <c r="D225" t="s">
        <v>201</v>
      </c>
      <c r="E225" t="s">
        <v>28</v>
      </c>
      <c r="F225" t="s">
        <v>55</v>
      </c>
      <c r="G225" t="s">
        <v>20</v>
      </c>
      <c r="H225" s="1" t="s">
        <v>33</v>
      </c>
      <c r="I225" t="s">
        <v>31</v>
      </c>
      <c r="J225">
        <v>3</v>
      </c>
      <c r="K225" s="1">
        <v>662000</v>
      </c>
      <c r="L225" s="2">
        <v>0.02</v>
      </c>
      <c r="M225" s="1">
        <v>1946280</v>
      </c>
      <c r="N225" s="1">
        <v>1489329.01</v>
      </c>
      <c r="O225" s="1">
        <v>456950.99</v>
      </c>
    </row>
    <row r="226" spans="1:15" x14ac:dyDescent="0.25">
      <c r="A226" t="s">
        <v>279</v>
      </c>
      <c r="B226" s="5">
        <v>45926</v>
      </c>
      <c r="C226" t="s">
        <v>256</v>
      </c>
      <c r="D226" t="s">
        <v>201</v>
      </c>
      <c r="E226" t="s">
        <v>49</v>
      </c>
      <c r="F226" t="s">
        <v>55</v>
      </c>
      <c r="G226" t="s">
        <v>40</v>
      </c>
      <c r="H226" s="1" t="s">
        <v>30</v>
      </c>
      <c r="I226" t="s">
        <v>41</v>
      </c>
      <c r="J226">
        <v>2</v>
      </c>
      <c r="K226" s="1">
        <v>31000</v>
      </c>
      <c r="L226" s="2">
        <v>0</v>
      </c>
      <c r="M226" s="1">
        <v>62000</v>
      </c>
      <c r="N226" s="1">
        <v>46092.73</v>
      </c>
      <c r="O226" s="1">
        <v>15907.27</v>
      </c>
    </row>
    <row r="227" spans="1:15" x14ac:dyDescent="0.25">
      <c r="A227" t="s">
        <v>280</v>
      </c>
      <c r="B227" s="5">
        <v>45930</v>
      </c>
      <c r="C227" t="s">
        <v>256</v>
      </c>
      <c r="D227" t="s">
        <v>201</v>
      </c>
      <c r="E227" t="s">
        <v>24</v>
      </c>
      <c r="F227" t="s">
        <v>58</v>
      </c>
      <c r="G227" t="s">
        <v>37</v>
      </c>
      <c r="H227" s="1" t="s">
        <v>21</v>
      </c>
      <c r="I227" t="s">
        <v>22</v>
      </c>
      <c r="J227">
        <v>3</v>
      </c>
      <c r="K227" s="1">
        <v>12000</v>
      </c>
      <c r="L227" s="2">
        <v>0</v>
      </c>
      <c r="M227" s="1">
        <v>36000</v>
      </c>
      <c r="N227" s="1">
        <v>26476.2</v>
      </c>
      <c r="O227" s="1">
        <v>9523.7999999999993</v>
      </c>
    </row>
    <row r="228" spans="1:15" x14ac:dyDescent="0.25">
      <c r="A228" t="s">
        <v>281</v>
      </c>
      <c r="B228" s="5">
        <v>45934</v>
      </c>
      <c r="C228" t="s">
        <v>282</v>
      </c>
      <c r="D228" t="s">
        <v>283</v>
      </c>
      <c r="E228" t="s">
        <v>18</v>
      </c>
      <c r="F228" t="s">
        <v>19</v>
      </c>
      <c r="G228" t="s">
        <v>37</v>
      </c>
      <c r="H228" s="1" t="s">
        <v>30</v>
      </c>
      <c r="I228" t="s">
        <v>22</v>
      </c>
      <c r="J228">
        <v>2</v>
      </c>
      <c r="K228" s="1">
        <v>22000</v>
      </c>
      <c r="L228" s="2">
        <v>0.02</v>
      </c>
      <c r="M228" s="1">
        <v>43120</v>
      </c>
      <c r="N228" s="1">
        <v>28780.44</v>
      </c>
      <c r="O228" s="1">
        <v>14339.56</v>
      </c>
    </row>
    <row r="229" spans="1:15" x14ac:dyDescent="0.25">
      <c r="A229" t="s">
        <v>284</v>
      </c>
      <c r="B229" s="5">
        <v>45935</v>
      </c>
      <c r="C229" t="s">
        <v>282</v>
      </c>
      <c r="D229" t="s">
        <v>283</v>
      </c>
      <c r="E229" t="s">
        <v>49</v>
      </c>
      <c r="F229" t="s">
        <v>25</v>
      </c>
      <c r="G229" t="s">
        <v>60</v>
      </c>
      <c r="H229" s="1" t="s">
        <v>30</v>
      </c>
      <c r="I229" t="s">
        <v>31</v>
      </c>
      <c r="J229">
        <v>8</v>
      </c>
      <c r="K229" s="1">
        <v>192000</v>
      </c>
      <c r="L229" s="2">
        <v>0</v>
      </c>
      <c r="M229" s="1">
        <v>1536000</v>
      </c>
      <c r="N229" s="1">
        <v>1070749.26</v>
      </c>
      <c r="O229" s="1">
        <v>465250.74</v>
      </c>
    </row>
    <row r="230" spans="1:15" x14ac:dyDescent="0.25">
      <c r="A230" t="s">
        <v>285</v>
      </c>
      <c r="B230" s="5">
        <v>45935</v>
      </c>
      <c r="C230" t="s">
        <v>282</v>
      </c>
      <c r="D230" t="s">
        <v>283</v>
      </c>
      <c r="E230" t="s">
        <v>28</v>
      </c>
      <c r="F230" t="s">
        <v>19</v>
      </c>
      <c r="G230" t="s">
        <v>26</v>
      </c>
      <c r="H230" s="1" t="s">
        <v>21</v>
      </c>
      <c r="I230" t="s">
        <v>41</v>
      </c>
      <c r="J230">
        <v>2</v>
      </c>
      <c r="K230" s="1">
        <v>249000</v>
      </c>
      <c r="L230" s="2">
        <v>0</v>
      </c>
      <c r="M230" s="1">
        <v>498000</v>
      </c>
      <c r="N230" s="1">
        <v>383828.4</v>
      </c>
      <c r="O230" s="1">
        <v>114171.6</v>
      </c>
    </row>
    <row r="231" spans="1:15" x14ac:dyDescent="0.25">
      <c r="A231" t="s">
        <v>286</v>
      </c>
      <c r="B231" s="5">
        <v>45937</v>
      </c>
      <c r="C231" t="s">
        <v>282</v>
      </c>
      <c r="D231" t="s">
        <v>283</v>
      </c>
      <c r="E231" t="s">
        <v>28</v>
      </c>
      <c r="F231" t="s">
        <v>25</v>
      </c>
      <c r="G231" t="s">
        <v>53</v>
      </c>
      <c r="H231" s="1" t="s">
        <v>30</v>
      </c>
      <c r="I231" t="s">
        <v>22</v>
      </c>
      <c r="J231">
        <v>3</v>
      </c>
      <c r="K231" s="1">
        <v>634000</v>
      </c>
      <c r="L231" s="2">
        <v>0</v>
      </c>
      <c r="M231" s="1">
        <v>1902000</v>
      </c>
      <c r="N231" s="1">
        <v>1400049.88</v>
      </c>
      <c r="O231" s="1">
        <v>501950.12</v>
      </c>
    </row>
    <row r="232" spans="1:15" x14ac:dyDescent="0.25">
      <c r="A232" t="s">
        <v>287</v>
      </c>
      <c r="B232" s="5">
        <v>45939</v>
      </c>
      <c r="C232" t="s">
        <v>282</v>
      </c>
      <c r="D232" t="s">
        <v>283</v>
      </c>
      <c r="E232" t="s">
        <v>18</v>
      </c>
      <c r="F232" t="s">
        <v>25</v>
      </c>
      <c r="G232" t="s">
        <v>45</v>
      </c>
      <c r="H232" s="1" t="s">
        <v>21</v>
      </c>
      <c r="I232" t="s">
        <v>34</v>
      </c>
      <c r="J232">
        <v>1</v>
      </c>
      <c r="K232" s="1">
        <v>297000</v>
      </c>
      <c r="L232" s="2">
        <v>0.02</v>
      </c>
      <c r="M232" s="1">
        <v>291060</v>
      </c>
      <c r="N232" s="1">
        <v>213376.57</v>
      </c>
      <c r="O232" s="1">
        <v>77683.429999999993</v>
      </c>
    </row>
    <row r="233" spans="1:15" x14ac:dyDescent="0.25">
      <c r="A233" t="s">
        <v>288</v>
      </c>
      <c r="B233" s="5">
        <v>45940</v>
      </c>
      <c r="C233" t="s">
        <v>282</v>
      </c>
      <c r="D233" t="s">
        <v>283</v>
      </c>
      <c r="E233" t="s">
        <v>47</v>
      </c>
      <c r="F233" t="s">
        <v>25</v>
      </c>
      <c r="G233" t="s">
        <v>51</v>
      </c>
      <c r="H233" s="1" t="s">
        <v>30</v>
      </c>
      <c r="I233" t="s">
        <v>34</v>
      </c>
      <c r="J233">
        <v>5</v>
      </c>
      <c r="K233" s="1">
        <v>67000</v>
      </c>
      <c r="L233" s="2">
        <v>0</v>
      </c>
      <c r="M233" s="1">
        <v>335000</v>
      </c>
      <c r="N233" s="1">
        <v>222612.62</v>
      </c>
      <c r="O233" s="1">
        <v>112387.38</v>
      </c>
    </row>
    <row r="234" spans="1:15" x14ac:dyDescent="0.25">
      <c r="A234" t="s">
        <v>289</v>
      </c>
      <c r="B234" s="5">
        <v>45941</v>
      </c>
      <c r="C234" t="s">
        <v>282</v>
      </c>
      <c r="D234" t="s">
        <v>283</v>
      </c>
      <c r="E234" t="s">
        <v>28</v>
      </c>
      <c r="F234" t="s">
        <v>19</v>
      </c>
      <c r="G234" t="s">
        <v>20</v>
      </c>
      <c r="H234" s="1" t="s">
        <v>30</v>
      </c>
      <c r="I234" t="s">
        <v>34</v>
      </c>
      <c r="J234">
        <v>8</v>
      </c>
      <c r="K234" s="1">
        <v>471000</v>
      </c>
      <c r="L234" s="2">
        <v>0.05</v>
      </c>
      <c r="M234" s="1">
        <v>3579600</v>
      </c>
      <c r="N234" s="1">
        <v>2473435.7200000002</v>
      </c>
      <c r="O234" s="1">
        <v>1106164.28</v>
      </c>
    </row>
    <row r="235" spans="1:15" x14ac:dyDescent="0.25">
      <c r="A235" t="s">
        <v>290</v>
      </c>
      <c r="B235" s="5">
        <v>45943</v>
      </c>
      <c r="C235" t="s">
        <v>282</v>
      </c>
      <c r="D235" t="s">
        <v>283</v>
      </c>
      <c r="E235" t="s">
        <v>18</v>
      </c>
      <c r="F235" t="s">
        <v>29</v>
      </c>
      <c r="G235" t="s">
        <v>53</v>
      </c>
      <c r="H235" s="1" t="s">
        <v>30</v>
      </c>
      <c r="I235" t="s">
        <v>31</v>
      </c>
      <c r="J235">
        <v>1</v>
      </c>
      <c r="K235" s="1">
        <v>590000</v>
      </c>
      <c r="L235" s="2">
        <v>0.02</v>
      </c>
      <c r="M235" s="1">
        <v>578200</v>
      </c>
      <c r="N235" s="1">
        <v>421010.37</v>
      </c>
      <c r="O235" s="1">
        <v>157189.63</v>
      </c>
    </row>
    <row r="236" spans="1:15" x14ac:dyDescent="0.25">
      <c r="A236" t="s">
        <v>291</v>
      </c>
      <c r="B236" s="5">
        <v>45944</v>
      </c>
      <c r="C236" t="s">
        <v>282</v>
      </c>
      <c r="D236" t="s">
        <v>283</v>
      </c>
      <c r="E236" t="s">
        <v>18</v>
      </c>
      <c r="F236" t="s">
        <v>58</v>
      </c>
      <c r="G236" t="s">
        <v>20</v>
      </c>
      <c r="H236" s="1" t="s">
        <v>33</v>
      </c>
      <c r="I236" t="s">
        <v>31</v>
      </c>
      <c r="J236">
        <v>1</v>
      </c>
      <c r="K236" s="1">
        <v>706000</v>
      </c>
      <c r="L236" s="2">
        <v>0.02</v>
      </c>
      <c r="M236" s="1">
        <v>691880</v>
      </c>
      <c r="N236" s="1">
        <v>518937.83</v>
      </c>
      <c r="O236" s="1">
        <v>172942.17</v>
      </c>
    </row>
    <row r="237" spans="1:15" x14ac:dyDescent="0.25">
      <c r="A237" t="s">
        <v>292</v>
      </c>
      <c r="B237" s="5">
        <v>45946</v>
      </c>
      <c r="C237" t="s">
        <v>282</v>
      </c>
      <c r="D237" t="s">
        <v>283</v>
      </c>
      <c r="E237" t="s">
        <v>47</v>
      </c>
      <c r="F237" t="s">
        <v>68</v>
      </c>
      <c r="G237" t="s">
        <v>51</v>
      </c>
      <c r="H237" s="1" t="s">
        <v>30</v>
      </c>
      <c r="I237" t="s">
        <v>31</v>
      </c>
      <c r="J237">
        <v>4</v>
      </c>
      <c r="K237" s="1">
        <v>67000</v>
      </c>
      <c r="L237" s="2">
        <v>0</v>
      </c>
      <c r="M237" s="1">
        <v>268000</v>
      </c>
      <c r="N237" s="1">
        <v>208799.35999999999</v>
      </c>
      <c r="O237" s="1">
        <v>59200.639999999999</v>
      </c>
    </row>
    <row r="238" spans="1:15" x14ac:dyDescent="0.25">
      <c r="A238" t="s">
        <v>293</v>
      </c>
      <c r="B238" s="5">
        <v>45946</v>
      </c>
      <c r="C238" t="s">
        <v>282</v>
      </c>
      <c r="D238" t="s">
        <v>283</v>
      </c>
      <c r="E238" t="s">
        <v>47</v>
      </c>
      <c r="F238" t="s">
        <v>55</v>
      </c>
      <c r="G238" t="s">
        <v>45</v>
      </c>
      <c r="H238" s="1" t="s">
        <v>33</v>
      </c>
      <c r="I238" t="s">
        <v>31</v>
      </c>
      <c r="J238">
        <v>1</v>
      </c>
      <c r="K238" s="1">
        <v>187000</v>
      </c>
      <c r="L238" s="2">
        <v>0</v>
      </c>
      <c r="M238" s="1">
        <v>187000</v>
      </c>
      <c r="N238" s="1">
        <v>142544.19</v>
      </c>
      <c r="O238" s="1">
        <v>44455.81</v>
      </c>
    </row>
    <row r="239" spans="1:15" x14ac:dyDescent="0.25">
      <c r="A239" t="s">
        <v>294</v>
      </c>
      <c r="B239" s="5">
        <v>45948</v>
      </c>
      <c r="C239" t="s">
        <v>282</v>
      </c>
      <c r="D239" t="s">
        <v>283</v>
      </c>
      <c r="E239" t="s">
        <v>18</v>
      </c>
      <c r="F239" t="s">
        <v>25</v>
      </c>
      <c r="G239" t="s">
        <v>20</v>
      </c>
      <c r="H239" s="1" t="s">
        <v>33</v>
      </c>
      <c r="I239" t="s">
        <v>34</v>
      </c>
      <c r="J239">
        <v>5</v>
      </c>
      <c r="K239" s="1">
        <v>762000</v>
      </c>
      <c r="L239" s="2">
        <v>0.05</v>
      </c>
      <c r="M239" s="1">
        <v>3619500</v>
      </c>
      <c r="N239" s="1">
        <v>2822874.93</v>
      </c>
      <c r="O239" s="1">
        <v>796625.07</v>
      </c>
    </row>
    <row r="240" spans="1:15" x14ac:dyDescent="0.25">
      <c r="A240" t="s">
        <v>295</v>
      </c>
      <c r="B240" s="5">
        <v>45948</v>
      </c>
      <c r="C240" t="s">
        <v>282</v>
      </c>
      <c r="D240" t="s">
        <v>283</v>
      </c>
      <c r="E240" t="s">
        <v>18</v>
      </c>
      <c r="F240" t="s">
        <v>55</v>
      </c>
      <c r="G240" t="s">
        <v>40</v>
      </c>
      <c r="H240" s="1" t="s">
        <v>30</v>
      </c>
      <c r="I240" t="s">
        <v>41</v>
      </c>
      <c r="J240">
        <v>3</v>
      </c>
      <c r="K240" s="1">
        <v>30000</v>
      </c>
      <c r="L240" s="2">
        <v>0.02</v>
      </c>
      <c r="M240" s="1">
        <v>88200</v>
      </c>
      <c r="N240" s="1">
        <v>64309.919999999998</v>
      </c>
      <c r="O240" s="1">
        <v>23890.080000000002</v>
      </c>
    </row>
    <row r="241" spans="1:15" x14ac:dyDescent="0.25">
      <c r="A241" t="s">
        <v>296</v>
      </c>
      <c r="B241" s="5">
        <v>45950</v>
      </c>
      <c r="C241" t="s">
        <v>282</v>
      </c>
      <c r="D241" t="s">
        <v>283</v>
      </c>
      <c r="E241" t="s">
        <v>47</v>
      </c>
      <c r="F241" t="s">
        <v>55</v>
      </c>
      <c r="G241" t="s">
        <v>20</v>
      </c>
      <c r="H241" s="1" t="s">
        <v>21</v>
      </c>
      <c r="I241" t="s">
        <v>22</v>
      </c>
      <c r="J241">
        <v>8</v>
      </c>
      <c r="K241" s="1">
        <v>798000</v>
      </c>
      <c r="L241" s="2">
        <v>0.02</v>
      </c>
      <c r="M241" s="1">
        <v>6256320</v>
      </c>
      <c r="N241" s="1">
        <v>4750612.5</v>
      </c>
      <c r="O241" s="1">
        <v>1505707.5</v>
      </c>
    </row>
    <row r="242" spans="1:15" x14ac:dyDescent="0.25">
      <c r="A242" t="s">
        <v>297</v>
      </c>
      <c r="B242" s="5">
        <v>45951</v>
      </c>
      <c r="C242" t="s">
        <v>282</v>
      </c>
      <c r="D242" t="s">
        <v>283</v>
      </c>
      <c r="E242" t="s">
        <v>18</v>
      </c>
      <c r="F242" t="s">
        <v>55</v>
      </c>
      <c r="G242" t="s">
        <v>37</v>
      </c>
      <c r="H242" s="1" t="s">
        <v>30</v>
      </c>
      <c r="I242" t="s">
        <v>22</v>
      </c>
      <c r="J242">
        <v>1</v>
      </c>
      <c r="K242" s="1">
        <v>21000</v>
      </c>
      <c r="L242" s="2">
        <v>0</v>
      </c>
      <c r="M242" s="1">
        <v>21000</v>
      </c>
      <c r="N242" s="1">
        <v>16646.78</v>
      </c>
      <c r="O242" s="1">
        <v>4353.22</v>
      </c>
    </row>
    <row r="243" spans="1:15" x14ac:dyDescent="0.25">
      <c r="A243" t="s">
        <v>298</v>
      </c>
      <c r="B243" s="5">
        <v>45951</v>
      </c>
      <c r="C243" t="s">
        <v>282</v>
      </c>
      <c r="D243" t="s">
        <v>283</v>
      </c>
      <c r="E243" t="s">
        <v>49</v>
      </c>
      <c r="F243" t="s">
        <v>68</v>
      </c>
      <c r="G243" t="s">
        <v>40</v>
      </c>
      <c r="H243" s="1" t="s">
        <v>33</v>
      </c>
      <c r="I243" t="s">
        <v>22</v>
      </c>
      <c r="J243">
        <v>4</v>
      </c>
      <c r="K243" s="1">
        <v>48000</v>
      </c>
      <c r="L243" s="2">
        <v>0</v>
      </c>
      <c r="M243" s="1">
        <v>192000</v>
      </c>
      <c r="N243" s="1">
        <v>152341.06</v>
      </c>
      <c r="O243" s="1">
        <v>39658.94</v>
      </c>
    </row>
    <row r="244" spans="1:15" x14ac:dyDescent="0.25">
      <c r="A244" t="s">
        <v>299</v>
      </c>
      <c r="B244" s="5">
        <v>45952</v>
      </c>
      <c r="C244" t="s">
        <v>282</v>
      </c>
      <c r="D244" t="s">
        <v>283</v>
      </c>
      <c r="E244" t="s">
        <v>47</v>
      </c>
      <c r="F244" t="s">
        <v>19</v>
      </c>
      <c r="G244" t="s">
        <v>26</v>
      </c>
      <c r="H244" s="1" t="s">
        <v>30</v>
      </c>
      <c r="I244" t="s">
        <v>34</v>
      </c>
      <c r="J244">
        <v>6</v>
      </c>
      <c r="K244" s="1">
        <v>158000</v>
      </c>
      <c r="L244" s="2">
        <v>0</v>
      </c>
      <c r="M244" s="1">
        <v>948000</v>
      </c>
      <c r="N244" s="1">
        <v>742587.25</v>
      </c>
      <c r="O244" s="1">
        <v>205412.75</v>
      </c>
    </row>
    <row r="245" spans="1:15" x14ac:dyDescent="0.25">
      <c r="A245" t="s">
        <v>300</v>
      </c>
      <c r="B245" s="5">
        <v>45952</v>
      </c>
      <c r="C245" t="s">
        <v>282</v>
      </c>
      <c r="D245" t="s">
        <v>283</v>
      </c>
      <c r="E245" t="s">
        <v>49</v>
      </c>
      <c r="F245" t="s">
        <v>68</v>
      </c>
      <c r="G245" t="s">
        <v>20</v>
      </c>
      <c r="H245" s="1" t="s">
        <v>21</v>
      </c>
      <c r="I245" t="s">
        <v>34</v>
      </c>
      <c r="J245">
        <v>2</v>
      </c>
      <c r="K245" s="1">
        <v>479000</v>
      </c>
      <c r="L245" s="2">
        <v>0</v>
      </c>
      <c r="M245" s="1">
        <v>958000</v>
      </c>
      <c r="N245" s="1">
        <v>638484.84</v>
      </c>
      <c r="O245" s="1">
        <v>319515.15999999997</v>
      </c>
    </row>
    <row r="246" spans="1:15" x14ac:dyDescent="0.25">
      <c r="A246" t="s">
        <v>301</v>
      </c>
      <c r="B246" s="5">
        <v>45955</v>
      </c>
      <c r="C246" t="s">
        <v>282</v>
      </c>
      <c r="D246" t="s">
        <v>283</v>
      </c>
      <c r="E246" t="s">
        <v>28</v>
      </c>
      <c r="F246" t="s">
        <v>43</v>
      </c>
      <c r="G246" t="s">
        <v>53</v>
      </c>
      <c r="H246" s="1" t="s">
        <v>30</v>
      </c>
      <c r="I246" t="s">
        <v>22</v>
      </c>
      <c r="J246">
        <v>4</v>
      </c>
      <c r="K246" s="1">
        <v>426000</v>
      </c>
      <c r="L246" s="2">
        <v>0</v>
      </c>
      <c r="M246" s="1">
        <v>1704000</v>
      </c>
      <c r="N246" s="1">
        <v>1249820</v>
      </c>
      <c r="O246" s="1">
        <v>454180</v>
      </c>
    </row>
    <row r="247" spans="1:15" x14ac:dyDescent="0.25">
      <c r="A247" t="s">
        <v>302</v>
      </c>
      <c r="B247" s="5">
        <v>45957</v>
      </c>
      <c r="C247" t="s">
        <v>282</v>
      </c>
      <c r="D247" t="s">
        <v>283</v>
      </c>
      <c r="E247" t="s">
        <v>18</v>
      </c>
      <c r="F247" t="s">
        <v>25</v>
      </c>
      <c r="G247" t="s">
        <v>40</v>
      </c>
      <c r="H247" s="1" t="s">
        <v>33</v>
      </c>
      <c r="I247" t="s">
        <v>22</v>
      </c>
      <c r="J247">
        <v>4</v>
      </c>
      <c r="K247" s="1">
        <v>37000</v>
      </c>
      <c r="L247" s="2">
        <v>0</v>
      </c>
      <c r="M247" s="1">
        <v>148000</v>
      </c>
      <c r="N247" s="1">
        <v>93540.21</v>
      </c>
      <c r="O247" s="1">
        <v>54459.79</v>
      </c>
    </row>
    <row r="248" spans="1:15" x14ac:dyDescent="0.25">
      <c r="A248" t="s">
        <v>303</v>
      </c>
      <c r="B248" s="5">
        <v>45957</v>
      </c>
      <c r="C248" t="s">
        <v>282</v>
      </c>
      <c r="D248" t="s">
        <v>283</v>
      </c>
      <c r="E248" t="s">
        <v>18</v>
      </c>
      <c r="F248" t="s">
        <v>25</v>
      </c>
      <c r="G248" t="s">
        <v>45</v>
      </c>
      <c r="H248" s="1" t="s">
        <v>30</v>
      </c>
      <c r="I248" t="s">
        <v>41</v>
      </c>
      <c r="J248">
        <v>2</v>
      </c>
      <c r="K248" s="1">
        <v>124000</v>
      </c>
      <c r="L248" s="2">
        <v>0</v>
      </c>
      <c r="M248" s="1">
        <v>248000</v>
      </c>
      <c r="N248" s="1">
        <v>170003.87</v>
      </c>
      <c r="O248" s="1">
        <v>77996.13</v>
      </c>
    </row>
    <row r="249" spans="1:15" x14ac:dyDescent="0.25">
      <c r="A249" t="s">
        <v>304</v>
      </c>
      <c r="B249" s="5">
        <v>45960</v>
      </c>
      <c r="C249" t="s">
        <v>282</v>
      </c>
      <c r="D249" t="s">
        <v>283</v>
      </c>
      <c r="E249" t="s">
        <v>18</v>
      </c>
      <c r="F249" t="s">
        <v>19</v>
      </c>
      <c r="G249" t="s">
        <v>45</v>
      </c>
      <c r="H249" s="1" t="s">
        <v>21</v>
      </c>
      <c r="I249" t="s">
        <v>41</v>
      </c>
      <c r="J249">
        <v>8</v>
      </c>
      <c r="K249" s="1">
        <v>305000</v>
      </c>
      <c r="L249" s="2">
        <v>0.05</v>
      </c>
      <c r="M249" s="1">
        <v>2318000</v>
      </c>
      <c r="N249" s="1">
        <v>1757303.72</v>
      </c>
      <c r="O249" s="1">
        <v>560696.28</v>
      </c>
    </row>
    <row r="250" spans="1:15" x14ac:dyDescent="0.25">
      <c r="A250" t="s">
        <v>305</v>
      </c>
      <c r="B250" s="5">
        <v>45960</v>
      </c>
      <c r="C250" t="s">
        <v>282</v>
      </c>
      <c r="D250" t="s">
        <v>283</v>
      </c>
      <c r="E250" t="s">
        <v>28</v>
      </c>
      <c r="F250" t="s">
        <v>43</v>
      </c>
      <c r="G250" t="s">
        <v>37</v>
      </c>
      <c r="H250" s="1" t="s">
        <v>33</v>
      </c>
      <c r="I250" t="s">
        <v>31</v>
      </c>
      <c r="J250">
        <v>2</v>
      </c>
      <c r="K250" s="1">
        <v>13000</v>
      </c>
      <c r="L250" s="2">
        <v>0</v>
      </c>
      <c r="M250" s="1">
        <v>26000</v>
      </c>
      <c r="N250" s="1">
        <v>20287.11</v>
      </c>
      <c r="O250" s="1">
        <v>5712.89</v>
      </c>
    </row>
    <row r="251" spans="1:15" x14ac:dyDescent="0.25">
      <c r="A251" t="s">
        <v>306</v>
      </c>
      <c r="B251" s="5">
        <v>45960</v>
      </c>
      <c r="C251" t="s">
        <v>282</v>
      </c>
      <c r="D251" t="s">
        <v>283</v>
      </c>
      <c r="E251" t="s">
        <v>18</v>
      </c>
      <c r="F251" t="s">
        <v>68</v>
      </c>
      <c r="G251" t="s">
        <v>60</v>
      </c>
      <c r="H251" s="1" t="s">
        <v>33</v>
      </c>
      <c r="I251" t="s">
        <v>31</v>
      </c>
      <c r="J251">
        <v>1</v>
      </c>
      <c r="K251" s="1">
        <v>123000</v>
      </c>
      <c r="L251" s="2">
        <v>0</v>
      </c>
      <c r="M251" s="1">
        <v>123000</v>
      </c>
      <c r="N251" s="1">
        <v>97573.11</v>
      </c>
      <c r="O251" s="1">
        <v>25426.89</v>
      </c>
    </row>
    <row r="252" spans="1:15" x14ac:dyDescent="0.25">
      <c r="A252" t="s">
        <v>307</v>
      </c>
      <c r="B252" s="5">
        <v>45961</v>
      </c>
      <c r="C252" t="s">
        <v>282</v>
      </c>
      <c r="D252" t="s">
        <v>283</v>
      </c>
      <c r="E252" t="s">
        <v>24</v>
      </c>
      <c r="F252" t="s">
        <v>43</v>
      </c>
      <c r="G252" t="s">
        <v>40</v>
      </c>
      <c r="H252" s="1" t="s">
        <v>33</v>
      </c>
      <c r="I252" t="s">
        <v>34</v>
      </c>
      <c r="J252">
        <v>2</v>
      </c>
      <c r="K252" s="1">
        <v>39000</v>
      </c>
      <c r="L252" s="2">
        <v>0</v>
      </c>
      <c r="M252" s="1">
        <v>78000</v>
      </c>
      <c r="N252" s="1">
        <v>61828</v>
      </c>
      <c r="O252" s="1">
        <v>16172</v>
      </c>
    </row>
    <row r="253" spans="1:15" x14ac:dyDescent="0.25">
      <c r="A253" t="s">
        <v>308</v>
      </c>
      <c r="B253" s="5">
        <v>45962</v>
      </c>
      <c r="C253" t="s">
        <v>309</v>
      </c>
      <c r="D253" t="s">
        <v>283</v>
      </c>
      <c r="E253" t="s">
        <v>47</v>
      </c>
      <c r="F253" t="s">
        <v>68</v>
      </c>
      <c r="G253" t="s">
        <v>51</v>
      </c>
      <c r="H253" s="1" t="s">
        <v>21</v>
      </c>
      <c r="I253" t="s">
        <v>34</v>
      </c>
      <c r="J253">
        <v>4</v>
      </c>
      <c r="K253" s="1">
        <v>32000</v>
      </c>
      <c r="L253" s="2">
        <v>0</v>
      </c>
      <c r="M253" s="1">
        <v>128000</v>
      </c>
      <c r="N253" s="1">
        <v>83615.12</v>
      </c>
      <c r="O253" s="1">
        <v>44384.88</v>
      </c>
    </row>
    <row r="254" spans="1:15" x14ac:dyDescent="0.25">
      <c r="A254" t="s">
        <v>310</v>
      </c>
      <c r="B254" s="5">
        <v>45962</v>
      </c>
      <c r="C254" t="s">
        <v>309</v>
      </c>
      <c r="D254" t="s">
        <v>283</v>
      </c>
      <c r="E254" t="s">
        <v>49</v>
      </c>
      <c r="F254" t="s">
        <v>29</v>
      </c>
      <c r="G254" t="s">
        <v>40</v>
      </c>
      <c r="H254" s="1" t="s">
        <v>21</v>
      </c>
      <c r="I254" t="s">
        <v>41</v>
      </c>
      <c r="J254">
        <v>10</v>
      </c>
      <c r="K254" s="1">
        <v>34000</v>
      </c>
      <c r="L254" s="2">
        <v>0</v>
      </c>
      <c r="M254" s="1">
        <v>340000</v>
      </c>
      <c r="N254" s="1">
        <v>260110.59</v>
      </c>
      <c r="O254" s="1">
        <v>79889.41</v>
      </c>
    </row>
    <row r="255" spans="1:15" x14ac:dyDescent="0.25">
      <c r="A255" t="s">
        <v>311</v>
      </c>
      <c r="B255" s="5">
        <v>45966</v>
      </c>
      <c r="C255" t="s">
        <v>309</v>
      </c>
      <c r="D255" t="s">
        <v>283</v>
      </c>
      <c r="E255" t="s">
        <v>28</v>
      </c>
      <c r="F255" t="s">
        <v>58</v>
      </c>
      <c r="G255" t="s">
        <v>26</v>
      </c>
      <c r="H255" s="1" t="s">
        <v>30</v>
      </c>
      <c r="I255" t="s">
        <v>34</v>
      </c>
      <c r="J255">
        <v>3</v>
      </c>
      <c r="K255" s="1">
        <v>173000</v>
      </c>
      <c r="L255" s="2">
        <v>0</v>
      </c>
      <c r="M255" s="1">
        <v>519000</v>
      </c>
      <c r="N255" s="1">
        <v>362415.84</v>
      </c>
      <c r="O255" s="1">
        <v>156584.16</v>
      </c>
    </row>
    <row r="256" spans="1:15" x14ac:dyDescent="0.25">
      <c r="A256" t="s">
        <v>312</v>
      </c>
      <c r="B256" s="5">
        <v>45967</v>
      </c>
      <c r="C256" t="s">
        <v>309</v>
      </c>
      <c r="D256" t="s">
        <v>283</v>
      </c>
      <c r="E256" t="s">
        <v>47</v>
      </c>
      <c r="F256" t="s">
        <v>25</v>
      </c>
      <c r="G256" t="s">
        <v>40</v>
      </c>
      <c r="H256" s="1" t="s">
        <v>33</v>
      </c>
      <c r="I256" t="s">
        <v>34</v>
      </c>
      <c r="J256">
        <v>1</v>
      </c>
      <c r="K256" s="1">
        <v>46000</v>
      </c>
      <c r="L256" s="2">
        <v>0</v>
      </c>
      <c r="M256" s="1">
        <v>46000</v>
      </c>
      <c r="N256" s="1">
        <v>34619.99</v>
      </c>
      <c r="O256" s="1">
        <v>11380.01</v>
      </c>
    </row>
    <row r="257" spans="1:15" x14ac:dyDescent="0.25">
      <c r="A257" t="s">
        <v>313</v>
      </c>
      <c r="B257" s="5">
        <v>45968</v>
      </c>
      <c r="C257" t="s">
        <v>309</v>
      </c>
      <c r="D257" t="s">
        <v>283</v>
      </c>
      <c r="E257" t="s">
        <v>49</v>
      </c>
      <c r="F257" t="s">
        <v>55</v>
      </c>
      <c r="G257" t="s">
        <v>40</v>
      </c>
      <c r="H257" s="1" t="s">
        <v>33</v>
      </c>
      <c r="I257" t="s">
        <v>22</v>
      </c>
      <c r="J257">
        <v>3</v>
      </c>
      <c r="K257" s="1">
        <v>44000</v>
      </c>
      <c r="L257" s="2">
        <v>0</v>
      </c>
      <c r="M257" s="1">
        <v>132000</v>
      </c>
      <c r="N257" s="1">
        <v>104983.97</v>
      </c>
      <c r="O257" s="1">
        <v>27016.03</v>
      </c>
    </row>
    <row r="258" spans="1:15" x14ac:dyDescent="0.25">
      <c r="A258" t="s">
        <v>314</v>
      </c>
      <c r="B258" s="5">
        <v>45969</v>
      </c>
      <c r="C258" t="s">
        <v>309</v>
      </c>
      <c r="D258" t="s">
        <v>283</v>
      </c>
      <c r="E258" t="s">
        <v>49</v>
      </c>
      <c r="F258" t="s">
        <v>55</v>
      </c>
      <c r="G258" t="s">
        <v>60</v>
      </c>
      <c r="H258" s="1" t="s">
        <v>33</v>
      </c>
      <c r="I258" t="s">
        <v>31</v>
      </c>
      <c r="J258">
        <v>2</v>
      </c>
      <c r="K258" s="1">
        <v>217000</v>
      </c>
      <c r="L258" s="2">
        <v>0</v>
      </c>
      <c r="M258" s="1">
        <v>434000</v>
      </c>
      <c r="N258" s="1">
        <v>295606.45</v>
      </c>
      <c r="O258" s="1">
        <v>138393.54999999999</v>
      </c>
    </row>
    <row r="259" spans="1:15" x14ac:dyDescent="0.25">
      <c r="A259" t="s">
        <v>315</v>
      </c>
      <c r="B259" s="5">
        <v>45969</v>
      </c>
      <c r="C259" t="s">
        <v>309</v>
      </c>
      <c r="D259" t="s">
        <v>283</v>
      </c>
      <c r="E259" t="s">
        <v>28</v>
      </c>
      <c r="F259" t="s">
        <v>58</v>
      </c>
      <c r="G259" t="s">
        <v>20</v>
      </c>
      <c r="H259" s="1" t="s">
        <v>33</v>
      </c>
      <c r="I259" t="s">
        <v>22</v>
      </c>
      <c r="J259">
        <v>1</v>
      </c>
      <c r="K259" s="1">
        <v>514000</v>
      </c>
      <c r="L259" s="2">
        <v>0.02</v>
      </c>
      <c r="M259" s="1">
        <v>503720</v>
      </c>
      <c r="N259" s="1">
        <v>345785.1</v>
      </c>
      <c r="O259" s="1">
        <v>157934.9</v>
      </c>
    </row>
    <row r="260" spans="1:15" x14ac:dyDescent="0.25">
      <c r="A260" t="s">
        <v>316</v>
      </c>
      <c r="B260" s="5">
        <v>45971</v>
      </c>
      <c r="C260" t="s">
        <v>309</v>
      </c>
      <c r="D260" t="s">
        <v>283</v>
      </c>
      <c r="E260" t="s">
        <v>18</v>
      </c>
      <c r="F260" t="s">
        <v>29</v>
      </c>
      <c r="G260" t="s">
        <v>40</v>
      </c>
      <c r="H260" s="1" t="s">
        <v>33</v>
      </c>
      <c r="I260" t="s">
        <v>31</v>
      </c>
      <c r="J260">
        <v>3</v>
      </c>
      <c r="K260" s="1">
        <v>30000</v>
      </c>
      <c r="L260" s="2">
        <v>0</v>
      </c>
      <c r="M260" s="1">
        <v>90000</v>
      </c>
      <c r="N260" s="1">
        <v>71064.86</v>
      </c>
      <c r="O260" s="1">
        <v>18935.14</v>
      </c>
    </row>
    <row r="261" spans="1:15" x14ac:dyDescent="0.25">
      <c r="A261" t="s">
        <v>317</v>
      </c>
      <c r="B261" s="5">
        <v>45972</v>
      </c>
      <c r="C261" t="s">
        <v>309</v>
      </c>
      <c r="D261" t="s">
        <v>283</v>
      </c>
      <c r="E261" t="s">
        <v>49</v>
      </c>
      <c r="F261" t="s">
        <v>55</v>
      </c>
      <c r="G261" t="s">
        <v>53</v>
      </c>
      <c r="H261" s="1" t="s">
        <v>30</v>
      </c>
      <c r="I261" t="s">
        <v>34</v>
      </c>
      <c r="J261">
        <v>1</v>
      </c>
      <c r="K261" s="1">
        <v>200000</v>
      </c>
      <c r="L261" s="2">
        <v>0.02</v>
      </c>
      <c r="M261" s="1">
        <v>196000</v>
      </c>
      <c r="N261" s="1">
        <v>125244.46</v>
      </c>
      <c r="O261" s="1">
        <v>70755.539999999994</v>
      </c>
    </row>
    <row r="262" spans="1:15" x14ac:dyDescent="0.25">
      <c r="A262" t="s">
        <v>318</v>
      </c>
      <c r="B262" s="5">
        <v>45973</v>
      </c>
      <c r="C262" t="s">
        <v>309</v>
      </c>
      <c r="D262" t="s">
        <v>283</v>
      </c>
      <c r="E262" t="s">
        <v>18</v>
      </c>
      <c r="F262" t="s">
        <v>43</v>
      </c>
      <c r="G262" t="s">
        <v>45</v>
      </c>
      <c r="H262" s="1" t="s">
        <v>33</v>
      </c>
      <c r="I262" t="s">
        <v>31</v>
      </c>
      <c r="J262">
        <v>4</v>
      </c>
      <c r="K262" s="1">
        <v>179000</v>
      </c>
      <c r="L262" s="2">
        <v>0</v>
      </c>
      <c r="M262" s="1">
        <v>716000</v>
      </c>
      <c r="N262" s="1">
        <v>455525.82</v>
      </c>
      <c r="O262" s="1">
        <v>260474.18</v>
      </c>
    </row>
    <row r="263" spans="1:15" x14ac:dyDescent="0.25">
      <c r="A263" t="s">
        <v>319</v>
      </c>
      <c r="B263" s="5">
        <v>45974</v>
      </c>
      <c r="C263" t="s">
        <v>309</v>
      </c>
      <c r="D263" t="s">
        <v>283</v>
      </c>
      <c r="E263" t="s">
        <v>49</v>
      </c>
      <c r="F263" t="s">
        <v>43</v>
      </c>
      <c r="G263" t="s">
        <v>51</v>
      </c>
      <c r="H263" s="1" t="s">
        <v>33</v>
      </c>
      <c r="I263" t="s">
        <v>31</v>
      </c>
      <c r="J263">
        <v>5</v>
      </c>
      <c r="K263" s="1">
        <v>53000</v>
      </c>
      <c r="L263" s="2">
        <v>0</v>
      </c>
      <c r="M263" s="1">
        <v>265000</v>
      </c>
      <c r="N263" s="1">
        <v>194875.91</v>
      </c>
      <c r="O263" s="1">
        <v>70124.09</v>
      </c>
    </row>
    <row r="264" spans="1:15" x14ac:dyDescent="0.25">
      <c r="A264" t="s">
        <v>320</v>
      </c>
      <c r="B264" s="5">
        <v>45974</v>
      </c>
      <c r="C264" t="s">
        <v>309</v>
      </c>
      <c r="D264" t="s">
        <v>283</v>
      </c>
      <c r="E264" t="s">
        <v>18</v>
      </c>
      <c r="F264" t="s">
        <v>19</v>
      </c>
      <c r="G264" t="s">
        <v>51</v>
      </c>
      <c r="H264" s="1" t="s">
        <v>30</v>
      </c>
      <c r="I264" t="s">
        <v>22</v>
      </c>
      <c r="J264">
        <v>8</v>
      </c>
      <c r="K264" s="1">
        <v>30000</v>
      </c>
      <c r="L264" s="2">
        <v>0</v>
      </c>
      <c r="M264" s="1">
        <v>240000</v>
      </c>
      <c r="N264" s="1">
        <v>195354.18</v>
      </c>
      <c r="O264" s="1">
        <v>44645.82</v>
      </c>
    </row>
    <row r="265" spans="1:15" x14ac:dyDescent="0.25">
      <c r="A265" t="s">
        <v>321</v>
      </c>
      <c r="B265" s="5">
        <v>45975</v>
      </c>
      <c r="C265" t="s">
        <v>309</v>
      </c>
      <c r="D265" t="s">
        <v>283</v>
      </c>
      <c r="E265" t="s">
        <v>24</v>
      </c>
      <c r="F265" t="s">
        <v>29</v>
      </c>
      <c r="G265" t="s">
        <v>45</v>
      </c>
      <c r="H265" s="1" t="s">
        <v>30</v>
      </c>
      <c r="I265" t="s">
        <v>31</v>
      </c>
      <c r="J265">
        <v>4</v>
      </c>
      <c r="K265" s="1">
        <v>219000</v>
      </c>
      <c r="L265" s="2">
        <v>0</v>
      </c>
      <c r="M265" s="1">
        <v>876000</v>
      </c>
      <c r="N265" s="1">
        <v>575415.26</v>
      </c>
      <c r="O265" s="1">
        <v>300584.74</v>
      </c>
    </row>
    <row r="266" spans="1:15" x14ac:dyDescent="0.25">
      <c r="A266" t="s">
        <v>322</v>
      </c>
      <c r="B266" s="5">
        <v>45975</v>
      </c>
      <c r="C266" t="s">
        <v>309</v>
      </c>
      <c r="D266" t="s">
        <v>283</v>
      </c>
      <c r="E266" t="s">
        <v>47</v>
      </c>
      <c r="F266" t="s">
        <v>68</v>
      </c>
      <c r="G266" t="s">
        <v>26</v>
      </c>
      <c r="H266" s="1" t="s">
        <v>33</v>
      </c>
      <c r="I266" t="s">
        <v>41</v>
      </c>
      <c r="J266">
        <v>6</v>
      </c>
      <c r="K266" s="1">
        <v>224000</v>
      </c>
      <c r="L266" s="2">
        <v>0.02</v>
      </c>
      <c r="M266" s="1">
        <v>1317120</v>
      </c>
      <c r="N266" s="1">
        <v>1027808.82</v>
      </c>
      <c r="O266" s="1">
        <v>289311.18</v>
      </c>
    </row>
    <row r="267" spans="1:15" x14ac:dyDescent="0.25">
      <c r="A267" t="s">
        <v>323</v>
      </c>
      <c r="B267" s="5">
        <v>45984</v>
      </c>
      <c r="C267" t="s">
        <v>309</v>
      </c>
      <c r="D267" t="s">
        <v>283</v>
      </c>
      <c r="E267" t="s">
        <v>47</v>
      </c>
      <c r="F267" t="s">
        <v>29</v>
      </c>
      <c r="G267" t="s">
        <v>45</v>
      </c>
      <c r="H267" s="1" t="s">
        <v>30</v>
      </c>
      <c r="I267" t="s">
        <v>31</v>
      </c>
      <c r="J267">
        <v>1</v>
      </c>
      <c r="K267" s="1">
        <v>146000</v>
      </c>
      <c r="L267" s="2">
        <v>0</v>
      </c>
      <c r="M267" s="1">
        <v>146000</v>
      </c>
      <c r="N267" s="1">
        <v>97848.23</v>
      </c>
      <c r="O267" s="1">
        <v>48151.77</v>
      </c>
    </row>
    <row r="268" spans="1:15" x14ac:dyDescent="0.25">
      <c r="A268" t="s">
        <v>324</v>
      </c>
      <c r="B268" s="5">
        <v>45988</v>
      </c>
      <c r="C268" t="s">
        <v>309</v>
      </c>
      <c r="D268" t="s">
        <v>283</v>
      </c>
      <c r="E268" t="s">
        <v>24</v>
      </c>
      <c r="F268" t="s">
        <v>36</v>
      </c>
      <c r="G268" t="s">
        <v>53</v>
      </c>
      <c r="H268" s="1" t="s">
        <v>33</v>
      </c>
      <c r="I268" t="s">
        <v>41</v>
      </c>
      <c r="J268">
        <v>2</v>
      </c>
      <c r="K268" s="1">
        <v>340000</v>
      </c>
      <c r="L268" s="2">
        <v>0</v>
      </c>
      <c r="M268" s="1">
        <v>680000</v>
      </c>
      <c r="N268" s="1">
        <v>454111.53</v>
      </c>
      <c r="O268" s="1">
        <v>225888.47</v>
      </c>
    </row>
    <row r="269" spans="1:15" x14ac:dyDescent="0.25">
      <c r="A269" t="s">
        <v>325</v>
      </c>
      <c r="B269" s="5">
        <v>45988</v>
      </c>
      <c r="C269" t="s">
        <v>309</v>
      </c>
      <c r="D269" t="s">
        <v>283</v>
      </c>
      <c r="E269" t="s">
        <v>18</v>
      </c>
      <c r="F269" t="s">
        <v>68</v>
      </c>
      <c r="G269" t="s">
        <v>53</v>
      </c>
      <c r="H269" s="1" t="s">
        <v>21</v>
      </c>
      <c r="I269" t="s">
        <v>22</v>
      </c>
      <c r="J269">
        <v>2</v>
      </c>
      <c r="K269" s="1">
        <v>229000</v>
      </c>
      <c r="L269" s="2">
        <v>0</v>
      </c>
      <c r="M269" s="1">
        <v>458000</v>
      </c>
      <c r="N269" s="1">
        <v>322112.31</v>
      </c>
      <c r="O269" s="1">
        <v>135887.69</v>
      </c>
    </row>
    <row r="270" spans="1:15" x14ac:dyDescent="0.25">
      <c r="A270" t="s">
        <v>326</v>
      </c>
      <c r="B270" s="5">
        <v>45992</v>
      </c>
      <c r="C270" t="s">
        <v>327</v>
      </c>
      <c r="D270" t="s">
        <v>283</v>
      </c>
      <c r="E270" t="s">
        <v>49</v>
      </c>
      <c r="F270" t="s">
        <v>68</v>
      </c>
      <c r="G270" t="s">
        <v>51</v>
      </c>
      <c r="H270" s="1" t="s">
        <v>30</v>
      </c>
      <c r="I270" t="s">
        <v>31</v>
      </c>
      <c r="J270">
        <v>10</v>
      </c>
      <c r="K270" s="1">
        <v>53000</v>
      </c>
      <c r="L270" s="2">
        <v>0.02</v>
      </c>
      <c r="M270" s="1">
        <v>519400</v>
      </c>
      <c r="N270" s="1">
        <v>388162.61</v>
      </c>
      <c r="O270" s="1">
        <v>131237.39000000001</v>
      </c>
    </row>
    <row r="271" spans="1:15" x14ac:dyDescent="0.25">
      <c r="A271" t="s">
        <v>328</v>
      </c>
      <c r="B271" s="5">
        <v>45993</v>
      </c>
      <c r="C271" t="s">
        <v>327</v>
      </c>
      <c r="D271" t="s">
        <v>283</v>
      </c>
      <c r="E271" t="s">
        <v>18</v>
      </c>
      <c r="F271" t="s">
        <v>36</v>
      </c>
      <c r="G271" t="s">
        <v>51</v>
      </c>
      <c r="H271" s="1" t="s">
        <v>33</v>
      </c>
      <c r="I271" t="s">
        <v>31</v>
      </c>
      <c r="J271">
        <v>6</v>
      </c>
      <c r="K271" s="1">
        <v>39000</v>
      </c>
      <c r="L271" s="2">
        <v>0.05</v>
      </c>
      <c r="M271" s="1">
        <v>222300</v>
      </c>
      <c r="N271" s="1">
        <v>173657.44</v>
      </c>
      <c r="O271" s="1">
        <v>48642.559999999998</v>
      </c>
    </row>
    <row r="272" spans="1:15" x14ac:dyDescent="0.25">
      <c r="A272" t="s">
        <v>329</v>
      </c>
      <c r="B272" s="5">
        <v>45994</v>
      </c>
      <c r="C272" t="s">
        <v>327</v>
      </c>
      <c r="D272" t="s">
        <v>283</v>
      </c>
      <c r="E272" t="s">
        <v>47</v>
      </c>
      <c r="F272" t="s">
        <v>29</v>
      </c>
      <c r="G272" t="s">
        <v>40</v>
      </c>
      <c r="H272" s="1" t="s">
        <v>21</v>
      </c>
      <c r="I272" t="s">
        <v>22</v>
      </c>
      <c r="J272">
        <v>1</v>
      </c>
      <c r="K272" s="1">
        <v>53000</v>
      </c>
      <c r="L272" s="2">
        <v>0</v>
      </c>
      <c r="M272" s="1">
        <v>53000</v>
      </c>
      <c r="N272" s="1">
        <v>41912</v>
      </c>
      <c r="O272" s="1">
        <v>11088</v>
      </c>
    </row>
    <row r="273" spans="1:15" x14ac:dyDescent="0.25">
      <c r="A273" t="s">
        <v>330</v>
      </c>
      <c r="B273" s="5">
        <v>45995</v>
      </c>
      <c r="C273" t="s">
        <v>327</v>
      </c>
      <c r="D273" t="s">
        <v>283</v>
      </c>
      <c r="E273" t="s">
        <v>47</v>
      </c>
      <c r="F273" t="s">
        <v>19</v>
      </c>
      <c r="G273" t="s">
        <v>26</v>
      </c>
      <c r="H273" s="1" t="s">
        <v>21</v>
      </c>
      <c r="I273" t="s">
        <v>22</v>
      </c>
      <c r="J273">
        <v>3</v>
      </c>
      <c r="K273" s="1">
        <v>203000</v>
      </c>
      <c r="L273" s="2">
        <v>0</v>
      </c>
      <c r="M273" s="1">
        <v>609000</v>
      </c>
      <c r="N273" s="1">
        <v>440337.2</v>
      </c>
      <c r="O273" s="1">
        <v>168662.8</v>
      </c>
    </row>
    <row r="274" spans="1:15" x14ac:dyDescent="0.25">
      <c r="A274" t="s">
        <v>331</v>
      </c>
      <c r="B274" s="5">
        <v>45998</v>
      </c>
      <c r="C274" t="s">
        <v>327</v>
      </c>
      <c r="D274" t="s">
        <v>283</v>
      </c>
      <c r="E274" t="s">
        <v>49</v>
      </c>
      <c r="F274" t="s">
        <v>29</v>
      </c>
      <c r="G274" t="s">
        <v>20</v>
      </c>
      <c r="H274" s="1" t="s">
        <v>30</v>
      </c>
      <c r="I274" t="s">
        <v>31</v>
      </c>
      <c r="J274">
        <v>4</v>
      </c>
      <c r="K274" s="1">
        <v>792000</v>
      </c>
      <c r="L274" s="2">
        <v>0</v>
      </c>
      <c r="M274" s="1">
        <v>3168000</v>
      </c>
      <c r="N274" s="1">
        <v>2026147.72</v>
      </c>
      <c r="O274" s="1">
        <v>1141852.28</v>
      </c>
    </row>
    <row r="275" spans="1:15" x14ac:dyDescent="0.25">
      <c r="A275" t="s">
        <v>332</v>
      </c>
      <c r="B275" s="5">
        <v>45999</v>
      </c>
      <c r="C275" t="s">
        <v>327</v>
      </c>
      <c r="D275" t="s">
        <v>283</v>
      </c>
      <c r="E275" t="s">
        <v>18</v>
      </c>
      <c r="F275" t="s">
        <v>68</v>
      </c>
      <c r="G275" t="s">
        <v>60</v>
      </c>
      <c r="H275" s="1" t="s">
        <v>30</v>
      </c>
      <c r="I275" t="s">
        <v>34</v>
      </c>
      <c r="J275">
        <v>3</v>
      </c>
      <c r="K275" s="1">
        <v>322000</v>
      </c>
      <c r="L275" s="2">
        <v>0</v>
      </c>
      <c r="M275" s="1">
        <v>966000</v>
      </c>
      <c r="N275" s="1">
        <v>717739.4</v>
      </c>
      <c r="O275" s="1">
        <v>248260.6</v>
      </c>
    </row>
    <row r="276" spans="1:15" x14ac:dyDescent="0.25">
      <c r="A276" t="s">
        <v>333</v>
      </c>
      <c r="B276" s="5">
        <v>46000</v>
      </c>
      <c r="C276" t="s">
        <v>327</v>
      </c>
      <c r="D276" t="s">
        <v>283</v>
      </c>
      <c r="E276" t="s">
        <v>49</v>
      </c>
      <c r="F276" t="s">
        <v>58</v>
      </c>
      <c r="G276" t="s">
        <v>51</v>
      </c>
      <c r="H276" s="1" t="s">
        <v>33</v>
      </c>
      <c r="I276" t="s">
        <v>41</v>
      </c>
      <c r="J276">
        <v>2</v>
      </c>
      <c r="K276" s="1">
        <v>46000</v>
      </c>
      <c r="L276" s="2">
        <v>0</v>
      </c>
      <c r="M276" s="1">
        <v>92000</v>
      </c>
      <c r="N276" s="1">
        <v>61216.15</v>
      </c>
      <c r="O276" s="1">
        <v>30783.85</v>
      </c>
    </row>
    <row r="277" spans="1:15" x14ac:dyDescent="0.25">
      <c r="A277" t="s">
        <v>334</v>
      </c>
      <c r="B277" s="5">
        <v>46003</v>
      </c>
      <c r="C277" t="s">
        <v>327</v>
      </c>
      <c r="D277" t="s">
        <v>283</v>
      </c>
      <c r="E277" t="s">
        <v>49</v>
      </c>
      <c r="F277" t="s">
        <v>58</v>
      </c>
      <c r="G277" t="s">
        <v>53</v>
      </c>
      <c r="H277" s="1" t="s">
        <v>33</v>
      </c>
      <c r="I277" t="s">
        <v>22</v>
      </c>
      <c r="J277">
        <v>4</v>
      </c>
      <c r="K277" s="1">
        <v>418000</v>
      </c>
      <c r="L277" s="2">
        <v>0.05</v>
      </c>
      <c r="M277" s="1">
        <v>1588400</v>
      </c>
      <c r="N277" s="1">
        <v>1088358.6299999999</v>
      </c>
      <c r="O277" s="1">
        <v>500041.37</v>
      </c>
    </row>
    <row r="278" spans="1:15" x14ac:dyDescent="0.25">
      <c r="A278" t="s">
        <v>335</v>
      </c>
      <c r="B278" s="5">
        <v>46005</v>
      </c>
      <c r="C278" t="s">
        <v>327</v>
      </c>
      <c r="D278" t="s">
        <v>283</v>
      </c>
      <c r="E278" t="s">
        <v>28</v>
      </c>
      <c r="F278" t="s">
        <v>68</v>
      </c>
      <c r="G278" t="s">
        <v>20</v>
      </c>
      <c r="H278" s="1" t="s">
        <v>30</v>
      </c>
      <c r="I278" t="s">
        <v>31</v>
      </c>
      <c r="J278">
        <v>1</v>
      </c>
      <c r="K278" s="1">
        <v>497000</v>
      </c>
      <c r="L278" s="2">
        <v>0.02</v>
      </c>
      <c r="M278" s="1">
        <v>487060</v>
      </c>
      <c r="N278" s="1">
        <v>374650.92</v>
      </c>
      <c r="O278" s="1">
        <v>112409.08</v>
      </c>
    </row>
    <row r="279" spans="1:15" x14ac:dyDescent="0.25">
      <c r="A279" t="s">
        <v>336</v>
      </c>
      <c r="B279" s="5">
        <v>46006</v>
      </c>
      <c r="C279" t="s">
        <v>327</v>
      </c>
      <c r="D279" t="s">
        <v>283</v>
      </c>
      <c r="E279" t="s">
        <v>47</v>
      </c>
      <c r="F279" t="s">
        <v>25</v>
      </c>
      <c r="G279" t="s">
        <v>51</v>
      </c>
      <c r="H279" s="1" t="s">
        <v>21</v>
      </c>
      <c r="I279" t="s">
        <v>34</v>
      </c>
      <c r="J279">
        <v>4</v>
      </c>
      <c r="K279" s="1">
        <v>74000</v>
      </c>
      <c r="L279" s="2">
        <v>0</v>
      </c>
      <c r="M279" s="1">
        <v>296000</v>
      </c>
      <c r="N279" s="1">
        <v>207293.55</v>
      </c>
      <c r="O279" s="1">
        <v>88706.45</v>
      </c>
    </row>
    <row r="280" spans="1:15" x14ac:dyDescent="0.25">
      <c r="A280" t="s">
        <v>337</v>
      </c>
      <c r="B280" s="5">
        <v>46006</v>
      </c>
      <c r="C280" t="s">
        <v>327</v>
      </c>
      <c r="D280" t="s">
        <v>283</v>
      </c>
      <c r="E280" t="s">
        <v>49</v>
      </c>
      <c r="F280" t="s">
        <v>43</v>
      </c>
      <c r="G280" t="s">
        <v>53</v>
      </c>
      <c r="H280" s="1" t="s">
        <v>21</v>
      </c>
      <c r="I280" t="s">
        <v>34</v>
      </c>
      <c r="J280">
        <v>2</v>
      </c>
      <c r="K280" s="1">
        <v>622000</v>
      </c>
      <c r="L280" s="2">
        <v>0</v>
      </c>
      <c r="M280" s="1">
        <v>1244000</v>
      </c>
      <c r="N280" s="1">
        <v>988415.29</v>
      </c>
      <c r="O280" s="1">
        <v>255584.71</v>
      </c>
    </row>
    <row r="281" spans="1:15" x14ac:dyDescent="0.25">
      <c r="A281" t="s">
        <v>338</v>
      </c>
      <c r="B281" s="5">
        <v>46007</v>
      </c>
      <c r="C281" t="s">
        <v>327</v>
      </c>
      <c r="D281" t="s">
        <v>283</v>
      </c>
      <c r="E281" t="s">
        <v>24</v>
      </c>
      <c r="F281" t="s">
        <v>25</v>
      </c>
      <c r="G281" t="s">
        <v>53</v>
      </c>
      <c r="H281" s="1" t="s">
        <v>30</v>
      </c>
      <c r="I281" t="s">
        <v>22</v>
      </c>
      <c r="J281">
        <v>10</v>
      </c>
      <c r="K281" s="1">
        <v>445000</v>
      </c>
      <c r="L281" s="2">
        <v>0</v>
      </c>
      <c r="M281" s="1">
        <v>4450000</v>
      </c>
      <c r="N281" s="1">
        <v>3382224.24</v>
      </c>
      <c r="O281" s="1">
        <v>1067775.76</v>
      </c>
    </row>
    <row r="282" spans="1:15" x14ac:dyDescent="0.25">
      <c r="A282" t="s">
        <v>339</v>
      </c>
      <c r="B282" s="5">
        <v>46007</v>
      </c>
      <c r="C282" t="s">
        <v>327</v>
      </c>
      <c r="D282" t="s">
        <v>283</v>
      </c>
      <c r="E282" t="s">
        <v>18</v>
      </c>
      <c r="F282" t="s">
        <v>29</v>
      </c>
      <c r="G282" t="s">
        <v>53</v>
      </c>
      <c r="H282" s="1" t="s">
        <v>30</v>
      </c>
      <c r="I282" t="s">
        <v>41</v>
      </c>
      <c r="J282">
        <v>3</v>
      </c>
      <c r="K282" s="1">
        <v>260000</v>
      </c>
      <c r="L282" s="2">
        <v>0.02</v>
      </c>
      <c r="M282" s="1">
        <v>764400</v>
      </c>
      <c r="N282" s="1">
        <v>554953.1</v>
      </c>
      <c r="O282" s="1">
        <v>209446.9</v>
      </c>
    </row>
    <row r="283" spans="1:15" x14ac:dyDescent="0.25">
      <c r="A283" t="s">
        <v>340</v>
      </c>
      <c r="B283" s="5">
        <v>46007</v>
      </c>
      <c r="C283" t="s">
        <v>327</v>
      </c>
      <c r="D283" t="s">
        <v>283</v>
      </c>
      <c r="E283" t="s">
        <v>18</v>
      </c>
      <c r="F283" t="s">
        <v>68</v>
      </c>
      <c r="G283" t="s">
        <v>53</v>
      </c>
      <c r="H283" s="1" t="s">
        <v>21</v>
      </c>
      <c r="I283" t="s">
        <v>22</v>
      </c>
      <c r="J283">
        <v>3</v>
      </c>
      <c r="K283" s="1">
        <v>351000</v>
      </c>
      <c r="L283" s="2">
        <v>0.05</v>
      </c>
      <c r="M283" s="1">
        <v>1000350</v>
      </c>
      <c r="N283" s="1">
        <v>637800.68000000005</v>
      </c>
      <c r="O283" s="1">
        <v>362549.32</v>
      </c>
    </row>
    <row r="284" spans="1:15" x14ac:dyDescent="0.25">
      <c r="A284" t="s">
        <v>341</v>
      </c>
      <c r="B284" s="5">
        <v>46007</v>
      </c>
      <c r="C284" t="s">
        <v>327</v>
      </c>
      <c r="D284" t="s">
        <v>283</v>
      </c>
      <c r="E284" t="s">
        <v>28</v>
      </c>
      <c r="F284" t="s">
        <v>55</v>
      </c>
      <c r="G284" t="s">
        <v>40</v>
      </c>
      <c r="H284" s="1" t="s">
        <v>30</v>
      </c>
      <c r="I284" t="s">
        <v>41</v>
      </c>
      <c r="J284">
        <v>1</v>
      </c>
      <c r="K284" s="1">
        <v>17000</v>
      </c>
      <c r="L284" s="2">
        <v>0</v>
      </c>
      <c r="M284" s="1">
        <v>17000</v>
      </c>
      <c r="N284" s="1">
        <v>12112.92</v>
      </c>
      <c r="O284" s="1">
        <v>4887.08</v>
      </c>
    </row>
    <row r="285" spans="1:15" x14ac:dyDescent="0.25">
      <c r="A285" t="s">
        <v>342</v>
      </c>
      <c r="B285" s="5">
        <v>46012</v>
      </c>
      <c r="C285" t="s">
        <v>327</v>
      </c>
      <c r="D285" t="s">
        <v>283</v>
      </c>
      <c r="E285" t="s">
        <v>18</v>
      </c>
      <c r="F285" t="s">
        <v>68</v>
      </c>
      <c r="G285" t="s">
        <v>45</v>
      </c>
      <c r="H285" s="1" t="s">
        <v>33</v>
      </c>
      <c r="I285" t="s">
        <v>31</v>
      </c>
      <c r="J285">
        <v>8</v>
      </c>
      <c r="K285" s="1">
        <v>270000</v>
      </c>
      <c r="L285" s="2">
        <v>0.05</v>
      </c>
      <c r="M285" s="1">
        <v>2052000</v>
      </c>
      <c r="N285" s="1">
        <v>1586632.98</v>
      </c>
      <c r="O285" s="1">
        <v>465367.02</v>
      </c>
    </row>
    <row r="286" spans="1:15" x14ac:dyDescent="0.25">
      <c r="A286" t="s">
        <v>343</v>
      </c>
      <c r="B286" s="5">
        <v>46012</v>
      </c>
      <c r="C286" t="s">
        <v>327</v>
      </c>
      <c r="D286" t="s">
        <v>283</v>
      </c>
      <c r="E286" t="s">
        <v>49</v>
      </c>
      <c r="F286" t="s">
        <v>36</v>
      </c>
      <c r="G286" t="s">
        <v>26</v>
      </c>
      <c r="H286" s="1" t="s">
        <v>21</v>
      </c>
      <c r="I286" t="s">
        <v>31</v>
      </c>
      <c r="J286">
        <v>2</v>
      </c>
      <c r="K286" s="1">
        <v>104000</v>
      </c>
      <c r="L286" s="2">
        <v>0</v>
      </c>
      <c r="M286" s="1">
        <v>208000</v>
      </c>
      <c r="N286" s="1">
        <v>131706.01</v>
      </c>
      <c r="O286" s="1">
        <v>76293.990000000005</v>
      </c>
    </row>
    <row r="287" spans="1:15" x14ac:dyDescent="0.25">
      <c r="A287" t="s">
        <v>344</v>
      </c>
      <c r="B287" s="5">
        <v>46013</v>
      </c>
      <c r="C287" t="s">
        <v>327</v>
      </c>
      <c r="D287" t="s">
        <v>283</v>
      </c>
      <c r="E287" t="s">
        <v>24</v>
      </c>
      <c r="F287" t="s">
        <v>25</v>
      </c>
      <c r="G287" t="s">
        <v>53</v>
      </c>
      <c r="H287" s="1" t="s">
        <v>21</v>
      </c>
      <c r="I287" t="s">
        <v>22</v>
      </c>
      <c r="J287">
        <v>6</v>
      </c>
      <c r="K287" s="1">
        <v>254000</v>
      </c>
      <c r="L287" s="2">
        <v>0</v>
      </c>
      <c r="M287" s="1">
        <v>1524000</v>
      </c>
      <c r="N287" s="1">
        <v>1242323.73</v>
      </c>
      <c r="O287" s="1">
        <v>281676.27</v>
      </c>
    </row>
    <row r="288" spans="1:15" x14ac:dyDescent="0.25">
      <c r="A288" t="s">
        <v>345</v>
      </c>
      <c r="B288" s="5">
        <v>46015</v>
      </c>
      <c r="C288" t="s">
        <v>327</v>
      </c>
      <c r="D288" t="s">
        <v>283</v>
      </c>
      <c r="E288" t="s">
        <v>28</v>
      </c>
      <c r="F288" t="s">
        <v>68</v>
      </c>
      <c r="G288" t="s">
        <v>53</v>
      </c>
      <c r="H288" s="1" t="s">
        <v>21</v>
      </c>
      <c r="I288" t="s">
        <v>31</v>
      </c>
      <c r="J288">
        <v>6</v>
      </c>
      <c r="K288" s="1">
        <v>206000</v>
      </c>
      <c r="L288" s="2">
        <v>0.05</v>
      </c>
      <c r="M288" s="1">
        <v>1174200</v>
      </c>
      <c r="N288" s="1">
        <v>962777.7</v>
      </c>
      <c r="O288" s="1">
        <v>211422.3</v>
      </c>
    </row>
    <row r="289" spans="1:15" x14ac:dyDescent="0.25">
      <c r="A289" t="s">
        <v>346</v>
      </c>
      <c r="B289" s="5">
        <v>46015</v>
      </c>
      <c r="C289" t="s">
        <v>327</v>
      </c>
      <c r="D289" t="s">
        <v>283</v>
      </c>
      <c r="E289" t="s">
        <v>49</v>
      </c>
      <c r="F289" t="s">
        <v>43</v>
      </c>
      <c r="G289" t="s">
        <v>40</v>
      </c>
      <c r="H289" s="1" t="s">
        <v>33</v>
      </c>
      <c r="I289" t="s">
        <v>34</v>
      </c>
      <c r="J289">
        <v>1</v>
      </c>
      <c r="K289" s="1">
        <v>51000</v>
      </c>
      <c r="L289" s="2">
        <v>0</v>
      </c>
      <c r="M289" s="1">
        <v>51000</v>
      </c>
      <c r="N289" s="1">
        <v>41314.199999999997</v>
      </c>
      <c r="O289" s="1">
        <v>9685.7999999999993</v>
      </c>
    </row>
    <row r="290" spans="1:15" x14ac:dyDescent="0.25">
      <c r="A290" t="s">
        <v>347</v>
      </c>
      <c r="B290" s="5">
        <v>46016</v>
      </c>
      <c r="C290" t="s">
        <v>327</v>
      </c>
      <c r="D290" t="s">
        <v>283</v>
      </c>
      <c r="E290" t="s">
        <v>49</v>
      </c>
      <c r="F290" t="s">
        <v>29</v>
      </c>
      <c r="G290" t="s">
        <v>40</v>
      </c>
      <c r="H290" s="1" t="s">
        <v>33</v>
      </c>
      <c r="I290" t="s">
        <v>22</v>
      </c>
      <c r="J290">
        <v>10</v>
      </c>
      <c r="K290" s="1">
        <v>49000</v>
      </c>
      <c r="L290" s="2">
        <v>0.05</v>
      </c>
      <c r="M290" s="1">
        <v>465500</v>
      </c>
      <c r="N290" s="1">
        <v>327504.09000000003</v>
      </c>
      <c r="O290" s="1">
        <v>137995.91</v>
      </c>
    </row>
    <row r="291" spans="1:15" x14ac:dyDescent="0.25">
      <c r="A291" t="s">
        <v>348</v>
      </c>
      <c r="B291" s="5">
        <v>46017</v>
      </c>
      <c r="C291" t="s">
        <v>327</v>
      </c>
      <c r="D291" t="s">
        <v>283</v>
      </c>
      <c r="E291" t="s">
        <v>49</v>
      </c>
      <c r="F291" t="s">
        <v>68</v>
      </c>
      <c r="G291" t="s">
        <v>51</v>
      </c>
      <c r="H291" s="1" t="s">
        <v>30</v>
      </c>
      <c r="I291" t="s">
        <v>22</v>
      </c>
      <c r="J291">
        <v>4</v>
      </c>
      <c r="K291" s="1">
        <v>32000</v>
      </c>
      <c r="L291" s="2">
        <v>0</v>
      </c>
      <c r="M291" s="1">
        <v>128000</v>
      </c>
      <c r="N291" s="1">
        <v>100915.16</v>
      </c>
      <c r="O291" s="1">
        <v>27084.84</v>
      </c>
    </row>
    <row r="292" spans="1:15" x14ac:dyDescent="0.25">
      <c r="A292" t="s">
        <v>349</v>
      </c>
      <c r="B292" s="5">
        <v>46017</v>
      </c>
      <c r="C292" t="s">
        <v>327</v>
      </c>
      <c r="D292" t="s">
        <v>283</v>
      </c>
      <c r="E292" t="s">
        <v>28</v>
      </c>
      <c r="F292" t="s">
        <v>19</v>
      </c>
      <c r="G292" t="s">
        <v>37</v>
      </c>
      <c r="H292" s="1" t="s">
        <v>33</v>
      </c>
      <c r="I292" t="s">
        <v>31</v>
      </c>
      <c r="J292">
        <v>5</v>
      </c>
      <c r="K292" s="1">
        <v>26000</v>
      </c>
      <c r="L292" s="2">
        <v>0.05</v>
      </c>
      <c r="M292" s="1">
        <v>123500</v>
      </c>
      <c r="N292" s="1">
        <v>87215.33</v>
      </c>
      <c r="O292" s="1">
        <v>36284.67</v>
      </c>
    </row>
    <row r="293" spans="1:15" x14ac:dyDescent="0.25">
      <c r="A293" t="s">
        <v>350</v>
      </c>
      <c r="B293" s="5">
        <v>46017</v>
      </c>
      <c r="C293" t="s">
        <v>327</v>
      </c>
      <c r="D293" t="s">
        <v>283</v>
      </c>
      <c r="E293" t="s">
        <v>24</v>
      </c>
      <c r="F293" t="s">
        <v>29</v>
      </c>
      <c r="G293" t="s">
        <v>60</v>
      </c>
      <c r="H293" s="1" t="s">
        <v>21</v>
      </c>
      <c r="I293" t="s">
        <v>31</v>
      </c>
      <c r="J293">
        <v>2</v>
      </c>
      <c r="K293" s="1">
        <v>175000</v>
      </c>
      <c r="L293" s="2">
        <v>0</v>
      </c>
      <c r="M293" s="1">
        <v>350000</v>
      </c>
      <c r="N293" s="1">
        <v>286473.84999999998</v>
      </c>
      <c r="O293" s="1">
        <v>63526.15</v>
      </c>
    </row>
    <row r="294" spans="1:15" x14ac:dyDescent="0.25">
      <c r="A294" t="s">
        <v>351</v>
      </c>
      <c r="B294" s="5">
        <v>46017</v>
      </c>
      <c r="C294" t="s">
        <v>327</v>
      </c>
      <c r="D294" t="s">
        <v>283</v>
      </c>
      <c r="E294" t="s">
        <v>47</v>
      </c>
      <c r="F294" t="s">
        <v>29</v>
      </c>
      <c r="G294" t="s">
        <v>53</v>
      </c>
      <c r="H294" s="1" t="s">
        <v>21</v>
      </c>
      <c r="I294" t="s">
        <v>22</v>
      </c>
      <c r="J294">
        <v>1</v>
      </c>
      <c r="K294" s="1">
        <v>240000</v>
      </c>
      <c r="L294" s="2">
        <v>0</v>
      </c>
      <c r="M294" s="1">
        <v>240000</v>
      </c>
      <c r="N294" s="1">
        <v>179561.99</v>
      </c>
      <c r="O294" s="1">
        <v>60438.01</v>
      </c>
    </row>
    <row r="295" spans="1:15" x14ac:dyDescent="0.25">
      <c r="A295" t="s">
        <v>352</v>
      </c>
      <c r="B295" s="5">
        <v>46018</v>
      </c>
      <c r="C295" t="s">
        <v>327</v>
      </c>
      <c r="D295" t="s">
        <v>283</v>
      </c>
      <c r="E295" t="s">
        <v>49</v>
      </c>
      <c r="F295" t="s">
        <v>68</v>
      </c>
      <c r="G295" t="s">
        <v>45</v>
      </c>
      <c r="H295" s="1" t="s">
        <v>33</v>
      </c>
      <c r="I295" t="s">
        <v>34</v>
      </c>
      <c r="J295">
        <v>4</v>
      </c>
      <c r="K295" s="1">
        <v>232000</v>
      </c>
      <c r="L295" s="2">
        <v>0.1</v>
      </c>
      <c r="M295" s="1">
        <v>835200</v>
      </c>
      <c r="N295" s="1">
        <v>618156.75</v>
      </c>
      <c r="O295" s="1">
        <v>217043.25</v>
      </c>
    </row>
    <row r="296" spans="1:15" x14ac:dyDescent="0.25">
      <c r="A296" t="s">
        <v>353</v>
      </c>
      <c r="B296" s="5">
        <v>46019</v>
      </c>
      <c r="C296" t="s">
        <v>327</v>
      </c>
      <c r="D296" t="s">
        <v>283</v>
      </c>
      <c r="E296" t="s">
        <v>28</v>
      </c>
      <c r="F296" t="s">
        <v>25</v>
      </c>
      <c r="G296" t="s">
        <v>53</v>
      </c>
      <c r="H296" s="1" t="s">
        <v>30</v>
      </c>
      <c r="I296" t="s">
        <v>22</v>
      </c>
      <c r="J296">
        <v>3</v>
      </c>
      <c r="K296" s="1">
        <v>350000</v>
      </c>
      <c r="L296" s="2">
        <v>0</v>
      </c>
      <c r="M296" s="1">
        <v>1050000</v>
      </c>
      <c r="N296" s="1">
        <v>680405.06</v>
      </c>
      <c r="O296" s="1">
        <v>369594.94</v>
      </c>
    </row>
    <row r="297" spans="1:15" x14ac:dyDescent="0.25">
      <c r="A297" t="s">
        <v>354</v>
      </c>
      <c r="B297" s="5">
        <v>46020</v>
      </c>
      <c r="C297" t="s">
        <v>327</v>
      </c>
      <c r="D297" t="s">
        <v>283</v>
      </c>
      <c r="E297" t="s">
        <v>18</v>
      </c>
      <c r="F297" t="s">
        <v>29</v>
      </c>
      <c r="G297" t="s">
        <v>20</v>
      </c>
      <c r="H297" s="1" t="s">
        <v>33</v>
      </c>
      <c r="I297" t="s">
        <v>31</v>
      </c>
      <c r="J297">
        <v>5</v>
      </c>
      <c r="K297" s="1">
        <v>585000</v>
      </c>
      <c r="L297" s="2">
        <v>0.02</v>
      </c>
      <c r="M297" s="1">
        <v>2866500</v>
      </c>
      <c r="N297" s="1">
        <v>2071142.41</v>
      </c>
      <c r="O297" s="1">
        <v>795357.59</v>
      </c>
    </row>
    <row r="298" spans="1:15" x14ac:dyDescent="0.25">
      <c r="A298" t="s">
        <v>355</v>
      </c>
      <c r="B298" s="5">
        <v>46021</v>
      </c>
      <c r="C298" t="s">
        <v>327</v>
      </c>
      <c r="D298" t="s">
        <v>283</v>
      </c>
      <c r="E298" t="s">
        <v>49</v>
      </c>
      <c r="F298" t="s">
        <v>25</v>
      </c>
      <c r="G298" t="s">
        <v>51</v>
      </c>
      <c r="H298" s="1" t="s">
        <v>33</v>
      </c>
      <c r="I298" t="s">
        <v>34</v>
      </c>
      <c r="J298">
        <v>4</v>
      </c>
      <c r="K298" s="1">
        <v>24000</v>
      </c>
      <c r="L298" s="2">
        <v>0.1</v>
      </c>
      <c r="M298" s="1">
        <v>86400</v>
      </c>
      <c r="N298" s="1">
        <v>69142.399999999994</v>
      </c>
      <c r="O298" s="1">
        <v>17257.599999999999</v>
      </c>
    </row>
    <row r="299" spans="1:15" x14ac:dyDescent="0.25">
      <c r="A299" t="s">
        <v>356</v>
      </c>
      <c r="B299" s="5">
        <v>46021</v>
      </c>
      <c r="C299" t="s">
        <v>327</v>
      </c>
      <c r="D299" t="s">
        <v>283</v>
      </c>
      <c r="E299" t="s">
        <v>49</v>
      </c>
      <c r="F299" t="s">
        <v>19</v>
      </c>
      <c r="G299" t="s">
        <v>53</v>
      </c>
      <c r="H299" s="1" t="s">
        <v>30</v>
      </c>
      <c r="I299" t="s">
        <v>31</v>
      </c>
      <c r="J299">
        <v>4</v>
      </c>
      <c r="K299" s="1">
        <v>216000</v>
      </c>
      <c r="L299" s="2">
        <v>0</v>
      </c>
      <c r="M299" s="1">
        <v>864000</v>
      </c>
      <c r="N299" s="1">
        <v>660919.69999999995</v>
      </c>
      <c r="O299" s="1">
        <v>203080.3</v>
      </c>
    </row>
    <row r="300" spans="1:15" x14ac:dyDescent="0.25">
      <c r="A300" t="s">
        <v>357</v>
      </c>
      <c r="B300" s="5">
        <v>46022</v>
      </c>
      <c r="C300" t="s">
        <v>327</v>
      </c>
      <c r="D300" t="s">
        <v>283</v>
      </c>
      <c r="E300" t="s">
        <v>18</v>
      </c>
      <c r="F300" t="s">
        <v>29</v>
      </c>
      <c r="G300" t="s">
        <v>53</v>
      </c>
      <c r="H300" s="1" t="s">
        <v>33</v>
      </c>
      <c r="I300" t="s">
        <v>34</v>
      </c>
      <c r="J300">
        <v>3</v>
      </c>
      <c r="K300" s="1">
        <v>350000</v>
      </c>
      <c r="L300" s="2">
        <v>0.02</v>
      </c>
      <c r="M300" s="1">
        <v>1029000</v>
      </c>
      <c r="N300" s="1">
        <v>711264.71</v>
      </c>
      <c r="O300" s="1">
        <v>317735.28999999998</v>
      </c>
    </row>
    <row r="301" spans="1:15" x14ac:dyDescent="0.25">
      <c r="A301" t="s">
        <v>358</v>
      </c>
      <c r="B301" s="5">
        <v>46022</v>
      </c>
      <c r="C301" t="s">
        <v>327</v>
      </c>
      <c r="D301" t="s">
        <v>283</v>
      </c>
      <c r="E301" t="s">
        <v>18</v>
      </c>
      <c r="F301" t="s">
        <v>58</v>
      </c>
      <c r="G301" t="s">
        <v>45</v>
      </c>
      <c r="H301" s="1" t="s">
        <v>33</v>
      </c>
      <c r="I301" t="s">
        <v>22</v>
      </c>
      <c r="J301">
        <v>3</v>
      </c>
      <c r="K301" s="1">
        <v>231000</v>
      </c>
      <c r="L301" s="2">
        <v>0</v>
      </c>
      <c r="M301" s="1">
        <v>693000</v>
      </c>
      <c r="N301" s="1">
        <v>493767.31</v>
      </c>
      <c r="O301" s="1">
        <v>199232.69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A9BE-209F-4BD1-A5AF-60D7013CFB22}">
  <dimension ref="A1:B8"/>
  <sheetViews>
    <sheetView workbookViewId="0">
      <selection activeCell="B2" sqref="B2"/>
    </sheetView>
  </sheetViews>
  <sheetFormatPr defaultRowHeight="15" x14ac:dyDescent="0.25"/>
  <cols>
    <col min="1" max="1" width="19.7109375" bestFit="1" customWidth="1"/>
    <col min="2" max="2" width="18.5703125" bestFit="1" customWidth="1"/>
  </cols>
  <sheetData>
    <row r="1" spans="1:2" s="10" customFormat="1" x14ac:dyDescent="0.25">
      <c r="A1" s="10" t="s">
        <v>16789</v>
      </c>
      <c r="B1" s="10" t="s">
        <v>16790</v>
      </c>
    </row>
    <row r="2" spans="1:2" x14ac:dyDescent="0.25">
      <c r="A2" t="s">
        <v>16791</v>
      </c>
      <c r="B2" s="13">
        <f>SUM(salesData[Sales_NGN])</f>
        <v>230688870</v>
      </c>
    </row>
    <row r="3" spans="1:2" x14ac:dyDescent="0.25">
      <c r="A3" t="s">
        <v>16792</v>
      </c>
      <c r="B3" s="13">
        <f>SUM(salesData[Cost_NGN])</f>
        <v>166858021.80000001</v>
      </c>
    </row>
    <row r="4" spans="1:2" x14ac:dyDescent="0.25">
      <c r="A4" t="s">
        <v>16793</v>
      </c>
      <c r="B4" s="13">
        <f>SUM(salesData[Profit_NGN])</f>
        <v>63830848.200000025</v>
      </c>
    </row>
    <row r="5" spans="1:2" x14ac:dyDescent="0.25">
      <c r="A5" t="s">
        <v>16794</v>
      </c>
      <c r="B5" s="15">
        <f>SUM(salesData[Quantity])</f>
        <v>974</v>
      </c>
    </row>
    <row r="6" spans="1:2" x14ac:dyDescent="0.25">
      <c r="A6" t="s">
        <v>16795</v>
      </c>
      <c r="B6" s="15">
        <f>COUNTA(salesData[Order_ID])</f>
        <v>300</v>
      </c>
    </row>
    <row r="7" spans="1:2" x14ac:dyDescent="0.25">
      <c r="A7" t="s">
        <v>16796</v>
      </c>
      <c r="B7" s="13">
        <f>IFERROR(B2/B6,o)</f>
        <v>768962.9</v>
      </c>
    </row>
    <row r="8" spans="1:2" x14ac:dyDescent="0.25">
      <c r="A8" t="s">
        <v>16797</v>
      </c>
      <c r="B8" s="14">
        <f>IFERROR(B4/B2,0)</f>
        <v>0.27669669629054938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EC42-5C9E-4DEE-99DD-40A13131B10E}">
  <dimension ref="A1:XFD17"/>
  <sheetViews>
    <sheetView workbookViewId="0">
      <selection activeCell="B4" sqref="B4"/>
    </sheetView>
  </sheetViews>
  <sheetFormatPr defaultRowHeight="15" x14ac:dyDescent="0.25"/>
  <cols>
    <col min="1" max="1" width="29.28515625" style="10" customWidth="1"/>
    <col min="2" max="2" width="24.85546875" customWidth="1"/>
    <col min="3" max="3" width="25.28515625" customWidth="1"/>
    <col min="4" max="12" width="11" customWidth="1"/>
    <col min="13" max="102" width="12" customWidth="1"/>
    <col min="103" max="1002" width="13" customWidth="1"/>
    <col min="1003" max="10002" width="14" customWidth="1"/>
    <col min="10003" max="16384" width="15" customWidth="1"/>
  </cols>
  <sheetData>
    <row r="1" spans="1:16384" ht="15.75" thickBot="1" x14ac:dyDescent="0.3">
      <c r="A1" s="10" t="s">
        <v>373</v>
      </c>
      <c r="B1" t="s">
        <v>372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  <c r="EQ1" t="s">
        <v>518</v>
      </c>
      <c r="ER1" t="s">
        <v>519</v>
      </c>
      <c r="ES1" t="s">
        <v>520</v>
      </c>
      <c r="ET1" t="s">
        <v>521</v>
      </c>
      <c r="EU1" t="s">
        <v>522</v>
      </c>
      <c r="EV1" t="s">
        <v>523</v>
      </c>
      <c r="EW1" t="s">
        <v>524</v>
      </c>
      <c r="EX1" t="s">
        <v>525</v>
      </c>
      <c r="EY1" t="s">
        <v>526</v>
      </c>
      <c r="EZ1" t="s">
        <v>527</v>
      </c>
      <c r="FA1" t="s">
        <v>528</v>
      </c>
      <c r="FB1" t="s">
        <v>529</v>
      </c>
      <c r="FC1" t="s">
        <v>530</v>
      </c>
      <c r="FD1" t="s">
        <v>531</v>
      </c>
      <c r="FE1" t="s">
        <v>532</v>
      </c>
      <c r="FF1" t="s">
        <v>533</v>
      </c>
      <c r="FG1" t="s">
        <v>534</v>
      </c>
      <c r="FH1" t="s">
        <v>535</v>
      </c>
      <c r="FI1" t="s">
        <v>536</v>
      </c>
      <c r="FJ1" t="s">
        <v>537</v>
      </c>
      <c r="FK1" t="s">
        <v>538</v>
      </c>
      <c r="FL1" t="s">
        <v>539</v>
      </c>
      <c r="FM1" t="s">
        <v>540</v>
      </c>
      <c r="FN1" t="s">
        <v>541</v>
      </c>
      <c r="FO1" t="s">
        <v>542</v>
      </c>
      <c r="FP1" t="s">
        <v>543</v>
      </c>
      <c r="FQ1" t="s">
        <v>544</v>
      </c>
      <c r="FR1" t="s">
        <v>545</v>
      </c>
      <c r="FS1" t="s">
        <v>546</v>
      </c>
      <c r="FT1" t="s">
        <v>547</v>
      </c>
      <c r="FU1" t="s">
        <v>548</v>
      </c>
      <c r="FV1" t="s">
        <v>549</v>
      </c>
      <c r="FW1" t="s">
        <v>550</v>
      </c>
      <c r="FX1" t="s">
        <v>551</v>
      </c>
      <c r="FY1" t="s">
        <v>552</v>
      </c>
      <c r="FZ1" t="s">
        <v>553</v>
      </c>
      <c r="GA1" t="s">
        <v>554</v>
      </c>
      <c r="GB1" t="s">
        <v>555</v>
      </c>
      <c r="GC1" t="s">
        <v>556</v>
      </c>
      <c r="GD1" t="s">
        <v>557</v>
      </c>
      <c r="GE1" t="s">
        <v>558</v>
      </c>
      <c r="GF1" t="s">
        <v>559</v>
      </c>
      <c r="GG1" t="s">
        <v>560</v>
      </c>
      <c r="GH1" t="s">
        <v>561</v>
      </c>
      <c r="GI1" t="s">
        <v>562</v>
      </c>
      <c r="GJ1" t="s">
        <v>563</v>
      </c>
      <c r="GK1" t="s">
        <v>564</v>
      </c>
      <c r="GL1" t="s">
        <v>565</v>
      </c>
      <c r="GM1" t="s">
        <v>566</v>
      </c>
      <c r="GN1" t="s">
        <v>567</v>
      </c>
      <c r="GO1" t="s">
        <v>568</v>
      </c>
      <c r="GP1" t="s">
        <v>569</v>
      </c>
      <c r="GQ1" t="s">
        <v>570</v>
      </c>
      <c r="GR1" t="s">
        <v>571</v>
      </c>
      <c r="GS1" t="s">
        <v>572</v>
      </c>
      <c r="GT1" t="s">
        <v>573</v>
      </c>
      <c r="GU1" t="s">
        <v>574</v>
      </c>
      <c r="GV1" t="s">
        <v>575</v>
      </c>
      <c r="GW1" t="s">
        <v>576</v>
      </c>
      <c r="GX1" t="s">
        <v>577</v>
      </c>
      <c r="GY1" t="s">
        <v>578</v>
      </c>
      <c r="GZ1" t="s">
        <v>579</v>
      </c>
      <c r="HA1" t="s">
        <v>580</v>
      </c>
      <c r="HB1" t="s">
        <v>581</v>
      </c>
      <c r="HC1" t="s">
        <v>582</v>
      </c>
      <c r="HD1" t="s">
        <v>583</v>
      </c>
      <c r="HE1" t="s">
        <v>584</v>
      </c>
      <c r="HF1" t="s">
        <v>585</v>
      </c>
      <c r="HG1" t="s">
        <v>586</v>
      </c>
      <c r="HH1" t="s">
        <v>587</v>
      </c>
      <c r="HI1" t="s">
        <v>588</v>
      </c>
      <c r="HJ1" t="s">
        <v>589</v>
      </c>
      <c r="HK1" t="s">
        <v>590</v>
      </c>
      <c r="HL1" t="s">
        <v>591</v>
      </c>
      <c r="HM1" t="s">
        <v>592</v>
      </c>
      <c r="HN1" t="s">
        <v>593</v>
      </c>
      <c r="HO1" t="s">
        <v>594</v>
      </c>
      <c r="HP1" t="s">
        <v>595</v>
      </c>
      <c r="HQ1" t="s">
        <v>596</v>
      </c>
      <c r="HR1" t="s">
        <v>597</v>
      </c>
      <c r="HS1" t="s">
        <v>598</v>
      </c>
      <c r="HT1" t="s">
        <v>599</v>
      </c>
      <c r="HU1" t="s">
        <v>600</v>
      </c>
      <c r="HV1" t="s">
        <v>601</v>
      </c>
      <c r="HW1" t="s">
        <v>602</v>
      </c>
      <c r="HX1" t="s">
        <v>603</v>
      </c>
      <c r="HY1" t="s">
        <v>604</v>
      </c>
      <c r="HZ1" t="s">
        <v>605</v>
      </c>
      <c r="IA1" t="s">
        <v>606</v>
      </c>
      <c r="IB1" t="s">
        <v>607</v>
      </c>
      <c r="IC1" t="s">
        <v>608</v>
      </c>
      <c r="ID1" t="s">
        <v>609</v>
      </c>
      <c r="IE1" t="s">
        <v>610</v>
      </c>
      <c r="IF1" t="s">
        <v>611</v>
      </c>
      <c r="IG1" t="s">
        <v>612</v>
      </c>
      <c r="IH1" t="s">
        <v>613</v>
      </c>
      <c r="II1" t="s">
        <v>614</v>
      </c>
      <c r="IJ1" t="s">
        <v>615</v>
      </c>
      <c r="IK1" t="s">
        <v>616</v>
      </c>
      <c r="IL1" t="s">
        <v>617</v>
      </c>
      <c r="IM1" t="s">
        <v>618</v>
      </c>
      <c r="IN1" t="s">
        <v>619</v>
      </c>
      <c r="IO1" t="s">
        <v>620</v>
      </c>
      <c r="IP1" t="s">
        <v>621</v>
      </c>
      <c r="IQ1" t="s">
        <v>622</v>
      </c>
      <c r="IR1" t="s">
        <v>623</v>
      </c>
      <c r="IS1" t="s">
        <v>624</v>
      </c>
      <c r="IT1" t="s">
        <v>625</v>
      </c>
      <c r="IU1" t="s">
        <v>626</v>
      </c>
      <c r="IV1" t="s">
        <v>627</v>
      </c>
      <c r="IW1" t="s">
        <v>628</v>
      </c>
      <c r="IX1" t="s">
        <v>629</v>
      </c>
      <c r="IY1" t="s">
        <v>630</v>
      </c>
      <c r="IZ1" t="s">
        <v>631</v>
      </c>
      <c r="JA1" t="s">
        <v>632</v>
      </c>
      <c r="JB1" t="s">
        <v>633</v>
      </c>
      <c r="JC1" t="s">
        <v>634</v>
      </c>
      <c r="JD1" t="s">
        <v>635</v>
      </c>
      <c r="JE1" t="s">
        <v>636</v>
      </c>
      <c r="JF1" t="s">
        <v>637</v>
      </c>
      <c r="JG1" t="s">
        <v>638</v>
      </c>
      <c r="JH1" t="s">
        <v>639</v>
      </c>
      <c r="JI1" t="s">
        <v>640</v>
      </c>
      <c r="JJ1" t="s">
        <v>641</v>
      </c>
      <c r="JK1" t="s">
        <v>642</v>
      </c>
      <c r="JL1" t="s">
        <v>643</v>
      </c>
      <c r="JM1" t="s">
        <v>644</v>
      </c>
      <c r="JN1" t="s">
        <v>645</v>
      </c>
      <c r="JO1" t="s">
        <v>646</v>
      </c>
      <c r="JP1" t="s">
        <v>647</v>
      </c>
      <c r="JQ1" t="s">
        <v>648</v>
      </c>
      <c r="JR1" t="s">
        <v>649</v>
      </c>
      <c r="JS1" t="s">
        <v>650</v>
      </c>
      <c r="JT1" t="s">
        <v>651</v>
      </c>
      <c r="JU1" t="s">
        <v>652</v>
      </c>
      <c r="JV1" t="s">
        <v>653</v>
      </c>
      <c r="JW1" t="s">
        <v>654</v>
      </c>
      <c r="JX1" t="s">
        <v>655</v>
      </c>
      <c r="JY1" t="s">
        <v>656</v>
      </c>
      <c r="JZ1" t="s">
        <v>657</v>
      </c>
      <c r="KA1" t="s">
        <v>658</v>
      </c>
      <c r="KB1" t="s">
        <v>659</v>
      </c>
      <c r="KC1" t="s">
        <v>660</v>
      </c>
      <c r="KD1" t="s">
        <v>661</v>
      </c>
      <c r="KE1" t="s">
        <v>662</v>
      </c>
      <c r="KF1" t="s">
        <v>663</v>
      </c>
      <c r="KG1" t="s">
        <v>664</v>
      </c>
      <c r="KH1" t="s">
        <v>665</v>
      </c>
      <c r="KI1" t="s">
        <v>666</v>
      </c>
      <c r="KJ1" t="s">
        <v>667</v>
      </c>
      <c r="KK1" t="s">
        <v>668</v>
      </c>
      <c r="KL1" t="s">
        <v>669</v>
      </c>
      <c r="KM1" t="s">
        <v>670</v>
      </c>
      <c r="KN1" t="s">
        <v>671</v>
      </c>
      <c r="KO1" t="s">
        <v>672</v>
      </c>
      <c r="KP1" t="s">
        <v>673</v>
      </c>
      <c r="KQ1" t="s">
        <v>674</v>
      </c>
      <c r="KR1" t="s">
        <v>675</v>
      </c>
      <c r="KS1" t="s">
        <v>676</v>
      </c>
      <c r="KT1" t="s">
        <v>677</v>
      </c>
      <c r="KU1" t="s">
        <v>678</v>
      </c>
      <c r="KV1" t="s">
        <v>679</v>
      </c>
      <c r="KW1" t="s">
        <v>680</v>
      </c>
      <c r="KX1" t="s">
        <v>681</v>
      </c>
      <c r="KY1" t="s">
        <v>682</v>
      </c>
      <c r="KZ1" t="s">
        <v>683</v>
      </c>
      <c r="LA1" t="s">
        <v>684</v>
      </c>
      <c r="LB1" t="s">
        <v>685</v>
      </c>
      <c r="LC1" t="s">
        <v>686</v>
      </c>
      <c r="LD1" t="s">
        <v>687</v>
      </c>
      <c r="LE1" t="s">
        <v>688</v>
      </c>
      <c r="LF1" t="s">
        <v>689</v>
      </c>
      <c r="LG1" t="s">
        <v>690</v>
      </c>
      <c r="LH1" t="s">
        <v>691</v>
      </c>
      <c r="LI1" t="s">
        <v>692</v>
      </c>
      <c r="LJ1" t="s">
        <v>693</v>
      </c>
      <c r="LK1" t="s">
        <v>694</v>
      </c>
      <c r="LL1" t="s">
        <v>695</v>
      </c>
      <c r="LM1" t="s">
        <v>696</v>
      </c>
      <c r="LN1" t="s">
        <v>697</v>
      </c>
      <c r="LO1" t="s">
        <v>698</v>
      </c>
      <c r="LP1" t="s">
        <v>699</v>
      </c>
      <c r="LQ1" t="s">
        <v>700</v>
      </c>
      <c r="LR1" t="s">
        <v>701</v>
      </c>
      <c r="LS1" t="s">
        <v>702</v>
      </c>
      <c r="LT1" t="s">
        <v>703</v>
      </c>
      <c r="LU1" t="s">
        <v>704</v>
      </c>
      <c r="LV1" t="s">
        <v>705</v>
      </c>
      <c r="LW1" t="s">
        <v>706</v>
      </c>
      <c r="LX1" t="s">
        <v>707</v>
      </c>
      <c r="LY1" t="s">
        <v>708</v>
      </c>
      <c r="LZ1" t="s">
        <v>709</v>
      </c>
      <c r="MA1" t="s">
        <v>710</v>
      </c>
      <c r="MB1" t="s">
        <v>711</v>
      </c>
      <c r="MC1" t="s">
        <v>712</v>
      </c>
      <c r="MD1" t="s">
        <v>713</v>
      </c>
      <c r="ME1" t="s">
        <v>714</v>
      </c>
      <c r="MF1" t="s">
        <v>715</v>
      </c>
      <c r="MG1" t="s">
        <v>716</v>
      </c>
      <c r="MH1" t="s">
        <v>717</v>
      </c>
      <c r="MI1" t="s">
        <v>718</v>
      </c>
      <c r="MJ1" t="s">
        <v>719</v>
      </c>
      <c r="MK1" t="s">
        <v>720</v>
      </c>
      <c r="ML1" t="s">
        <v>721</v>
      </c>
      <c r="MM1" t="s">
        <v>722</v>
      </c>
      <c r="MN1" t="s">
        <v>723</v>
      </c>
      <c r="MO1" t="s">
        <v>724</v>
      </c>
      <c r="MP1" t="s">
        <v>725</v>
      </c>
      <c r="MQ1" t="s">
        <v>726</v>
      </c>
      <c r="MR1" t="s">
        <v>727</v>
      </c>
      <c r="MS1" t="s">
        <v>728</v>
      </c>
      <c r="MT1" t="s">
        <v>729</v>
      </c>
      <c r="MU1" t="s">
        <v>730</v>
      </c>
      <c r="MV1" t="s">
        <v>731</v>
      </c>
      <c r="MW1" t="s">
        <v>732</v>
      </c>
      <c r="MX1" t="s">
        <v>733</v>
      </c>
      <c r="MY1" t="s">
        <v>734</v>
      </c>
      <c r="MZ1" t="s">
        <v>735</v>
      </c>
      <c r="NA1" t="s">
        <v>736</v>
      </c>
      <c r="NB1" t="s">
        <v>737</v>
      </c>
      <c r="NC1" t="s">
        <v>738</v>
      </c>
      <c r="ND1" t="s">
        <v>739</v>
      </c>
      <c r="NE1" t="s">
        <v>740</v>
      </c>
      <c r="NF1" t="s">
        <v>741</v>
      </c>
      <c r="NG1" t="s">
        <v>742</v>
      </c>
      <c r="NH1" t="s">
        <v>743</v>
      </c>
      <c r="NI1" t="s">
        <v>744</v>
      </c>
      <c r="NJ1" t="s">
        <v>745</v>
      </c>
      <c r="NK1" t="s">
        <v>746</v>
      </c>
      <c r="NL1" t="s">
        <v>747</v>
      </c>
      <c r="NM1" t="s">
        <v>748</v>
      </c>
      <c r="NN1" t="s">
        <v>749</v>
      </c>
      <c r="NO1" t="s">
        <v>750</v>
      </c>
      <c r="NP1" t="s">
        <v>751</v>
      </c>
      <c r="NQ1" t="s">
        <v>752</v>
      </c>
      <c r="NR1" t="s">
        <v>753</v>
      </c>
      <c r="NS1" t="s">
        <v>754</v>
      </c>
      <c r="NT1" t="s">
        <v>755</v>
      </c>
      <c r="NU1" t="s">
        <v>756</v>
      </c>
      <c r="NV1" t="s">
        <v>757</v>
      </c>
      <c r="NW1" t="s">
        <v>758</v>
      </c>
      <c r="NX1" t="s">
        <v>759</v>
      </c>
      <c r="NY1" t="s">
        <v>760</v>
      </c>
      <c r="NZ1" t="s">
        <v>761</v>
      </c>
      <c r="OA1" t="s">
        <v>762</v>
      </c>
      <c r="OB1" t="s">
        <v>763</v>
      </c>
      <c r="OC1" t="s">
        <v>764</v>
      </c>
      <c r="OD1" t="s">
        <v>765</v>
      </c>
      <c r="OE1" t="s">
        <v>766</v>
      </c>
      <c r="OF1" t="s">
        <v>767</v>
      </c>
      <c r="OG1" t="s">
        <v>768</v>
      </c>
      <c r="OH1" t="s">
        <v>769</v>
      </c>
      <c r="OI1" t="s">
        <v>770</v>
      </c>
      <c r="OJ1" t="s">
        <v>771</v>
      </c>
      <c r="OK1" t="s">
        <v>772</v>
      </c>
      <c r="OL1" t="s">
        <v>773</v>
      </c>
      <c r="OM1" t="s">
        <v>774</v>
      </c>
      <c r="ON1" t="s">
        <v>775</v>
      </c>
      <c r="OO1" t="s">
        <v>776</v>
      </c>
      <c r="OP1" t="s">
        <v>777</v>
      </c>
      <c r="OQ1" t="s">
        <v>778</v>
      </c>
      <c r="OR1" t="s">
        <v>779</v>
      </c>
      <c r="OS1" t="s">
        <v>780</v>
      </c>
      <c r="OT1" t="s">
        <v>781</v>
      </c>
      <c r="OU1" t="s">
        <v>782</v>
      </c>
      <c r="OV1" t="s">
        <v>783</v>
      </c>
      <c r="OW1" t="s">
        <v>784</v>
      </c>
      <c r="OX1" t="s">
        <v>785</v>
      </c>
      <c r="OY1" t="s">
        <v>786</v>
      </c>
      <c r="OZ1" t="s">
        <v>787</v>
      </c>
      <c r="PA1" t="s">
        <v>788</v>
      </c>
      <c r="PB1" t="s">
        <v>789</v>
      </c>
      <c r="PC1" t="s">
        <v>790</v>
      </c>
      <c r="PD1" t="s">
        <v>791</v>
      </c>
      <c r="PE1" t="s">
        <v>792</v>
      </c>
      <c r="PF1" t="s">
        <v>793</v>
      </c>
      <c r="PG1" t="s">
        <v>794</v>
      </c>
      <c r="PH1" t="s">
        <v>795</v>
      </c>
      <c r="PI1" t="s">
        <v>796</v>
      </c>
      <c r="PJ1" t="s">
        <v>797</v>
      </c>
      <c r="PK1" t="s">
        <v>798</v>
      </c>
      <c r="PL1" t="s">
        <v>799</v>
      </c>
      <c r="PM1" t="s">
        <v>800</v>
      </c>
      <c r="PN1" t="s">
        <v>801</v>
      </c>
      <c r="PO1" t="s">
        <v>802</v>
      </c>
      <c r="PP1" t="s">
        <v>803</v>
      </c>
      <c r="PQ1" t="s">
        <v>804</v>
      </c>
      <c r="PR1" t="s">
        <v>805</v>
      </c>
      <c r="PS1" t="s">
        <v>806</v>
      </c>
      <c r="PT1" t="s">
        <v>807</v>
      </c>
      <c r="PU1" t="s">
        <v>808</v>
      </c>
      <c r="PV1" t="s">
        <v>809</v>
      </c>
      <c r="PW1" t="s">
        <v>810</v>
      </c>
      <c r="PX1" t="s">
        <v>811</v>
      </c>
      <c r="PY1" t="s">
        <v>812</v>
      </c>
      <c r="PZ1" t="s">
        <v>813</v>
      </c>
      <c r="QA1" t="s">
        <v>814</v>
      </c>
      <c r="QB1" t="s">
        <v>815</v>
      </c>
      <c r="QC1" t="s">
        <v>816</v>
      </c>
      <c r="QD1" t="s">
        <v>817</v>
      </c>
      <c r="QE1" t="s">
        <v>818</v>
      </c>
      <c r="QF1" t="s">
        <v>819</v>
      </c>
      <c r="QG1" t="s">
        <v>820</v>
      </c>
      <c r="QH1" t="s">
        <v>821</v>
      </c>
      <c r="QI1" t="s">
        <v>822</v>
      </c>
      <c r="QJ1" t="s">
        <v>823</v>
      </c>
      <c r="QK1" t="s">
        <v>824</v>
      </c>
      <c r="QL1" t="s">
        <v>825</v>
      </c>
      <c r="QM1" t="s">
        <v>826</v>
      </c>
      <c r="QN1" t="s">
        <v>827</v>
      </c>
      <c r="QO1" t="s">
        <v>828</v>
      </c>
      <c r="QP1" t="s">
        <v>829</v>
      </c>
      <c r="QQ1" t="s">
        <v>830</v>
      </c>
      <c r="QR1" t="s">
        <v>831</v>
      </c>
      <c r="QS1" t="s">
        <v>832</v>
      </c>
      <c r="QT1" t="s">
        <v>833</v>
      </c>
      <c r="QU1" t="s">
        <v>834</v>
      </c>
      <c r="QV1" t="s">
        <v>835</v>
      </c>
      <c r="QW1" t="s">
        <v>836</v>
      </c>
      <c r="QX1" t="s">
        <v>837</v>
      </c>
      <c r="QY1" t="s">
        <v>838</v>
      </c>
      <c r="QZ1" t="s">
        <v>839</v>
      </c>
      <c r="RA1" t="s">
        <v>840</v>
      </c>
      <c r="RB1" t="s">
        <v>841</v>
      </c>
      <c r="RC1" t="s">
        <v>842</v>
      </c>
      <c r="RD1" t="s">
        <v>843</v>
      </c>
      <c r="RE1" t="s">
        <v>844</v>
      </c>
      <c r="RF1" t="s">
        <v>845</v>
      </c>
      <c r="RG1" t="s">
        <v>846</v>
      </c>
      <c r="RH1" t="s">
        <v>847</v>
      </c>
      <c r="RI1" t="s">
        <v>848</v>
      </c>
      <c r="RJ1" t="s">
        <v>849</v>
      </c>
      <c r="RK1" t="s">
        <v>850</v>
      </c>
      <c r="RL1" t="s">
        <v>851</v>
      </c>
      <c r="RM1" t="s">
        <v>852</v>
      </c>
      <c r="RN1" t="s">
        <v>853</v>
      </c>
      <c r="RO1" t="s">
        <v>854</v>
      </c>
      <c r="RP1" t="s">
        <v>855</v>
      </c>
      <c r="RQ1" t="s">
        <v>856</v>
      </c>
      <c r="RR1" t="s">
        <v>857</v>
      </c>
      <c r="RS1" t="s">
        <v>858</v>
      </c>
      <c r="RT1" t="s">
        <v>859</v>
      </c>
      <c r="RU1" t="s">
        <v>860</v>
      </c>
      <c r="RV1" t="s">
        <v>861</v>
      </c>
      <c r="RW1" t="s">
        <v>862</v>
      </c>
      <c r="RX1" t="s">
        <v>863</v>
      </c>
      <c r="RY1" t="s">
        <v>864</v>
      </c>
      <c r="RZ1" t="s">
        <v>865</v>
      </c>
      <c r="SA1" t="s">
        <v>866</v>
      </c>
      <c r="SB1" t="s">
        <v>867</v>
      </c>
      <c r="SC1" t="s">
        <v>868</v>
      </c>
      <c r="SD1" t="s">
        <v>869</v>
      </c>
      <c r="SE1" t="s">
        <v>870</v>
      </c>
      <c r="SF1" t="s">
        <v>871</v>
      </c>
      <c r="SG1" t="s">
        <v>872</v>
      </c>
      <c r="SH1" t="s">
        <v>873</v>
      </c>
      <c r="SI1" t="s">
        <v>874</v>
      </c>
      <c r="SJ1" t="s">
        <v>875</v>
      </c>
      <c r="SK1" t="s">
        <v>876</v>
      </c>
      <c r="SL1" t="s">
        <v>877</v>
      </c>
      <c r="SM1" t="s">
        <v>878</v>
      </c>
      <c r="SN1" t="s">
        <v>879</v>
      </c>
      <c r="SO1" t="s">
        <v>880</v>
      </c>
      <c r="SP1" t="s">
        <v>881</v>
      </c>
      <c r="SQ1" t="s">
        <v>882</v>
      </c>
      <c r="SR1" t="s">
        <v>883</v>
      </c>
      <c r="SS1" t="s">
        <v>884</v>
      </c>
      <c r="ST1" t="s">
        <v>885</v>
      </c>
      <c r="SU1" t="s">
        <v>886</v>
      </c>
      <c r="SV1" t="s">
        <v>887</v>
      </c>
      <c r="SW1" t="s">
        <v>888</v>
      </c>
      <c r="SX1" t="s">
        <v>889</v>
      </c>
      <c r="SY1" t="s">
        <v>890</v>
      </c>
      <c r="SZ1" t="s">
        <v>891</v>
      </c>
      <c r="TA1" t="s">
        <v>892</v>
      </c>
      <c r="TB1" t="s">
        <v>893</v>
      </c>
      <c r="TC1" t="s">
        <v>894</v>
      </c>
      <c r="TD1" t="s">
        <v>895</v>
      </c>
      <c r="TE1" t="s">
        <v>896</v>
      </c>
      <c r="TF1" t="s">
        <v>897</v>
      </c>
      <c r="TG1" t="s">
        <v>898</v>
      </c>
      <c r="TH1" t="s">
        <v>899</v>
      </c>
      <c r="TI1" t="s">
        <v>900</v>
      </c>
      <c r="TJ1" t="s">
        <v>901</v>
      </c>
      <c r="TK1" t="s">
        <v>902</v>
      </c>
      <c r="TL1" t="s">
        <v>903</v>
      </c>
      <c r="TM1" t="s">
        <v>904</v>
      </c>
      <c r="TN1" t="s">
        <v>905</v>
      </c>
      <c r="TO1" t="s">
        <v>906</v>
      </c>
      <c r="TP1" t="s">
        <v>907</v>
      </c>
      <c r="TQ1" t="s">
        <v>908</v>
      </c>
      <c r="TR1" t="s">
        <v>909</v>
      </c>
      <c r="TS1" t="s">
        <v>910</v>
      </c>
      <c r="TT1" t="s">
        <v>911</v>
      </c>
      <c r="TU1" t="s">
        <v>912</v>
      </c>
      <c r="TV1" t="s">
        <v>913</v>
      </c>
      <c r="TW1" t="s">
        <v>914</v>
      </c>
      <c r="TX1" t="s">
        <v>915</v>
      </c>
      <c r="TY1" t="s">
        <v>916</v>
      </c>
      <c r="TZ1" t="s">
        <v>917</v>
      </c>
      <c r="UA1" t="s">
        <v>918</v>
      </c>
      <c r="UB1" t="s">
        <v>919</v>
      </c>
      <c r="UC1" t="s">
        <v>920</v>
      </c>
      <c r="UD1" t="s">
        <v>921</v>
      </c>
      <c r="UE1" t="s">
        <v>922</v>
      </c>
      <c r="UF1" t="s">
        <v>923</v>
      </c>
      <c r="UG1" t="s">
        <v>924</v>
      </c>
      <c r="UH1" t="s">
        <v>925</v>
      </c>
      <c r="UI1" t="s">
        <v>926</v>
      </c>
      <c r="UJ1" t="s">
        <v>927</v>
      </c>
      <c r="UK1" t="s">
        <v>928</v>
      </c>
      <c r="UL1" t="s">
        <v>929</v>
      </c>
      <c r="UM1" t="s">
        <v>930</v>
      </c>
      <c r="UN1" t="s">
        <v>931</v>
      </c>
      <c r="UO1" t="s">
        <v>932</v>
      </c>
      <c r="UP1" t="s">
        <v>933</v>
      </c>
      <c r="UQ1" t="s">
        <v>934</v>
      </c>
      <c r="UR1" t="s">
        <v>935</v>
      </c>
      <c r="US1" t="s">
        <v>936</v>
      </c>
      <c r="UT1" t="s">
        <v>937</v>
      </c>
      <c r="UU1" t="s">
        <v>938</v>
      </c>
      <c r="UV1" t="s">
        <v>939</v>
      </c>
      <c r="UW1" t="s">
        <v>940</v>
      </c>
      <c r="UX1" t="s">
        <v>941</v>
      </c>
      <c r="UY1" t="s">
        <v>942</v>
      </c>
      <c r="UZ1" t="s">
        <v>943</v>
      </c>
      <c r="VA1" t="s">
        <v>944</v>
      </c>
      <c r="VB1" t="s">
        <v>945</v>
      </c>
      <c r="VC1" t="s">
        <v>946</v>
      </c>
      <c r="VD1" t="s">
        <v>947</v>
      </c>
      <c r="VE1" t="s">
        <v>948</v>
      </c>
      <c r="VF1" t="s">
        <v>949</v>
      </c>
      <c r="VG1" t="s">
        <v>950</v>
      </c>
      <c r="VH1" t="s">
        <v>951</v>
      </c>
      <c r="VI1" t="s">
        <v>952</v>
      </c>
      <c r="VJ1" t="s">
        <v>953</v>
      </c>
      <c r="VK1" t="s">
        <v>954</v>
      </c>
      <c r="VL1" t="s">
        <v>955</v>
      </c>
      <c r="VM1" t="s">
        <v>956</v>
      </c>
      <c r="VN1" t="s">
        <v>957</v>
      </c>
      <c r="VO1" t="s">
        <v>958</v>
      </c>
      <c r="VP1" t="s">
        <v>959</v>
      </c>
      <c r="VQ1" t="s">
        <v>960</v>
      </c>
      <c r="VR1" t="s">
        <v>961</v>
      </c>
      <c r="VS1" t="s">
        <v>962</v>
      </c>
      <c r="VT1" t="s">
        <v>963</v>
      </c>
      <c r="VU1" t="s">
        <v>964</v>
      </c>
      <c r="VV1" t="s">
        <v>965</v>
      </c>
      <c r="VW1" t="s">
        <v>966</v>
      </c>
      <c r="VX1" t="s">
        <v>967</v>
      </c>
      <c r="VY1" t="s">
        <v>968</v>
      </c>
      <c r="VZ1" t="s">
        <v>969</v>
      </c>
      <c r="WA1" t="s">
        <v>970</v>
      </c>
      <c r="WB1" t="s">
        <v>971</v>
      </c>
      <c r="WC1" t="s">
        <v>972</v>
      </c>
      <c r="WD1" t="s">
        <v>973</v>
      </c>
      <c r="WE1" t="s">
        <v>974</v>
      </c>
      <c r="WF1" t="s">
        <v>975</v>
      </c>
      <c r="WG1" t="s">
        <v>976</v>
      </c>
      <c r="WH1" t="s">
        <v>977</v>
      </c>
      <c r="WI1" t="s">
        <v>978</v>
      </c>
      <c r="WJ1" t="s">
        <v>979</v>
      </c>
      <c r="WK1" t="s">
        <v>980</v>
      </c>
      <c r="WL1" t="s">
        <v>981</v>
      </c>
      <c r="WM1" t="s">
        <v>982</v>
      </c>
      <c r="WN1" t="s">
        <v>983</v>
      </c>
      <c r="WO1" t="s">
        <v>984</v>
      </c>
      <c r="WP1" t="s">
        <v>985</v>
      </c>
      <c r="WQ1" t="s">
        <v>986</v>
      </c>
      <c r="WR1" t="s">
        <v>987</v>
      </c>
      <c r="WS1" t="s">
        <v>988</v>
      </c>
      <c r="WT1" t="s">
        <v>989</v>
      </c>
      <c r="WU1" t="s">
        <v>990</v>
      </c>
      <c r="WV1" t="s">
        <v>991</v>
      </c>
      <c r="WW1" t="s">
        <v>992</v>
      </c>
      <c r="WX1" t="s">
        <v>993</v>
      </c>
      <c r="WY1" t="s">
        <v>994</v>
      </c>
      <c r="WZ1" t="s">
        <v>995</v>
      </c>
      <c r="XA1" t="s">
        <v>996</v>
      </c>
      <c r="XB1" t="s">
        <v>997</v>
      </c>
      <c r="XC1" t="s">
        <v>998</v>
      </c>
      <c r="XD1" t="s">
        <v>999</v>
      </c>
      <c r="XE1" t="s">
        <v>1000</v>
      </c>
      <c r="XF1" t="s">
        <v>1001</v>
      </c>
      <c r="XG1" t="s">
        <v>1002</v>
      </c>
      <c r="XH1" t="s">
        <v>1003</v>
      </c>
      <c r="XI1" t="s">
        <v>1004</v>
      </c>
      <c r="XJ1" t="s">
        <v>1005</v>
      </c>
      <c r="XK1" t="s">
        <v>1006</v>
      </c>
      <c r="XL1" t="s">
        <v>1007</v>
      </c>
      <c r="XM1" t="s">
        <v>1008</v>
      </c>
      <c r="XN1" t="s">
        <v>1009</v>
      </c>
      <c r="XO1" t="s">
        <v>1010</v>
      </c>
      <c r="XP1" t="s">
        <v>1011</v>
      </c>
      <c r="XQ1" t="s">
        <v>1012</v>
      </c>
      <c r="XR1" t="s">
        <v>1013</v>
      </c>
      <c r="XS1" t="s">
        <v>1014</v>
      </c>
      <c r="XT1" t="s">
        <v>1015</v>
      </c>
      <c r="XU1" t="s">
        <v>1016</v>
      </c>
      <c r="XV1" t="s">
        <v>1017</v>
      </c>
      <c r="XW1" t="s">
        <v>1018</v>
      </c>
      <c r="XX1" t="s">
        <v>1019</v>
      </c>
      <c r="XY1" t="s">
        <v>1020</v>
      </c>
      <c r="XZ1" t="s">
        <v>1021</v>
      </c>
      <c r="YA1" t="s">
        <v>1022</v>
      </c>
      <c r="YB1" t="s">
        <v>1023</v>
      </c>
      <c r="YC1" t="s">
        <v>1024</v>
      </c>
      <c r="YD1" t="s">
        <v>1025</v>
      </c>
      <c r="YE1" t="s">
        <v>1026</v>
      </c>
      <c r="YF1" t="s">
        <v>1027</v>
      </c>
      <c r="YG1" t="s">
        <v>1028</v>
      </c>
      <c r="YH1" t="s">
        <v>1029</v>
      </c>
      <c r="YI1" t="s">
        <v>1030</v>
      </c>
      <c r="YJ1" t="s">
        <v>1031</v>
      </c>
      <c r="YK1" t="s">
        <v>1032</v>
      </c>
      <c r="YL1" t="s">
        <v>1033</v>
      </c>
      <c r="YM1" t="s">
        <v>1034</v>
      </c>
      <c r="YN1" t="s">
        <v>1035</v>
      </c>
      <c r="YO1" t="s">
        <v>1036</v>
      </c>
      <c r="YP1" t="s">
        <v>1037</v>
      </c>
      <c r="YQ1" t="s">
        <v>1038</v>
      </c>
      <c r="YR1" t="s">
        <v>1039</v>
      </c>
      <c r="YS1" t="s">
        <v>1040</v>
      </c>
      <c r="YT1" t="s">
        <v>1041</v>
      </c>
      <c r="YU1" t="s">
        <v>1042</v>
      </c>
      <c r="YV1" t="s">
        <v>1043</v>
      </c>
      <c r="YW1" t="s">
        <v>1044</v>
      </c>
      <c r="YX1" t="s">
        <v>1045</v>
      </c>
      <c r="YY1" t="s">
        <v>1046</v>
      </c>
      <c r="YZ1" t="s">
        <v>1047</v>
      </c>
      <c r="ZA1" t="s">
        <v>1048</v>
      </c>
      <c r="ZB1" t="s">
        <v>1049</v>
      </c>
      <c r="ZC1" t="s">
        <v>1050</v>
      </c>
      <c r="ZD1" t="s">
        <v>1051</v>
      </c>
      <c r="ZE1" t="s">
        <v>1052</v>
      </c>
      <c r="ZF1" t="s">
        <v>1053</v>
      </c>
      <c r="ZG1" t="s">
        <v>1054</v>
      </c>
      <c r="ZH1" t="s">
        <v>1055</v>
      </c>
      <c r="ZI1" t="s">
        <v>1056</v>
      </c>
      <c r="ZJ1" t="s">
        <v>1057</v>
      </c>
      <c r="ZK1" t="s">
        <v>1058</v>
      </c>
      <c r="ZL1" t="s">
        <v>1059</v>
      </c>
      <c r="ZM1" t="s">
        <v>1060</v>
      </c>
      <c r="ZN1" t="s">
        <v>1061</v>
      </c>
      <c r="ZO1" t="s">
        <v>1062</v>
      </c>
      <c r="ZP1" t="s">
        <v>1063</v>
      </c>
      <c r="ZQ1" t="s">
        <v>1064</v>
      </c>
      <c r="ZR1" t="s">
        <v>1065</v>
      </c>
      <c r="ZS1" t="s">
        <v>1066</v>
      </c>
      <c r="ZT1" t="s">
        <v>1067</v>
      </c>
      <c r="ZU1" t="s">
        <v>1068</v>
      </c>
      <c r="ZV1" t="s">
        <v>1069</v>
      </c>
      <c r="ZW1" t="s">
        <v>1070</v>
      </c>
      <c r="ZX1" t="s">
        <v>1071</v>
      </c>
      <c r="ZY1" t="s">
        <v>1072</v>
      </c>
      <c r="ZZ1" t="s">
        <v>1073</v>
      </c>
      <c r="AAA1" t="s">
        <v>1074</v>
      </c>
      <c r="AAB1" t="s">
        <v>1075</v>
      </c>
      <c r="AAC1" t="s">
        <v>1076</v>
      </c>
      <c r="AAD1" t="s">
        <v>1077</v>
      </c>
      <c r="AAE1" t="s">
        <v>1078</v>
      </c>
      <c r="AAF1" t="s">
        <v>1079</v>
      </c>
      <c r="AAG1" t="s">
        <v>1080</v>
      </c>
      <c r="AAH1" t="s">
        <v>1081</v>
      </c>
      <c r="AAI1" t="s">
        <v>1082</v>
      </c>
      <c r="AAJ1" t="s">
        <v>1083</v>
      </c>
      <c r="AAK1" t="s">
        <v>1084</v>
      </c>
      <c r="AAL1" t="s">
        <v>1085</v>
      </c>
      <c r="AAM1" t="s">
        <v>1086</v>
      </c>
      <c r="AAN1" t="s">
        <v>1087</v>
      </c>
      <c r="AAO1" t="s">
        <v>1088</v>
      </c>
      <c r="AAP1" t="s">
        <v>1089</v>
      </c>
      <c r="AAQ1" t="s">
        <v>1090</v>
      </c>
      <c r="AAR1" t="s">
        <v>1091</v>
      </c>
      <c r="AAS1" t="s">
        <v>1092</v>
      </c>
      <c r="AAT1" t="s">
        <v>1093</v>
      </c>
      <c r="AAU1" t="s">
        <v>1094</v>
      </c>
      <c r="AAV1" t="s">
        <v>1095</v>
      </c>
      <c r="AAW1" t="s">
        <v>1096</v>
      </c>
      <c r="AAX1" t="s">
        <v>1097</v>
      </c>
      <c r="AAY1" t="s">
        <v>1098</v>
      </c>
      <c r="AAZ1" t="s">
        <v>1099</v>
      </c>
      <c r="ABA1" t="s">
        <v>1100</v>
      </c>
      <c r="ABB1" t="s">
        <v>1101</v>
      </c>
      <c r="ABC1" t="s">
        <v>1102</v>
      </c>
      <c r="ABD1" t="s">
        <v>1103</v>
      </c>
      <c r="ABE1" t="s">
        <v>1104</v>
      </c>
      <c r="ABF1" t="s">
        <v>1105</v>
      </c>
      <c r="ABG1" t="s">
        <v>1106</v>
      </c>
      <c r="ABH1" t="s">
        <v>1107</v>
      </c>
      <c r="ABI1" t="s">
        <v>1108</v>
      </c>
      <c r="ABJ1" t="s">
        <v>1109</v>
      </c>
      <c r="ABK1" t="s">
        <v>1110</v>
      </c>
      <c r="ABL1" t="s">
        <v>1111</v>
      </c>
      <c r="ABM1" t="s">
        <v>1112</v>
      </c>
      <c r="ABN1" t="s">
        <v>1113</v>
      </c>
      <c r="ABO1" t="s">
        <v>1114</v>
      </c>
      <c r="ABP1" t="s">
        <v>1115</v>
      </c>
      <c r="ABQ1" t="s">
        <v>1116</v>
      </c>
      <c r="ABR1" t="s">
        <v>1117</v>
      </c>
      <c r="ABS1" t="s">
        <v>1118</v>
      </c>
      <c r="ABT1" t="s">
        <v>1119</v>
      </c>
      <c r="ABU1" t="s">
        <v>1120</v>
      </c>
      <c r="ABV1" t="s">
        <v>1121</v>
      </c>
      <c r="ABW1" t="s">
        <v>1122</v>
      </c>
      <c r="ABX1" t="s">
        <v>1123</v>
      </c>
      <c r="ABY1" t="s">
        <v>1124</v>
      </c>
      <c r="ABZ1" t="s">
        <v>1125</v>
      </c>
      <c r="ACA1" t="s">
        <v>1126</v>
      </c>
      <c r="ACB1" t="s">
        <v>1127</v>
      </c>
      <c r="ACC1" t="s">
        <v>1128</v>
      </c>
      <c r="ACD1" t="s">
        <v>1129</v>
      </c>
      <c r="ACE1" t="s">
        <v>1130</v>
      </c>
      <c r="ACF1" t="s">
        <v>1131</v>
      </c>
      <c r="ACG1" t="s">
        <v>1132</v>
      </c>
      <c r="ACH1" t="s">
        <v>1133</v>
      </c>
      <c r="ACI1" t="s">
        <v>1134</v>
      </c>
      <c r="ACJ1" t="s">
        <v>1135</v>
      </c>
      <c r="ACK1" t="s">
        <v>1136</v>
      </c>
      <c r="ACL1" t="s">
        <v>1137</v>
      </c>
      <c r="ACM1" t="s">
        <v>1138</v>
      </c>
      <c r="ACN1" t="s">
        <v>1139</v>
      </c>
      <c r="ACO1" t="s">
        <v>1140</v>
      </c>
      <c r="ACP1" t="s">
        <v>1141</v>
      </c>
      <c r="ACQ1" t="s">
        <v>1142</v>
      </c>
      <c r="ACR1" t="s">
        <v>1143</v>
      </c>
      <c r="ACS1" t="s">
        <v>1144</v>
      </c>
      <c r="ACT1" t="s">
        <v>1145</v>
      </c>
      <c r="ACU1" t="s">
        <v>1146</v>
      </c>
      <c r="ACV1" t="s">
        <v>1147</v>
      </c>
      <c r="ACW1" t="s">
        <v>1148</v>
      </c>
      <c r="ACX1" t="s">
        <v>1149</v>
      </c>
      <c r="ACY1" t="s">
        <v>1150</v>
      </c>
      <c r="ACZ1" t="s">
        <v>1151</v>
      </c>
      <c r="ADA1" t="s">
        <v>1152</v>
      </c>
      <c r="ADB1" t="s">
        <v>1153</v>
      </c>
      <c r="ADC1" t="s">
        <v>1154</v>
      </c>
      <c r="ADD1" t="s">
        <v>1155</v>
      </c>
      <c r="ADE1" t="s">
        <v>1156</v>
      </c>
      <c r="ADF1" t="s">
        <v>1157</v>
      </c>
      <c r="ADG1" t="s">
        <v>1158</v>
      </c>
      <c r="ADH1" t="s">
        <v>1159</v>
      </c>
      <c r="ADI1" t="s">
        <v>1160</v>
      </c>
      <c r="ADJ1" t="s">
        <v>1161</v>
      </c>
      <c r="ADK1" t="s">
        <v>1162</v>
      </c>
      <c r="ADL1" t="s">
        <v>1163</v>
      </c>
      <c r="ADM1" t="s">
        <v>1164</v>
      </c>
      <c r="ADN1" t="s">
        <v>1165</v>
      </c>
      <c r="ADO1" t="s">
        <v>1166</v>
      </c>
      <c r="ADP1" t="s">
        <v>1167</v>
      </c>
      <c r="ADQ1" t="s">
        <v>1168</v>
      </c>
      <c r="ADR1" t="s">
        <v>1169</v>
      </c>
      <c r="ADS1" t="s">
        <v>1170</v>
      </c>
      <c r="ADT1" t="s">
        <v>1171</v>
      </c>
      <c r="ADU1" t="s">
        <v>1172</v>
      </c>
      <c r="ADV1" t="s">
        <v>1173</v>
      </c>
      <c r="ADW1" t="s">
        <v>1174</v>
      </c>
      <c r="ADX1" t="s">
        <v>1175</v>
      </c>
      <c r="ADY1" t="s">
        <v>1176</v>
      </c>
      <c r="ADZ1" t="s">
        <v>1177</v>
      </c>
      <c r="AEA1" t="s">
        <v>1178</v>
      </c>
      <c r="AEB1" t="s">
        <v>1179</v>
      </c>
      <c r="AEC1" t="s">
        <v>1180</v>
      </c>
      <c r="AED1" t="s">
        <v>1181</v>
      </c>
      <c r="AEE1" t="s">
        <v>1182</v>
      </c>
      <c r="AEF1" t="s">
        <v>1183</v>
      </c>
      <c r="AEG1" t="s">
        <v>1184</v>
      </c>
      <c r="AEH1" t="s">
        <v>1185</v>
      </c>
      <c r="AEI1" t="s">
        <v>1186</v>
      </c>
      <c r="AEJ1" t="s">
        <v>1187</v>
      </c>
      <c r="AEK1" t="s">
        <v>1188</v>
      </c>
      <c r="AEL1" t="s">
        <v>1189</v>
      </c>
      <c r="AEM1" t="s">
        <v>1190</v>
      </c>
      <c r="AEN1" t="s">
        <v>1191</v>
      </c>
      <c r="AEO1" t="s">
        <v>1192</v>
      </c>
      <c r="AEP1" t="s">
        <v>1193</v>
      </c>
      <c r="AEQ1" t="s">
        <v>1194</v>
      </c>
      <c r="AER1" t="s">
        <v>1195</v>
      </c>
      <c r="AES1" t="s">
        <v>1196</v>
      </c>
      <c r="AET1" t="s">
        <v>1197</v>
      </c>
      <c r="AEU1" t="s">
        <v>1198</v>
      </c>
      <c r="AEV1" t="s">
        <v>1199</v>
      </c>
      <c r="AEW1" t="s">
        <v>1200</v>
      </c>
      <c r="AEX1" t="s">
        <v>1201</v>
      </c>
      <c r="AEY1" t="s">
        <v>1202</v>
      </c>
      <c r="AEZ1" t="s">
        <v>1203</v>
      </c>
      <c r="AFA1" t="s">
        <v>1204</v>
      </c>
      <c r="AFB1" t="s">
        <v>1205</v>
      </c>
      <c r="AFC1" t="s">
        <v>1206</v>
      </c>
      <c r="AFD1" t="s">
        <v>1207</v>
      </c>
      <c r="AFE1" t="s">
        <v>1208</v>
      </c>
      <c r="AFF1" t="s">
        <v>1209</v>
      </c>
      <c r="AFG1" t="s">
        <v>1210</v>
      </c>
      <c r="AFH1" t="s">
        <v>1211</v>
      </c>
      <c r="AFI1" t="s">
        <v>1212</v>
      </c>
      <c r="AFJ1" t="s">
        <v>1213</v>
      </c>
      <c r="AFK1" t="s">
        <v>1214</v>
      </c>
      <c r="AFL1" t="s">
        <v>1215</v>
      </c>
      <c r="AFM1" t="s">
        <v>1216</v>
      </c>
      <c r="AFN1" t="s">
        <v>1217</v>
      </c>
      <c r="AFO1" t="s">
        <v>1218</v>
      </c>
      <c r="AFP1" t="s">
        <v>1219</v>
      </c>
      <c r="AFQ1" t="s">
        <v>1220</v>
      </c>
      <c r="AFR1" t="s">
        <v>1221</v>
      </c>
      <c r="AFS1" t="s">
        <v>1222</v>
      </c>
      <c r="AFT1" t="s">
        <v>1223</v>
      </c>
      <c r="AFU1" t="s">
        <v>1224</v>
      </c>
      <c r="AFV1" t="s">
        <v>1225</v>
      </c>
      <c r="AFW1" t="s">
        <v>1226</v>
      </c>
      <c r="AFX1" t="s">
        <v>1227</v>
      </c>
      <c r="AFY1" t="s">
        <v>1228</v>
      </c>
      <c r="AFZ1" t="s">
        <v>1229</v>
      </c>
      <c r="AGA1" t="s">
        <v>1230</v>
      </c>
      <c r="AGB1" t="s">
        <v>1231</v>
      </c>
      <c r="AGC1" t="s">
        <v>1232</v>
      </c>
      <c r="AGD1" t="s">
        <v>1233</v>
      </c>
      <c r="AGE1" t="s">
        <v>1234</v>
      </c>
      <c r="AGF1" t="s">
        <v>1235</v>
      </c>
      <c r="AGG1" t="s">
        <v>1236</v>
      </c>
      <c r="AGH1" t="s">
        <v>1237</v>
      </c>
      <c r="AGI1" t="s">
        <v>1238</v>
      </c>
      <c r="AGJ1" t="s">
        <v>1239</v>
      </c>
      <c r="AGK1" t="s">
        <v>1240</v>
      </c>
      <c r="AGL1" t="s">
        <v>1241</v>
      </c>
      <c r="AGM1" t="s">
        <v>1242</v>
      </c>
      <c r="AGN1" t="s">
        <v>1243</v>
      </c>
      <c r="AGO1" t="s">
        <v>1244</v>
      </c>
      <c r="AGP1" t="s">
        <v>1245</v>
      </c>
      <c r="AGQ1" t="s">
        <v>1246</v>
      </c>
      <c r="AGR1" t="s">
        <v>1247</v>
      </c>
      <c r="AGS1" t="s">
        <v>1248</v>
      </c>
      <c r="AGT1" t="s">
        <v>1249</v>
      </c>
      <c r="AGU1" t="s">
        <v>1250</v>
      </c>
      <c r="AGV1" t="s">
        <v>1251</v>
      </c>
      <c r="AGW1" t="s">
        <v>1252</v>
      </c>
      <c r="AGX1" t="s">
        <v>1253</v>
      </c>
      <c r="AGY1" t="s">
        <v>1254</v>
      </c>
      <c r="AGZ1" t="s">
        <v>1255</v>
      </c>
      <c r="AHA1" t="s">
        <v>1256</v>
      </c>
      <c r="AHB1" t="s">
        <v>1257</v>
      </c>
      <c r="AHC1" t="s">
        <v>1258</v>
      </c>
      <c r="AHD1" t="s">
        <v>1259</v>
      </c>
      <c r="AHE1" t="s">
        <v>1260</v>
      </c>
      <c r="AHF1" t="s">
        <v>1261</v>
      </c>
      <c r="AHG1" t="s">
        <v>1262</v>
      </c>
      <c r="AHH1" t="s">
        <v>1263</v>
      </c>
      <c r="AHI1" t="s">
        <v>1264</v>
      </c>
      <c r="AHJ1" t="s">
        <v>1265</v>
      </c>
      <c r="AHK1" t="s">
        <v>1266</v>
      </c>
      <c r="AHL1" t="s">
        <v>1267</v>
      </c>
      <c r="AHM1" t="s">
        <v>1268</v>
      </c>
      <c r="AHN1" t="s">
        <v>1269</v>
      </c>
      <c r="AHO1" t="s">
        <v>1270</v>
      </c>
      <c r="AHP1" t="s">
        <v>1271</v>
      </c>
      <c r="AHQ1" t="s">
        <v>1272</v>
      </c>
      <c r="AHR1" t="s">
        <v>1273</v>
      </c>
      <c r="AHS1" t="s">
        <v>1274</v>
      </c>
      <c r="AHT1" t="s">
        <v>1275</v>
      </c>
      <c r="AHU1" t="s">
        <v>1276</v>
      </c>
      <c r="AHV1" t="s">
        <v>1277</v>
      </c>
      <c r="AHW1" t="s">
        <v>1278</v>
      </c>
      <c r="AHX1" t="s">
        <v>1279</v>
      </c>
      <c r="AHY1" t="s">
        <v>1280</v>
      </c>
      <c r="AHZ1" t="s">
        <v>1281</v>
      </c>
      <c r="AIA1" t="s">
        <v>1282</v>
      </c>
      <c r="AIB1" t="s">
        <v>1283</v>
      </c>
      <c r="AIC1" t="s">
        <v>1284</v>
      </c>
      <c r="AID1" t="s">
        <v>1285</v>
      </c>
      <c r="AIE1" t="s">
        <v>1286</v>
      </c>
      <c r="AIF1" t="s">
        <v>1287</v>
      </c>
      <c r="AIG1" t="s">
        <v>1288</v>
      </c>
      <c r="AIH1" t="s">
        <v>1289</v>
      </c>
      <c r="AII1" t="s">
        <v>1290</v>
      </c>
      <c r="AIJ1" t="s">
        <v>1291</v>
      </c>
      <c r="AIK1" t="s">
        <v>1292</v>
      </c>
      <c r="AIL1" t="s">
        <v>1293</v>
      </c>
      <c r="AIM1" t="s">
        <v>1294</v>
      </c>
      <c r="AIN1" t="s">
        <v>1295</v>
      </c>
      <c r="AIO1" t="s">
        <v>1296</v>
      </c>
      <c r="AIP1" t="s">
        <v>1297</v>
      </c>
      <c r="AIQ1" t="s">
        <v>1298</v>
      </c>
      <c r="AIR1" t="s">
        <v>1299</v>
      </c>
      <c r="AIS1" t="s">
        <v>1300</v>
      </c>
      <c r="AIT1" t="s">
        <v>1301</v>
      </c>
      <c r="AIU1" t="s">
        <v>1302</v>
      </c>
      <c r="AIV1" t="s">
        <v>1303</v>
      </c>
      <c r="AIW1" t="s">
        <v>1304</v>
      </c>
      <c r="AIX1" t="s">
        <v>1305</v>
      </c>
      <c r="AIY1" t="s">
        <v>1306</v>
      </c>
      <c r="AIZ1" t="s">
        <v>1307</v>
      </c>
      <c r="AJA1" t="s">
        <v>1308</v>
      </c>
      <c r="AJB1" t="s">
        <v>1309</v>
      </c>
      <c r="AJC1" t="s">
        <v>1310</v>
      </c>
      <c r="AJD1" t="s">
        <v>1311</v>
      </c>
      <c r="AJE1" t="s">
        <v>1312</v>
      </c>
      <c r="AJF1" t="s">
        <v>1313</v>
      </c>
      <c r="AJG1" t="s">
        <v>1314</v>
      </c>
      <c r="AJH1" t="s">
        <v>1315</v>
      </c>
      <c r="AJI1" t="s">
        <v>1316</v>
      </c>
      <c r="AJJ1" t="s">
        <v>1317</v>
      </c>
      <c r="AJK1" t="s">
        <v>1318</v>
      </c>
      <c r="AJL1" t="s">
        <v>1319</v>
      </c>
      <c r="AJM1" t="s">
        <v>1320</v>
      </c>
      <c r="AJN1" t="s">
        <v>1321</v>
      </c>
      <c r="AJO1" t="s">
        <v>1322</v>
      </c>
      <c r="AJP1" t="s">
        <v>1323</v>
      </c>
      <c r="AJQ1" t="s">
        <v>1324</v>
      </c>
      <c r="AJR1" t="s">
        <v>1325</v>
      </c>
      <c r="AJS1" t="s">
        <v>1326</v>
      </c>
      <c r="AJT1" t="s">
        <v>1327</v>
      </c>
      <c r="AJU1" t="s">
        <v>1328</v>
      </c>
      <c r="AJV1" t="s">
        <v>1329</v>
      </c>
      <c r="AJW1" t="s">
        <v>1330</v>
      </c>
      <c r="AJX1" t="s">
        <v>1331</v>
      </c>
      <c r="AJY1" t="s">
        <v>1332</v>
      </c>
      <c r="AJZ1" t="s">
        <v>1333</v>
      </c>
      <c r="AKA1" t="s">
        <v>1334</v>
      </c>
      <c r="AKB1" t="s">
        <v>1335</v>
      </c>
      <c r="AKC1" t="s">
        <v>1336</v>
      </c>
      <c r="AKD1" t="s">
        <v>1337</v>
      </c>
      <c r="AKE1" t="s">
        <v>1338</v>
      </c>
      <c r="AKF1" t="s">
        <v>1339</v>
      </c>
      <c r="AKG1" t="s">
        <v>1340</v>
      </c>
      <c r="AKH1" t="s">
        <v>1341</v>
      </c>
      <c r="AKI1" t="s">
        <v>1342</v>
      </c>
      <c r="AKJ1" t="s">
        <v>1343</v>
      </c>
      <c r="AKK1" t="s">
        <v>1344</v>
      </c>
      <c r="AKL1" t="s">
        <v>1345</v>
      </c>
      <c r="AKM1" t="s">
        <v>1346</v>
      </c>
      <c r="AKN1" t="s">
        <v>1347</v>
      </c>
      <c r="AKO1" t="s">
        <v>1348</v>
      </c>
      <c r="AKP1" t="s">
        <v>1349</v>
      </c>
      <c r="AKQ1" t="s">
        <v>1350</v>
      </c>
      <c r="AKR1" t="s">
        <v>1351</v>
      </c>
      <c r="AKS1" t="s">
        <v>1352</v>
      </c>
      <c r="AKT1" t="s">
        <v>1353</v>
      </c>
      <c r="AKU1" t="s">
        <v>1354</v>
      </c>
      <c r="AKV1" t="s">
        <v>1355</v>
      </c>
      <c r="AKW1" t="s">
        <v>1356</v>
      </c>
      <c r="AKX1" t="s">
        <v>1357</v>
      </c>
      <c r="AKY1" t="s">
        <v>1358</v>
      </c>
      <c r="AKZ1" t="s">
        <v>1359</v>
      </c>
      <c r="ALA1" t="s">
        <v>1360</v>
      </c>
      <c r="ALB1" t="s">
        <v>1361</v>
      </c>
      <c r="ALC1" t="s">
        <v>1362</v>
      </c>
      <c r="ALD1" t="s">
        <v>1363</v>
      </c>
      <c r="ALE1" t="s">
        <v>1364</v>
      </c>
      <c r="ALF1" t="s">
        <v>1365</v>
      </c>
      <c r="ALG1" t="s">
        <v>1366</v>
      </c>
      <c r="ALH1" t="s">
        <v>1367</v>
      </c>
      <c r="ALI1" t="s">
        <v>1368</v>
      </c>
      <c r="ALJ1" t="s">
        <v>1369</v>
      </c>
      <c r="ALK1" t="s">
        <v>1370</v>
      </c>
      <c r="ALL1" t="s">
        <v>1371</v>
      </c>
      <c r="ALM1" t="s">
        <v>1372</v>
      </c>
      <c r="ALN1" t="s">
        <v>1373</v>
      </c>
      <c r="ALO1" t="s">
        <v>1374</v>
      </c>
      <c r="ALP1" t="s">
        <v>1375</v>
      </c>
      <c r="ALQ1" t="s">
        <v>1376</v>
      </c>
      <c r="ALR1" t="s">
        <v>1377</v>
      </c>
      <c r="ALS1" t="s">
        <v>1378</v>
      </c>
      <c r="ALT1" t="s">
        <v>1379</v>
      </c>
      <c r="ALU1" t="s">
        <v>1380</v>
      </c>
      <c r="ALV1" t="s">
        <v>1381</v>
      </c>
      <c r="ALW1" t="s">
        <v>1382</v>
      </c>
      <c r="ALX1" t="s">
        <v>1383</v>
      </c>
      <c r="ALY1" t="s">
        <v>1384</v>
      </c>
      <c r="ALZ1" t="s">
        <v>1385</v>
      </c>
      <c r="AMA1" t="s">
        <v>1386</v>
      </c>
      <c r="AMB1" t="s">
        <v>1387</v>
      </c>
      <c r="AMC1" t="s">
        <v>1388</v>
      </c>
      <c r="AMD1" t="s">
        <v>1389</v>
      </c>
      <c r="AME1" t="s">
        <v>1390</v>
      </c>
      <c r="AMF1" t="s">
        <v>1391</v>
      </c>
      <c r="AMG1" t="s">
        <v>1392</v>
      </c>
      <c r="AMH1" t="s">
        <v>1393</v>
      </c>
      <c r="AMI1" t="s">
        <v>1394</v>
      </c>
      <c r="AMJ1" t="s">
        <v>1395</v>
      </c>
      <c r="AMK1" t="s">
        <v>1396</v>
      </c>
      <c r="AML1" t="s">
        <v>1397</v>
      </c>
      <c r="AMM1" t="s">
        <v>1398</v>
      </c>
      <c r="AMN1" t="s">
        <v>1399</v>
      </c>
      <c r="AMO1" t="s">
        <v>1400</v>
      </c>
      <c r="AMP1" t="s">
        <v>1401</v>
      </c>
      <c r="AMQ1" t="s">
        <v>1402</v>
      </c>
      <c r="AMR1" t="s">
        <v>1403</v>
      </c>
      <c r="AMS1" t="s">
        <v>1404</v>
      </c>
      <c r="AMT1" t="s">
        <v>1405</v>
      </c>
      <c r="AMU1" t="s">
        <v>1406</v>
      </c>
      <c r="AMV1" t="s">
        <v>1407</v>
      </c>
      <c r="AMW1" t="s">
        <v>1408</v>
      </c>
      <c r="AMX1" t="s">
        <v>1409</v>
      </c>
      <c r="AMY1" t="s">
        <v>1410</v>
      </c>
      <c r="AMZ1" t="s">
        <v>1411</v>
      </c>
      <c r="ANA1" t="s">
        <v>1412</v>
      </c>
      <c r="ANB1" t="s">
        <v>1413</v>
      </c>
      <c r="ANC1" t="s">
        <v>1414</v>
      </c>
      <c r="AND1" t="s">
        <v>1415</v>
      </c>
      <c r="ANE1" t="s">
        <v>1416</v>
      </c>
      <c r="ANF1" t="s">
        <v>1417</v>
      </c>
      <c r="ANG1" t="s">
        <v>1418</v>
      </c>
      <c r="ANH1" t="s">
        <v>1419</v>
      </c>
      <c r="ANI1" t="s">
        <v>1420</v>
      </c>
      <c r="ANJ1" t="s">
        <v>1421</v>
      </c>
      <c r="ANK1" t="s">
        <v>1422</v>
      </c>
      <c r="ANL1" t="s">
        <v>1423</v>
      </c>
      <c r="ANM1" t="s">
        <v>1424</v>
      </c>
      <c r="ANN1" t="s">
        <v>1425</v>
      </c>
      <c r="ANO1" t="s">
        <v>1426</v>
      </c>
      <c r="ANP1" t="s">
        <v>1427</v>
      </c>
      <c r="ANQ1" t="s">
        <v>1428</v>
      </c>
      <c r="ANR1" t="s">
        <v>1429</v>
      </c>
      <c r="ANS1" t="s">
        <v>1430</v>
      </c>
      <c r="ANT1" t="s">
        <v>1431</v>
      </c>
      <c r="ANU1" t="s">
        <v>1432</v>
      </c>
      <c r="ANV1" t="s">
        <v>1433</v>
      </c>
      <c r="ANW1" t="s">
        <v>1434</v>
      </c>
      <c r="ANX1" t="s">
        <v>1435</v>
      </c>
      <c r="ANY1" t="s">
        <v>1436</v>
      </c>
      <c r="ANZ1" t="s">
        <v>1437</v>
      </c>
      <c r="AOA1" t="s">
        <v>1438</v>
      </c>
      <c r="AOB1" t="s">
        <v>1439</v>
      </c>
      <c r="AOC1" t="s">
        <v>1440</v>
      </c>
      <c r="AOD1" t="s">
        <v>1441</v>
      </c>
      <c r="AOE1" t="s">
        <v>1442</v>
      </c>
      <c r="AOF1" t="s">
        <v>1443</v>
      </c>
      <c r="AOG1" t="s">
        <v>1444</v>
      </c>
      <c r="AOH1" t="s">
        <v>1445</v>
      </c>
      <c r="AOI1" t="s">
        <v>1446</v>
      </c>
      <c r="AOJ1" t="s">
        <v>1447</v>
      </c>
      <c r="AOK1" t="s">
        <v>1448</v>
      </c>
      <c r="AOL1" t="s">
        <v>1449</v>
      </c>
      <c r="AOM1" t="s">
        <v>1450</v>
      </c>
      <c r="AON1" t="s">
        <v>1451</v>
      </c>
      <c r="AOO1" t="s">
        <v>1452</v>
      </c>
      <c r="AOP1" t="s">
        <v>1453</v>
      </c>
      <c r="AOQ1" t="s">
        <v>1454</v>
      </c>
      <c r="AOR1" t="s">
        <v>1455</v>
      </c>
      <c r="AOS1" t="s">
        <v>1456</v>
      </c>
      <c r="AOT1" t="s">
        <v>1457</v>
      </c>
      <c r="AOU1" t="s">
        <v>1458</v>
      </c>
      <c r="AOV1" t="s">
        <v>1459</v>
      </c>
      <c r="AOW1" t="s">
        <v>1460</v>
      </c>
      <c r="AOX1" t="s">
        <v>1461</v>
      </c>
      <c r="AOY1" t="s">
        <v>1462</v>
      </c>
      <c r="AOZ1" t="s">
        <v>1463</v>
      </c>
      <c r="APA1" t="s">
        <v>1464</v>
      </c>
      <c r="APB1" t="s">
        <v>1465</v>
      </c>
      <c r="APC1" t="s">
        <v>1466</v>
      </c>
      <c r="APD1" t="s">
        <v>1467</v>
      </c>
      <c r="APE1" t="s">
        <v>1468</v>
      </c>
      <c r="APF1" t="s">
        <v>1469</v>
      </c>
      <c r="APG1" t="s">
        <v>1470</v>
      </c>
      <c r="APH1" t="s">
        <v>1471</v>
      </c>
      <c r="API1" t="s">
        <v>1472</v>
      </c>
      <c r="APJ1" t="s">
        <v>1473</v>
      </c>
      <c r="APK1" t="s">
        <v>1474</v>
      </c>
      <c r="APL1" t="s">
        <v>1475</v>
      </c>
      <c r="APM1" t="s">
        <v>1476</v>
      </c>
      <c r="APN1" t="s">
        <v>1477</v>
      </c>
      <c r="APO1" t="s">
        <v>1478</v>
      </c>
      <c r="APP1" t="s">
        <v>1479</v>
      </c>
      <c r="APQ1" t="s">
        <v>1480</v>
      </c>
      <c r="APR1" t="s">
        <v>1481</v>
      </c>
      <c r="APS1" t="s">
        <v>1482</v>
      </c>
      <c r="APT1" t="s">
        <v>1483</v>
      </c>
      <c r="APU1" t="s">
        <v>1484</v>
      </c>
      <c r="APV1" t="s">
        <v>1485</v>
      </c>
      <c r="APW1" t="s">
        <v>1486</v>
      </c>
      <c r="APX1" t="s">
        <v>1487</v>
      </c>
      <c r="APY1" t="s">
        <v>1488</v>
      </c>
      <c r="APZ1" t="s">
        <v>1489</v>
      </c>
      <c r="AQA1" t="s">
        <v>1490</v>
      </c>
      <c r="AQB1" t="s">
        <v>1491</v>
      </c>
      <c r="AQC1" t="s">
        <v>1492</v>
      </c>
      <c r="AQD1" t="s">
        <v>1493</v>
      </c>
      <c r="AQE1" t="s">
        <v>1494</v>
      </c>
      <c r="AQF1" t="s">
        <v>1495</v>
      </c>
      <c r="AQG1" t="s">
        <v>1496</v>
      </c>
      <c r="AQH1" t="s">
        <v>1497</v>
      </c>
      <c r="AQI1" t="s">
        <v>1498</v>
      </c>
      <c r="AQJ1" t="s">
        <v>1499</v>
      </c>
      <c r="AQK1" t="s">
        <v>1500</v>
      </c>
      <c r="AQL1" t="s">
        <v>1501</v>
      </c>
      <c r="AQM1" t="s">
        <v>1502</v>
      </c>
      <c r="AQN1" t="s">
        <v>1503</v>
      </c>
      <c r="AQO1" t="s">
        <v>1504</v>
      </c>
      <c r="AQP1" t="s">
        <v>1505</v>
      </c>
      <c r="AQQ1" t="s">
        <v>1506</v>
      </c>
      <c r="AQR1" t="s">
        <v>1507</v>
      </c>
      <c r="AQS1" t="s">
        <v>1508</v>
      </c>
      <c r="AQT1" t="s">
        <v>1509</v>
      </c>
      <c r="AQU1" t="s">
        <v>1510</v>
      </c>
      <c r="AQV1" t="s">
        <v>1511</v>
      </c>
      <c r="AQW1" t="s">
        <v>1512</v>
      </c>
      <c r="AQX1" t="s">
        <v>1513</v>
      </c>
      <c r="AQY1" t="s">
        <v>1514</v>
      </c>
      <c r="AQZ1" t="s">
        <v>1515</v>
      </c>
      <c r="ARA1" t="s">
        <v>1516</v>
      </c>
      <c r="ARB1" t="s">
        <v>1517</v>
      </c>
      <c r="ARC1" t="s">
        <v>1518</v>
      </c>
      <c r="ARD1" t="s">
        <v>1519</v>
      </c>
      <c r="ARE1" t="s">
        <v>1520</v>
      </c>
      <c r="ARF1" t="s">
        <v>1521</v>
      </c>
      <c r="ARG1" t="s">
        <v>1522</v>
      </c>
      <c r="ARH1" t="s">
        <v>1523</v>
      </c>
      <c r="ARI1" t="s">
        <v>1524</v>
      </c>
      <c r="ARJ1" t="s">
        <v>1525</v>
      </c>
      <c r="ARK1" t="s">
        <v>1526</v>
      </c>
      <c r="ARL1" t="s">
        <v>1527</v>
      </c>
      <c r="ARM1" t="s">
        <v>1528</v>
      </c>
      <c r="ARN1" t="s">
        <v>1529</v>
      </c>
      <c r="ARO1" t="s">
        <v>1530</v>
      </c>
      <c r="ARP1" t="s">
        <v>1531</v>
      </c>
      <c r="ARQ1" t="s">
        <v>1532</v>
      </c>
      <c r="ARR1" t="s">
        <v>1533</v>
      </c>
      <c r="ARS1" t="s">
        <v>1534</v>
      </c>
      <c r="ART1" t="s">
        <v>1535</v>
      </c>
      <c r="ARU1" t="s">
        <v>1536</v>
      </c>
      <c r="ARV1" t="s">
        <v>1537</v>
      </c>
      <c r="ARW1" t="s">
        <v>1538</v>
      </c>
      <c r="ARX1" t="s">
        <v>1539</v>
      </c>
      <c r="ARY1" t="s">
        <v>1540</v>
      </c>
      <c r="ARZ1" t="s">
        <v>1541</v>
      </c>
      <c r="ASA1" t="s">
        <v>1542</v>
      </c>
      <c r="ASB1" t="s">
        <v>1543</v>
      </c>
      <c r="ASC1" t="s">
        <v>1544</v>
      </c>
      <c r="ASD1" t="s">
        <v>1545</v>
      </c>
      <c r="ASE1" t="s">
        <v>1546</v>
      </c>
      <c r="ASF1" t="s">
        <v>1547</v>
      </c>
      <c r="ASG1" t="s">
        <v>1548</v>
      </c>
      <c r="ASH1" t="s">
        <v>1549</v>
      </c>
      <c r="ASI1" t="s">
        <v>1550</v>
      </c>
      <c r="ASJ1" t="s">
        <v>1551</v>
      </c>
      <c r="ASK1" t="s">
        <v>1552</v>
      </c>
      <c r="ASL1" t="s">
        <v>1553</v>
      </c>
      <c r="ASM1" t="s">
        <v>1554</v>
      </c>
      <c r="ASN1" t="s">
        <v>1555</v>
      </c>
      <c r="ASO1" t="s">
        <v>1556</v>
      </c>
      <c r="ASP1" t="s">
        <v>1557</v>
      </c>
      <c r="ASQ1" t="s">
        <v>1558</v>
      </c>
      <c r="ASR1" t="s">
        <v>1559</v>
      </c>
      <c r="ASS1" t="s">
        <v>1560</v>
      </c>
      <c r="AST1" t="s">
        <v>1561</v>
      </c>
      <c r="ASU1" t="s">
        <v>1562</v>
      </c>
      <c r="ASV1" t="s">
        <v>1563</v>
      </c>
      <c r="ASW1" t="s">
        <v>1564</v>
      </c>
      <c r="ASX1" t="s">
        <v>1565</v>
      </c>
      <c r="ASY1" t="s">
        <v>1566</v>
      </c>
      <c r="ASZ1" t="s">
        <v>1567</v>
      </c>
      <c r="ATA1" t="s">
        <v>1568</v>
      </c>
      <c r="ATB1" t="s">
        <v>1569</v>
      </c>
      <c r="ATC1" t="s">
        <v>1570</v>
      </c>
      <c r="ATD1" t="s">
        <v>1571</v>
      </c>
      <c r="ATE1" t="s">
        <v>1572</v>
      </c>
      <c r="ATF1" t="s">
        <v>1573</v>
      </c>
      <c r="ATG1" t="s">
        <v>1574</v>
      </c>
      <c r="ATH1" t="s">
        <v>1575</v>
      </c>
      <c r="ATI1" t="s">
        <v>1576</v>
      </c>
      <c r="ATJ1" t="s">
        <v>1577</v>
      </c>
      <c r="ATK1" t="s">
        <v>1578</v>
      </c>
      <c r="ATL1" t="s">
        <v>1579</v>
      </c>
      <c r="ATM1" t="s">
        <v>1580</v>
      </c>
      <c r="ATN1" t="s">
        <v>1581</v>
      </c>
      <c r="ATO1" t="s">
        <v>1582</v>
      </c>
      <c r="ATP1" t="s">
        <v>1583</v>
      </c>
      <c r="ATQ1" t="s">
        <v>1584</v>
      </c>
      <c r="ATR1" t="s">
        <v>1585</v>
      </c>
      <c r="ATS1" t="s">
        <v>1586</v>
      </c>
      <c r="ATT1" t="s">
        <v>1587</v>
      </c>
      <c r="ATU1" t="s">
        <v>1588</v>
      </c>
      <c r="ATV1" t="s">
        <v>1589</v>
      </c>
      <c r="ATW1" t="s">
        <v>1590</v>
      </c>
      <c r="ATX1" t="s">
        <v>1591</v>
      </c>
      <c r="ATY1" t="s">
        <v>1592</v>
      </c>
      <c r="ATZ1" t="s">
        <v>1593</v>
      </c>
      <c r="AUA1" t="s">
        <v>1594</v>
      </c>
      <c r="AUB1" t="s">
        <v>1595</v>
      </c>
      <c r="AUC1" t="s">
        <v>1596</v>
      </c>
      <c r="AUD1" t="s">
        <v>1597</v>
      </c>
      <c r="AUE1" t="s">
        <v>1598</v>
      </c>
      <c r="AUF1" t="s">
        <v>1599</v>
      </c>
      <c r="AUG1" t="s">
        <v>1600</v>
      </c>
      <c r="AUH1" t="s">
        <v>1601</v>
      </c>
      <c r="AUI1" t="s">
        <v>1602</v>
      </c>
      <c r="AUJ1" t="s">
        <v>1603</v>
      </c>
      <c r="AUK1" t="s">
        <v>1604</v>
      </c>
      <c r="AUL1" t="s">
        <v>1605</v>
      </c>
      <c r="AUM1" t="s">
        <v>1606</v>
      </c>
      <c r="AUN1" t="s">
        <v>1607</v>
      </c>
      <c r="AUO1" t="s">
        <v>1608</v>
      </c>
      <c r="AUP1" t="s">
        <v>1609</v>
      </c>
      <c r="AUQ1" t="s">
        <v>1610</v>
      </c>
      <c r="AUR1" t="s">
        <v>1611</v>
      </c>
      <c r="AUS1" t="s">
        <v>1612</v>
      </c>
      <c r="AUT1" t="s">
        <v>1613</v>
      </c>
      <c r="AUU1" t="s">
        <v>1614</v>
      </c>
      <c r="AUV1" t="s">
        <v>1615</v>
      </c>
      <c r="AUW1" t="s">
        <v>1616</v>
      </c>
      <c r="AUX1" t="s">
        <v>1617</v>
      </c>
      <c r="AUY1" t="s">
        <v>1618</v>
      </c>
      <c r="AUZ1" t="s">
        <v>1619</v>
      </c>
      <c r="AVA1" t="s">
        <v>1620</v>
      </c>
      <c r="AVB1" t="s">
        <v>1621</v>
      </c>
      <c r="AVC1" t="s">
        <v>1622</v>
      </c>
      <c r="AVD1" t="s">
        <v>1623</v>
      </c>
      <c r="AVE1" t="s">
        <v>1624</v>
      </c>
      <c r="AVF1" t="s">
        <v>1625</v>
      </c>
      <c r="AVG1" t="s">
        <v>1626</v>
      </c>
      <c r="AVH1" t="s">
        <v>1627</v>
      </c>
      <c r="AVI1" t="s">
        <v>1628</v>
      </c>
      <c r="AVJ1" t="s">
        <v>1629</v>
      </c>
      <c r="AVK1" t="s">
        <v>1630</v>
      </c>
      <c r="AVL1" t="s">
        <v>1631</v>
      </c>
      <c r="AVM1" t="s">
        <v>1632</v>
      </c>
      <c r="AVN1" t="s">
        <v>1633</v>
      </c>
      <c r="AVO1" t="s">
        <v>1634</v>
      </c>
      <c r="AVP1" t="s">
        <v>1635</v>
      </c>
      <c r="AVQ1" t="s">
        <v>1636</v>
      </c>
      <c r="AVR1" t="s">
        <v>1637</v>
      </c>
      <c r="AVS1" t="s">
        <v>1638</v>
      </c>
      <c r="AVT1" t="s">
        <v>1639</v>
      </c>
      <c r="AVU1" t="s">
        <v>1640</v>
      </c>
      <c r="AVV1" t="s">
        <v>1641</v>
      </c>
      <c r="AVW1" t="s">
        <v>1642</v>
      </c>
      <c r="AVX1" t="s">
        <v>1643</v>
      </c>
      <c r="AVY1" t="s">
        <v>1644</v>
      </c>
      <c r="AVZ1" t="s">
        <v>1645</v>
      </c>
      <c r="AWA1" t="s">
        <v>1646</v>
      </c>
      <c r="AWB1" t="s">
        <v>1647</v>
      </c>
      <c r="AWC1" t="s">
        <v>1648</v>
      </c>
      <c r="AWD1" t="s">
        <v>1649</v>
      </c>
      <c r="AWE1" t="s">
        <v>1650</v>
      </c>
      <c r="AWF1" t="s">
        <v>1651</v>
      </c>
      <c r="AWG1" t="s">
        <v>1652</v>
      </c>
      <c r="AWH1" t="s">
        <v>1653</v>
      </c>
      <c r="AWI1" t="s">
        <v>1654</v>
      </c>
      <c r="AWJ1" t="s">
        <v>1655</v>
      </c>
      <c r="AWK1" t="s">
        <v>1656</v>
      </c>
      <c r="AWL1" t="s">
        <v>1657</v>
      </c>
      <c r="AWM1" t="s">
        <v>1658</v>
      </c>
      <c r="AWN1" t="s">
        <v>1659</v>
      </c>
      <c r="AWO1" t="s">
        <v>1660</v>
      </c>
      <c r="AWP1" t="s">
        <v>1661</v>
      </c>
      <c r="AWQ1" t="s">
        <v>1662</v>
      </c>
      <c r="AWR1" t="s">
        <v>1663</v>
      </c>
      <c r="AWS1" t="s">
        <v>1664</v>
      </c>
      <c r="AWT1" t="s">
        <v>1665</v>
      </c>
      <c r="AWU1" t="s">
        <v>1666</v>
      </c>
      <c r="AWV1" t="s">
        <v>1667</v>
      </c>
      <c r="AWW1" t="s">
        <v>1668</v>
      </c>
      <c r="AWX1" t="s">
        <v>1669</v>
      </c>
      <c r="AWY1" t="s">
        <v>1670</v>
      </c>
      <c r="AWZ1" t="s">
        <v>1671</v>
      </c>
      <c r="AXA1" t="s">
        <v>1672</v>
      </c>
      <c r="AXB1" t="s">
        <v>1673</v>
      </c>
      <c r="AXC1" t="s">
        <v>1674</v>
      </c>
      <c r="AXD1" t="s">
        <v>1675</v>
      </c>
      <c r="AXE1" t="s">
        <v>1676</v>
      </c>
      <c r="AXF1" t="s">
        <v>1677</v>
      </c>
      <c r="AXG1" t="s">
        <v>1678</v>
      </c>
      <c r="AXH1" t="s">
        <v>1679</v>
      </c>
      <c r="AXI1" t="s">
        <v>1680</v>
      </c>
      <c r="AXJ1" t="s">
        <v>1681</v>
      </c>
      <c r="AXK1" t="s">
        <v>1682</v>
      </c>
      <c r="AXL1" t="s">
        <v>1683</v>
      </c>
      <c r="AXM1" t="s">
        <v>1684</v>
      </c>
      <c r="AXN1" t="s">
        <v>1685</v>
      </c>
      <c r="AXO1" t="s">
        <v>1686</v>
      </c>
      <c r="AXP1" t="s">
        <v>1687</v>
      </c>
      <c r="AXQ1" t="s">
        <v>1688</v>
      </c>
      <c r="AXR1" t="s">
        <v>1689</v>
      </c>
      <c r="AXS1" t="s">
        <v>1690</v>
      </c>
      <c r="AXT1" t="s">
        <v>1691</v>
      </c>
      <c r="AXU1" t="s">
        <v>1692</v>
      </c>
      <c r="AXV1" t="s">
        <v>1693</v>
      </c>
      <c r="AXW1" t="s">
        <v>1694</v>
      </c>
      <c r="AXX1" t="s">
        <v>1695</v>
      </c>
      <c r="AXY1" t="s">
        <v>1696</v>
      </c>
      <c r="AXZ1" t="s">
        <v>1697</v>
      </c>
      <c r="AYA1" t="s">
        <v>1698</v>
      </c>
      <c r="AYB1" t="s">
        <v>1699</v>
      </c>
      <c r="AYC1" t="s">
        <v>1700</v>
      </c>
      <c r="AYD1" t="s">
        <v>1701</v>
      </c>
      <c r="AYE1" t="s">
        <v>1702</v>
      </c>
      <c r="AYF1" t="s">
        <v>1703</v>
      </c>
      <c r="AYG1" t="s">
        <v>1704</v>
      </c>
      <c r="AYH1" t="s">
        <v>1705</v>
      </c>
      <c r="AYI1" t="s">
        <v>1706</v>
      </c>
      <c r="AYJ1" t="s">
        <v>1707</v>
      </c>
      <c r="AYK1" t="s">
        <v>1708</v>
      </c>
      <c r="AYL1" t="s">
        <v>1709</v>
      </c>
      <c r="AYM1" t="s">
        <v>1710</v>
      </c>
      <c r="AYN1" t="s">
        <v>1711</v>
      </c>
      <c r="AYO1" t="s">
        <v>1712</v>
      </c>
      <c r="AYP1" t="s">
        <v>1713</v>
      </c>
      <c r="AYQ1" t="s">
        <v>1714</v>
      </c>
      <c r="AYR1" t="s">
        <v>1715</v>
      </c>
      <c r="AYS1" t="s">
        <v>1716</v>
      </c>
      <c r="AYT1" t="s">
        <v>1717</v>
      </c>
      <c r="AYU1" t="s">
        <v>1718</v>
      </c>
      <c r="AYV1" t="s">
        <v>1719</v>
      </c>
      <c r="AYW1" t="s">
        <v>1720</v>
      </c>
      <c r="AYX1" t="s">
        <v>1721</v>
      </c>
      <c r="AYY1" t="s">
        <v>1722</v>
      </c>
      <c r="AYZ1" t="s">
        <v>1723</v>
      </c>
      <c r="AZA1" t="s">
        <v>1724</v>
      </c>
      <c r="AZB1" t="s">
        <v>1725</v>
      </c>
      <c r="AZC1" t="s">
        <v>1726</v>
      </c>
      <c r="AZD1" t="s">
        <v>1727</v>
      </c>
      <c r="AZE1" t="s">
        <v>1728</v>
      </c>
      <c r="AZF1" t="s">
        <v>1729</v>
      </c>
      <c r="AZG1" t="s">
        <v>1730</v>
      </c>
      <c r="AZH1" t="s">
        <v>1731</v>
      </c>
      <c r="AZI1" t="s">
        <v>1732</v>
      </c>
      <c r="AZJ1" t="s">
        <v>1733</v>
      </c>
      <c r="AZK1" t="s">
        <v>1734</v>
      </c>
      <c r="AZL1" t="s">
        <v>1735</v>
      </c>
      <c r="AZM1" t="s">
        <v>1736</v>
      </c>
      <c r="AZN1" t="s">
        <v>1737</v>
      </c>
      <c r="AZO1" t="s">
        <v>1738</v>
      </c>
      <c r="AZP1" t="s">
        <v>1739</v>
      </c>
      <c r="AZQ1" t="s">
        <v>1740</v>
      </c>
      <c r="AZR1" t="s">
        <v>1741</v>
      </c>
      <c r="AZS1" t="s">
        <v>1742</v>
      </c>
      <c r="AZT1" t="s">
        <v>1743</v>
      </c>
      <c r="AZU1" t="s">
        <v>1744</v>
      </c>
      <c r="AZV1" t="s">
        <v>1745</v>
      </c>
      <c r="AZW1" t="s">
        <v>1746</v>
      </c>
      <c r="AZX1" t="s">
        <v>1747</v>
      </c>
      <c r="AZY1" t="s">
        <v>1748</v>
      </c>
      <c r="AZZ1" t="s">
        <v>1749</v>
      </c>
      <c r="BAA1" t="s">
        <v>1750</v>
      </c>
      <c r="BAB1" t="s">
        <v>1751</v>
      </c>
      <c r="BAC1" t="s">
        <v>1752</v>
      </c>
      <c r="BAD1" t="s">
        <v>1753</v>
      </c>
      <c r="BAE1" t="s">
        <v>1754</v>
      </c>
      <c r="BAF1" t="s">
        <v>1755</v>
      </c>
      <c r="BAG1" t="s">
        <v>1756</v>
      </c>
      <c r="BAH1" t="s">
        <v>1757</v>
      </c>
      <c r="BAI1" t="s">
        <v>1758</v>
      </c>
      <c r="BAJ1" t="s">
        <v>1759</v>
      </c>
      <c r="BAK1" t="s">
        <v>1760</v>
      </c>
      <c r="BAL1" t="s">
        <v>1761</v>
      </c>
      <c r="BAM1" t="s">
        <v>1762</v>
      </c>
      <c r="BAN1" t="s">
        <v>1763</v>
      </c>
      <c r="BAO1" t="s">
        <v>1764</v>
      </c>
      <c r="BAP1" t="s">
        <v>1765</v>
      </c>
      <c r="BAQ1" t="s">
        <v>1766</v>
      </c>
      <c r="BAR1" t="s">
        <v>1767</v>
      </c>
      <c r="BAS1" t="s">
        <v>1768</v>
      </c>
      <c r="BAT1" t="s">
        <v>1769</v>
      </c>
      <c r="BAU1" t="s">
        <v>1770</v>
      </c>
      <c r="BAV1" t="s">
        <v>1771</v>
      </c>
      <c r="BAW1" t="s">
        <v>1772</v>
      </c>
      <c r="BAX1" t="s">
        <v>1773</v>
      </c>
      <c r="BAY1" t="s">
        <v>1774</v>
      </c>
      <c r="BAZ1" t="s">
        <v>1775</v>
      </c>
      <c r="BBA1" t="s">
        <v>1776</v>
      </c>
      <c r="BBB1" t="s">
        <v>1777</v>
      </c>
      <c r="BBC1" t="s">
        <v>1778</v>
      </c>
      <c r="BBD1" t="s">
        <v>1779</v>
      </c>
      <c r="BBE1" t="s">
        <v>1780</v>
      </c>
      <c r="BBF1" t="s">
        <v>1781</v>
      </c>
      <c r="BBG1" t="s">
        <v>1782</v>
      </c>
      <c r="BBH1" t="s">
        <v>1783</v>
      </c>
      <c r="BBI1" t="s">
        <v>1784</v>
      </c>
      <c r="BBJ1" t="s">
        <v>1785</v>
      </c>
      <c r="BBK1" t="s">
        <v>1786</v>
      </c>
      <c r="BBL1" t="s">
        <v>1787</v>
      </c>
      <c r="BBM1" t="s">
        <v>1788</v>
      </c>
      <c r="BBN1" t="s">
        <v>1789</v>
      </c>
      <c r="BBO1" t="s">
        <v>1790</v>
      </c>
      <c r="BBP1" t="s">
        <v>1791</v>
      </c>
      <c r="BBQ1" t="s">
        <v>1792</v>
      </c>
      <c r="BBR1" t="s">
        <v>1793</v>
      </c>
      <c r="BBS1" t="s">
        <v>1794</v>
      </c>
      <c r="BBT1" t="s">
        <v>1795</v>
      </c>
      <c r="BBU1" t="s">
        <v>1796</v>
      </c>
      <c r="BBV1" t="s">
        <v>1797</v>
      </c>
      <c r="BBW1" t="s">
        <v>1798</v>
      </c>
      <c r="BBX1" t="s">
        <v>1799</v>
      </c>
      <c r="BBY1" t="s">
        <v>1800</v>
      </c>
      <c r="BBZ1" t="s">
        <v>1801</v>
      </c>
      <c r="BCA1" t="s">
        <v>1802</v>
      </c>
      <c r="BCB1" t="s">
        <v>1803</v>
      </c>
      <c r="BCC1" t="s">
        <v>1804</v>
      </c>
      <c r="BCD1" t="s">
        <v>1805</v>
      </c>
      <c r="BCE1" t="s">
        <v>1806</v>
      </c>
      <c r="BCF1" t="s">
        <v>1807</v>
      </c>
      <c r="BCG1" t="s">
        <v>1808</v>
      </c>
      <c r="BCH1" t="s">
        <v>1809</v>
      </c>
      <c r="BCI1" t="s">
        <v>1810</v>
      </c>
      <c r="BCJ1" t="s">
        <v>1811</v>
      </c>
      <c r="BCK1" t="s">
        <v>1812</v>
      </c>
      <c r="BCL1" t="s">
        <v>1813</v>
      </c>
      <c r="BCM1" t="s">
        <v>1814</v>
      </c>
      <c r="BCN1" t="s">
        <v>1815</v>
      </c>
      <c r="BCO1" t="s">
        <v>1816</v>
      </c>
      <c r="BCP1" t="s">
        <v>1817</v>
      </c>
      <c r="BCQ1" t="s">
        <v>1818</v>
      </c>
      <c r="BCR1" t="s">
        <v>1819</v>
      </c>
      <c r="BCS1" t="s">
        <v>1820</v>
      </c>
      <c r="BCT1" t="s">
        <v>1821</v>
      </c>
      <c r="BCU1" t="s">
        <v>1822</v>
      </c>
      <c r="BCV1" t="s">
        <v>1823</v>
      </c>
      <c r="BCW1" t="s">
        <v>1824</v>
      </c>
      <c r="BCX1" t="s">
        <v>1825</v>
      </c>
      <c r="BCY1" t="s">
        <v>1826</v>
      </c>
      <c r="BCZ1" t="s">
        <v>1827</v>
      </c>
      <c r="BDA1" t="s">
        <v>1828</v>
      </c>
      <c r="BDB1" t="s">
        <v>1829</v>
      </c>
      <c r="BDC1" t="s">
        <v>1830</v>
      </c>
      <c r="BDD1" t="s">
        <v>1831</v>
      </c>
      <c r="BDE1" t="s">
        <v>1832</v>
      </c>
      <c r="BDF1" t="s">
        <v>1833</v>
      </c>
      <c r="BDG1" t="s">
        <v>1834</v>
      </c>
      <c r="BDH1" t="s">
        <v>1835</v>
      </c>
      <c r="BDI1" t="s">
        <v>1836</v>
      </c>
      <c r="BDJ1" t="s">
        <v>1837</v>
      </c>
      <c r="BDK1" t="s">
        <v>1838</v>
      </c>
      <c r="BDL1" t="s">
        <v>1839</v>
      </c>
      <c r="BDM1" t="s">
        <v>1840</v>
      </c>
      <c r="BDN1" t="s">
        <v>1841</v>
      </c>
      <c r="BDO1" t="s">
        <v>1842</v>
      </c>
      <c r="BDP1" t="s">
        <v>1843</v>
      </c>
      <c r="BDQ1" t="s">
        <v>1844</v>
      </c>
      <c r="BDR1" t="s">
        <v>1845</v>
      </c>
      <c r="BDS1" t="s">
        <v>1846</v>
      </c>
      <c r="BDT1" t="s">
        <v>1847</v>
      </c>
      <c r="BDU1" t="s">
        <v>1848</v>
      </c>
      <c r="BDV1" t="s">
        <v>1849</v>
      </c>
      <c r="BDW1" t="s">
        <v>1850</v>
      </c>
      <c r="BDX1" t="s">
        <v>1851</v>
      </c>
      <c r="BDY1" t="s">
        <v>1852</v>
      </c>
      <c r="BDZ1" t="s">
        <v>1853</v>
      </c>
      <c r="BEA1" t="s">
        <v>1854</v>
      </c>
      <c r="BEB1" t="s">
        <v>1855</v>
      </c>
      <c r="BEC1" t="s">
        <v>1856</v>
      </c>
      <c r="BED1" t="s">
        <v>1857</v>
      </c>
      <c r="BEE1" t="s">
        <v>1858</v>
      </c>
      <c r="BEF1" t="s">
        <v>1859</v>
      </c>
      <c r="BEG1" t="s">
        <v>1860</v>
      </c>
      <c r="BEH1" t="s">
        <v>1861</v>
      </c>
      <c r="BEI1" t="s">
        <v>1862</v>
      </c>
      <c r="BEJ1" t="s">
        <v>1863</v>
      </c>
      <c r="BEK1" t="s">
        <v>1864</v>
      </c>
      <c r="BEL1" t="s">
        <v>1865</v>
      </c>
      <c r="BEM1" t="s">
        <v>1866</v>
      </c>
      <c r="BEN1" t="s">
        <v>1867</v>
      </c>
      <c r="BEO1" t="s">
        <v>1868</v>
      </c>
      <c r="BEP1" t="s">
        <v>1869</v>
      </c>
      <c r="BEQ1" t="s">
        <v>1870</v>
      </c>
      <c r="BER1" t="s">
        <v>1871</v>
      </c>
      <c r="BES1" t="s">
        <v>1872</v>
      </c>
      <c r="BET1" t="s">
        <v>1873</v>
      </c>
      <c r="BEU1" t="s">
        <v>1874</v>
      </c>
      <c r="BEV1" t="s">
        <v>1875</v>
      </c>
      <c r="BEW1" t="s">
        <v>1876</v>
      </c>
      <c r="BEX1" t="s">
        <v>1877</v>
      </c>
      <c r="BEY1" t="s">
        <v>1878</v>
      </c>
      <c r="BEZ1" t="s">
        <v>1879</v>
      </c>
      <c r="BFA1" t="s">
        <v>1880</v>
      </c>
      <c r="BFB1" t="s">
        <v>1881</v>
      </c>
      <c r="BFC1" t="s">
        <v>1882</v>
      </c>
      <c r="BFD1" t="s">
        <v>1883</v>
      </c>
      <c r="BFE1" t="s">
        <v>1884</v>
      </c>
      <c r="BFF1" t="s">
        <v>1885</v>
      </c>
      <c r="BFG1" t="s">
        <v>1886</v>
      </c>
      <c r="BFH1" t="s">
        <v>1887</v>
      </c>
      <c r="BFI1" t="s">
        <v>1888</v>
      </c>
      <c r="BFJ1" t="s">
        <v>1889</v>
      </c>
      <c r="BFK1" t="s">
        <v>1890</v>
      </c>
      <c r="BFL1" t="s">
        <v>1891</v>
      </c>
      <c r="BFM1" t="s">
        <v>1892</v>
      </c>
      <c r="BFN1" t="s">
        <v>1893</v>
      </c>
      <c r="BFO1" t="s">
        <v>1894</v>
      </c>
      <c r="BFP1" t="s">
        <v>1895</v>
      </c>
      <c r="BFQ1" t="s">
        <v>1896</v>
      </c>
      <c r="BFR1" t="s">
        <v>1897</v>
      </c>
      <c r="BFS1" t="s">
        <v>1898</v>
      </c>
      <c r="BFT1" t="s">
        <v>1899</v>
      </c>
      <c r="BFU1" t="s">
        <v>1900</v>
      </c>
      <c r="BFV1" t="s">
        <v>1901</v>
      </c>
      <c r="BFW1" t="s">
        <v>1902</v>
      </c>
      <c r="BFX1" t="s">
        <v>1903</v>
      </c>
      <c r="BFY1" t="s">
        <v>1904</v>
      </c>
      <c r="BFZ1" t="s">
        <v>1905</v>
      </c>
      <c r="BGA1" t="s">
        <v>1906</v>
      </c>
      <c r="BGB1" t="s">
        <v>1907</v>
      </c>
      <c r="BGC1" t="s">
        <v>1908</v>
      </c>
      <c r="BGD1" t="s">
        <v>1909</v>
      </c>
      <c r="BGE1" t="s">
        <v>1910</v>
      </c>
      <c r="BGF1" t="s">
        <v>1911</v>
      </c>
      <c r="BGG1" t="s">
        <v>1912</v>
      </c>
      <c r="BGH1" t="s">
        <v>1913</v>
      </c>
      <c r="BGI1" t="s">
        <v>1914</v>
      </c>
      <c r="BGJ1" t="s">
        <v>1915</v>
      </c>
      <c r="BGK1" t="s">
        <v>1916</v>
      </c>
      <c r="BGL1" t="s">
        <v>1917</v>
      </c>
      <c r="BGM1" t="s">
        <v>1918</v>
      </c>
      <c r="BGN1" t="s">
        <v>1919</v>
      </c>
      <c r="BGO1" t="s">
        <v>1920</v>
      </c>
      <c r="BGP1" t="s">
        <v>1921</v>
      </c>
      <c r="BGQ1" t="s">
        <v>1922</v>
      </c>
      <c r="BGR1" t="s">
        <v>1923</v>
      </c>
      <c r="BGS1" t="s">
        <v>1924</v>
      </c>
      <c r="BGT1" t="s">
        <v>1925</v>
      </c>
      <c r="BGU1" t="s">
        <v>1926</v>
      </c>
      <c r="BGV1" t="s">
        <v>1927</v>
      </c>
      <c r="BGW1" t="s">
        <v>1928</v>
      </c>
      <c r="BGX1" t="s">
        <v>1929</v>
      </c>
      <c r="BGY1" t="s">
        <v>1930</v>
      </c>
      <c r="BGZ1" t="s">
        <v>1931</v>
      </c>
      <c r="BHA1" t="s">
        <v>1932</v>
      </c>
      <c r="BHB1" t="s">
        <v>1933</v>
      </c>
      <c r="BHC1" t="s">
        <v>1934</v>
      </c>
      <c r="BHD1" t="s">
        <v>1935</v>
      </c>
      <c r="BHE1" t="s">
        <v>1936</v>
      </c>
      <c r="BHF1" t="s">
        <v>1937</v>
      </c>
      <c r="BHG1" t="s">
        <v>1938</v>
      </c>
      <c r="BHH1" t="s">
        <v>1939</v>
      </c>
      <c r="BHI1" t="s">
        <v>1940</v>
      </c>
      <c r="BHJ1" t="s">
        <v>1941</v>
      </c>
      <c r="BHK1" t="s">
        <v>1942</v>
      </c>
      <c r="BHL1" t="s">
        <v>1943</v>
      </c>
      <c r="BHM1" t="s">
        <v>1944</v>
      </c>
      <c r="BHN1" t="s">
        <v>1945</v>
      </c>
      <c r="BHO1" t="s">
        <v>1946</v>
      </c>
      <c r="BHP1" t="s">
        <v>1947</v>
      </c>
      <c r="BHQ1" t="s">
        <v>1948</v>
      </c>
      <c r="BHR1" t="s">
        <v>1949</v>
      </c>
      <c r="BHS1" t="s">
        <v>1950</v>
      </c>
      <c r="BHT1" t="s">
        <v>1951</v>
      </c>
      <c r="BHU1" t="s">
        <v>1952</v>
      </c>
      <c r="BHV1" t="s">
        <v>1953</v>
      </c>
      <c r="BHW1" t="s">
        <v>1954</v>
      </c>
      <c r="BHX1" t="s">
        <v>1955</v>
      </c>
      <c r="BHY1" t="s">
        <v>1956</v>
      </c>
      <c r="BHZ1" t="s">
        <v>1957</v>
      </c>
      <c r="BIA1" t="s">
        <v>1958</v>
      </c>
      <c r="BIB1" t="s">
        <v>1959</v>
      </c>
      <c r="BIC1" t="s">
        <v>1960</v>
      </c>
      <c r="BID1" t="s">
        <v>1961</v>
      </c>
      <c r="BIE1" t="s">
        <v>1962</v>
      </c>
      <c r="BIF1" t="s">
        <v>1963</v>
      </c>
      <c r="BIG1" t="s">
        <v>1964</v>
      </c>
      <c r="BIH1" t="s">
        <v>1965</v>
      </c>
      <c r="BII1" t="s">
        <v>1966</v>
      </c>
      <c r="BIJ1" t="s">
        <v>1967</v>
      </c>
      <c r="BIK1" t="s">
        <v>1968</v>
      </c>
      <c r="BIL1" t="s">
        <v>1969</v>
      </c>
      <c r="BIM1" t="s">
        <v>1970</v>
      </c>
      <c r="BIN1" t="s">
        <v>1971</v>
      </c>
      <c r="BIO1" t="s">
        <v>1972</v>
      </c>
      <c r="BIP1" t="s">
        <v>1973</v>
      </c>
      <c r="BIQ1" t="s">
        <v>1974</v>
      </c>
      <c r="BIR1" t="s">
        <v>1975</v>
      </c>
      <c r="BIS1" t="s">
        <v>1976</v>
      </c>
      <c r="BIT1" t="s">
        <v>1977</v>
      </c>
      <c r="BIU1" t="s">
        <v>1978</v>
      </c>
      <c r="BIV1" t="s">
        <v>1979</v>
      </c>
      <c r="BIW1" t="s">
        <v>1980</v>
      </c>
      <c r="BIX1" t="s">
        <v>1981</v>
      </c>
      <c r="BIY1" t="s">
        <v>1982</v>
      </c>
      <c r="BIZ1" t="s">
        <v>1983</v>
      </c>
      <c r="BJA1" t="s">
        <v>1984</v>
      </c>
      <c r="BJB1" t="s">
        <v>1985</v>
      </c>
      <c r="BJC1" t="s">
        <v>1986</v>
      </c>
      <c r="BJD1" t="s">
        <v>1987</v>
      </c>
      <c r="BJE1" t="s">
        <v>1988</v>
      </c>
      <c r="BJF1" t="s">
        <v>1989</v>
      </c>
      <c r="BJG1" t="s">
        <v>1990</v>
      </c>
      <c r="BJH1" t="s">
        <v>1991</v>
      </c>
      <c r="BJI1" t="s">
        <v>1992</v>
      </c>
      <c r="BJJ1" t="s">
        <v>1993</v>
      </c>
      <c r="BJK1" t="s">
        <v>1994</v>
      </c>
      <c r="BJL1" t="s">
        <v>1995</v>
      </c>
      <c r="BJM1" t="s">
        <v>1996</v>
      </c>
      <c r="BJN1" t="s">
        <v>1997</v>
      </c>
      <c r="BJO1" t="s">
        <v>1998</v>
      </c>
      <c r="BJP1" t="s">
        <v>1999</v>
      </c>
      <c r="BJQ1" t="s">
        <v>2000</v>
      </c>
      <c r="BJR1" t="s">
        <v>2001</v>
      </c>
      <c r="BJS1" t="s">
        <v>2002</v>
      </c>
      <c r="BJT1" t="s">
        <v>2003</v>
      </c>
      <c r="BJU1" t="s">
        <v>2004</v>
      </c>
      <c r="BJV1" t="s">
        <v>2005</v>
      </c>
      <c r="BJW1" t="s">
        <v>2006</v>
      </c>
      <c r="BJX1" t="s">
        <v>2007</v>
      </c>
      <c r="BJY1" t="s">
        <v>2008</v>
      </c>
      <c r="BJZ1" t="s">
        <v>2009</v>
      </c>
      <c r="BKA1" t="s">
        <v>2010</v>
      </c>
      <c r="BKB1" t="s">
        <v>2011</v>
      </c>
      <c r="BKC1" t="s">
        <v>2012</v>
      </c>
      <c r="BKD1" t="s">
        <v>2013</v>
      </c>
      <c r="BKE1" t="s">
        <v>2014</v>
      </c>
      <c r="BKF1" t="s">
        <v>2015</v>
      </c>
      <c r="BKG1" t="s">
        <v>2016</v>
      </c>
      <c r="BKH1" t="s">
        <v>2017</v>
      </c>
      <c r="BKI1" t="s">
        <v>2018</v>
      </c>
      <c r="BKJ1" t="s">
        <v>2019</v>
      </c>
      <c r="BKK1" t="s">
        <v>2020</v>
      </c>
      <c r="BKL1" t="s">
        <v>2021</v>
      </c>
      <c r="BKM1" t="s">
        <v>2022</v>
      </c>
      <c r="BKN1" t="s">
        <v>2023</v>
      </c>
      <c r="BKO1" t="s">
        <v>2024</v>
      </c>
      <c r="BKP1" t="s">
        <v>2025</v>
      </c>
      <c r="BKQ1" t="s">
        <v>2026</v>
      </c>
      <c r="BKR1" t="s">
        <v>2027</v>
      </c>
      <c r="BKS1" t="s">
        <v>2028</v>
      </c>
      <c r="BKT1" t="s">
        <v>2029</v>
      </c>
      <c r="BKU1" t="s">
        <v>2030</v>
      </c>
      <c r="BKV1" t="s">
        <v>2031</v>
      </c>
      <c r="BKW1" t="s">
        <v>2032</v>
      </c>
      <c r="BKX1" t="s">
        <v>2033</v>
      </c>
      <c r="BKY1" t="s">
        <v>2034</v>
      </c>
      <c r="BKZ1" t="s">
        <v>2035</v>
      </c>
      <c r="BLA1" t="s">
        <v>2036</v>
      </c>
      <c r="BLB1" t="s">
        <v>2037</v>
      </c>
      <c r="BLC1" t="s">
        <v>2038</v>
      </c>
      <c r="BLD1" t="s">
        <v>2039</v>
      </c>
      <c r="BLE1" t="s">
        <v>2040</v>
      </c>
      <c r="BLF1" t="s">
        <v>2041</v>
      </c>
      <c r="BLG1" t="s">
        <v>2042</v>
      </c>
      <c r="BLH1" t="s">
        <v>2043</v>
      </c>
      <c r="BLI1" t="s">
        <v>2044</v>
      </c>
      <c r="BLJ1" t="s">
        <v>2045</v>
      </c>
      <c r="BLK1" t="s">
        <v>2046</v>
      </c>
      <c r="BLL1" t="s">
        <v>2047</v>
      </c>
      <c r="BLM1" t="s">
        <v>2048</v>
      </c>
      <c r="BLN1" t="s">
        <v>2049</v>
      </c>
      <c r="BLO1" t="s">
        <v>2050</v>
      </c>
      <c r="BLP1" t="s">
        <v>2051</v>
      </c>
      <c r="BLQ1" t="s">
        <v>2052</v>
      </c>
      <c r="BLR1" t="s">
        <v>2053</v>
      </c>
      <c r="BLS1" t="s">
        <v>2054</v>
      </c>
      <c r="BLT1" t="s">
        <v>2055</v>
      </c>
      <c r="BLU1" t="s">
        <v>2056</v>
      </c>
      <c r="BLV1" t="s">
        <v>2057</v>
      </c>
      <c r="BLW1" t="s">
        <v>2058</v>
      </c>
      <c r="BLX1" t="s">
        <v>2059</v>
      </c>
      <c r="BLY1" t="s">
        <v>2060</v>
      </c>
      <c r="BLZ1" t="s">
        <v>2061</v>
      </c>
      <c r="BMA1" t="s">
        <v>2062</v>
      </c>
      <c r="BMB1" t="s">
        <v>2063</v>
      </c>
      <c r="BMC1" t="s">
        <v>2064</v>
      </c>
      <c r="BMD1" t="s">
        <v>2065</v>
      </c>
      <c r="BME1" t="s">
        <v>2066</v>
      </c>
      <c r="BMF1" t="s">
        <v>2067</v>
      </c>
      <c r="BMG1" t="s">
        <v>2068</v>
      </c>
      <c r="BMH1" t="s">
        <v>2069</v>
      </c>
      <c r="BMI1" t="s">
        <v>2070</v>
      </c>
      <c r="BMJ1" t="s">
        <v>2071</v>
      </c>
      <c r="BMK1" t="s">
        <v>2072</v>
      </c>
      <c r="BML1" t="s">
        <v>2073</v>
      </c>
      <c r="BMM1" t="s">
        <v>2074</v>
      </c>
      <c r="BMN1" t="s">
        <v>2075</v>
      </c>
      <c r="BMO1" t="s">
        <v>2076</v>
      </c>
      <c r="BMP1" t="s">
        <v>2077</v>
      </c>
      <c r="BMQ1" t="s">
        <v>2078</v>
      </c>
      <c r="BMR1" t="s">
        <v>2079</v>
      </c>
      <c r="BMS1" t="s">
        <v>2080</v>
      </c>
      <c r="BMT1" t="s">
        <v>2081</v>
      </c>
      <c r="BMU1" t="s">
        <v>2082</v>
      </c>
      <c r="BMV1" t="s">
        <v>2083</v>
      </c>
      <c r="BMW1" t="s">
        <v>2084</v>
      </c>
      <c r="BMX1" t="s">
        <v>2085</v>
      </c>
      <c r="BMY1" t="s">
        <v>2086</v>
      </c>
      <c r="BMZ1" t="s">
        <v>2087</v>
      </c>
      <c r="BNA1" t="s">
        <v>2088</v>
      </c>
      <c r="BNB1" t="s">
        <v>2089</v>
      </c>
      <c r="BNC1" t="s">
        <v>2090</v>
      </c>
      <c r="BND1" t="s">
        <v>2091</v>
      </c>
      <c r="BNE1" t="s">
        <v>2092</v>
      </c>
      <c r="BNF1" t="s">
        <v>2093</v>
      </c>
      <c r="BNG1" t="s">
        <v>2094</v>
      </c>
      <c r="BNH1" t="s">
        <v>2095</v>
      </c>
      <c r="BNI1" t="s">
        <v>2096</v>
      </c>
      <c r="BNJ1" t="s">
        <v>2097</v>
      </c>
      <c r="BNK1" t="s">
        <v>2098</v>
      </c>
      <c r="BNL1" t="s">
        <v>2099</v>
      </c>
      <c r="BNM1" t="s">
        <v>2100</v>
      </c>
      <c r="BNN1" t="s">
        <v>2101</v>
      </c>
      <c r="BNO1" t="s">
        <v>2102</v>
      </c>
      <c r="BNP1" t="s">
        <v>2103</v>
      </c>
      <c r="BNQ1" t="s">
        <v>2104</v>
      </c>
      <c r="BNR1" t="s">
        <v>2105</v>
      </c>
      <c r="BNS1" t="s">
        <v>2106</v>
      </c>
      <c r="BNT1" t="s">
        <v>2107</v>
      </c>
      <c r="BNU1" t="s">
        <v>2108</v>
      </c>
      <c r="BNV1" t="s">
        <v>2109</v>
      </c>
      <c r="BNW1" t="s">
        <v>2110</v>
      </c>
      <c r="BNX1" t="s">
        <v>2111</v>
      </c>
      <c r="BNY1" t="s">
        <v>2112</v>
      </c>
      <c r="BNZ1" t="s">
        <v>2113</v>
      </c>
      <c r="BOA1" t="s">
        <v>2114</v>
      </c>
      <c r="BOB1" t="s">
        <v>2115</v>
      </c>
      <c r="BOC1" t="s">
        <v>2116</v>
      </c>
      <c r="BOD1" t="s">
        <v>2117</v>
      </c>
      <c r="BOE1" t="s">
        <v>2118</v>
      </c>
      <c r="BOF1" t="s">
        <v>2119</v>
      </c>
      <c r="BOG1" t="s">
        <v>2120</v>
      </c>
      <c r="BOH1" t="s">
        <v>2121</v>
      </c>
      <c r="BOI1" t="s">
        <v>2122</v>
      </c>
      <c r="BOJ1" t="s">
        <v>2123</v>
      </c>
      <c r="BOK1" t="s">
        <v>2124</v>
      </c>
      <c r="BOL1" t="s">
        <v>2125</v>
      </c>
      <c r="BOM1" t="s">
        <v>2126</v>
      </c>
      <c r="BON1" t="s">
        <v>2127</v>
      </c>
      <c r="BOO1" t="s">
        <v>2128</v>
      </c>
      <c r="BOP1" t="s">
        <v>2129</v>
      </c>
      <c r="BOQ1" t="s">
        <v>2130</v>
      </c>
      <c r="BOR1" t="s">
        <v>2131</v>
      </c>
      <c r="BOS1" t="s">
        <v>2132</v>
      </c>
      <c r="BOT1" t="s">
        <v>2133</v>
      </c>
      <c r="BOU1" t="s">
        <v>2134</v>
      </c>
      <c r="BOV1" t="s">
        <v>2135</v>
      </c>
      <c r="BOW1" t="s">
        <v>2136</v>
      </c>
      <c r="BOX1" t="s">
        <v>2137</v>
      </c>
      <c r="BOY1" t="s">
        <v>2138</v>
      </c>
      <c r="BOZ1" t="s">
        <v>2139</v>
      </c>
      <c r="BPA1" t="s">
        <v>2140</v>
      </c>
      <c r="BPB1" t="s">
        <v>2141</v>
      </c>
      <c r="BPC1" t="s">
        <v>2142</v>
      </c>
      <c r="BPD1" t="s">
        <v>2143</v>
      </c>
      <c r="BPE1" t="s">
        <v>2144</v>
      </c>
      <c r="BPF1" t="s">
        <v>2145</v>
      </c>
      <c r="BPG1" t="s">
        <v>2146</v>
      </c>
      <c r="BPH1" t="s">
        <v>2147</v>
      </c>
      <c r="BPI1" t="s">
        <v>2148</v>
      </c>
      <c r="BPJ1" t="s">
        <v>2149</v>
      </c>
      <c r="BPK1" t="s">
        <v>2150</v>
      </c>
      <c r="BPL1" t="s">
        <v>2151</v>
      </c>
      <c r="BPM1" t="s">
        <v>2152</v>
      </c>
      <c r="BPN1" t="s">
        <v>2153</v>
      </c>
      <c r="BPO1" t="s">
        <v>2154</v>
      </c>
      <c r="BPP1" t="s">
        <v>2155</v>
      </c>
      <c r="BPQ1" t="s">
        <v>2156</v>
      </c>
      <c r="BPR1" t="s">
        <v>2157</v>
      </c>
      <c r="BPS1" t="s">
        <v>2158</v>
      </c>
      <c r="BPT1" t="s">
        <v>2159</v>
      </c>
      <c r="BPU1" t="s">
        <v>2160</v>
      </c>
      <c r="BPV1" t="s">
        <v>2161</v>
      </c>
      <c r="BPW1" t="s">
        <v>2162</v>
      </c>
      <c r="BPX1" t="s">
        <v>2163</v>
      </c>
      <c r="BPY1" t="s">
        <v>2164</v>
      </c>
      <c r="BPZ1" t="s">
        <v>2165</v>
      </c>
      <c r="BQA1" t="s">
        <v>2166</v>
      </c>
      <c r="BQB1" t="s">
        <v>2167</v>
      </c>
      <c r="BQC1" t="s">
        <v>2168</v>
      </c>
      <c r="BQD1" t="s">
        <v>2169</v>
      </c>
      <c r="BQE1" t="s">
        <v>2170</v>
      </c>
      <c r="BQF1" t="s">
        <v>2171</v>
      </c>
      <c r="BQG1" t="s">
        <v>2172</v>
      </c>
      <c r="BQH1" t="s">
        <v>2173</v>
      </c>
      <c r="BQI1" t="s">
        <v>2174</v>
      </c>
      <c r="BQJ1" t="s">
        <v>2175</v>
      </c>
      <c r="BQK1" t="s">
        <v>2176</v>
      </c>
      <c r="BQL1" t="s">
        <v>2177</v>
      </c>
      <c r="BQM1" t="s">
        <v>2178</v>
      </c>
      <c r="BQN1" t="s">
        <v>2179</v>
      </c>
      <c r="BQO1" t="s">
        <v>2180</v>
      </c>
      <c r="BQP1" t="s">
        <v>2181</v>
      </c>
      <c r="BQQ1" t="s">
        <v>2182</v>
      </c>
      <c r="BQR1" t="s">
        <v>2183</v>
      </c>
      <c r="BQS1" t="s">
        <v>2184</v>
      </c>
      <c r="BQT1" t="s">
        <v>2185</v>
      </c>
      <c r="BQU1" t="s">
        <v>2186</v>
      </c>
      <c r="BQV1" t="s">
        <v>2187</v>
      </c>
      <c r="BQW1" t="s">
        <v>2188</v>
      </c>
      <c r="BQX1" t="s">
        <v>2189</v>
      </c>
      <c r="BQY1" t="s">
        <v>2190</v>
      </c>
      <c r="BQZ1" t="s">
        <v>2191</v>
      </c>
      <c r="BRA1" t="s">
        <v>2192</v>
      </c>
      <c r="BRB1" t="s">
        <v>2193</v>
      </c>
      <c r="BRC1" t="s">
        <v>2194</v>
      </c>
      <c r="BRD1" t="s">
        <v>2195</v>
      </c>
      <c r="BRE1" t="s">
        <v>2196</v>
      </c>
      <c r="BRF1" t="s">
        <v>2197</v>
      </c>
      <c r="BRG1" t="s">
        <v>2198</v>
      </c>
      <c r="BRH1" t="s">
        <v>2199</v>
      </c>
      <c r="BRI1" t="s">
        <v>2200</v>
      </c>
      <c r="BRJ1" t="s">
        <v>2201</v>
      </c>
      <c r="BRK1" t="s">
        <v>2202</v>
      </c>
      <c r="BRL1" t="s">
        <v>2203</v>
      </c>
      <c r="BRM1" t="s">
        <v>2204</v>
      </c>
      <c r="BRN1" t="s">
        <v>2205</v>
      </c>
      <c r="BRO1" t="s">
        <v>2206</v>
      </c>
      <c r="BRP1" t="s">
        <v>2207</v>
      </c>
      <c r="BRQ1" t="s">
        <v>2208</v>
      </c>
      <c r="BRR1" t="s">
        <v>2209</v>
      </c>
      <c r="BRS1" t="s">
        <v>2210</v>
      </c>
      <c r="BRT1" t="s">
        <v>2211</v>
      </c>
      <c r="BRU1" t="s">
        <v>2212</v>
      </c>
      <c r="BRV1" t="s">
        <v>2213</v>
      </c>
      <c r="BRW1" t="s">
        <v>2214</v>
      </c>
      <c r="BRX1" t="s">
        <v>2215</v>
      </c>
      <c r="BRY1" t="s">
        <v>2216</v>
      </c>
      <c r="BRZ1" t="s">
        <v>2217</v>
      </c>
      <c r="BSA1" t="s">
        <v>2218</v>
      </c>
      <c r="BSB1" t="s">
        <v>2219</v>
      </c>
      <c r="BSC1" t="s">
        <v>2220</v>
      </c>
      <c r="BSD1" t="s">
        <v>2221</v>
      </c>
      <c r="BSE1" t="s">
        <v>2222</v>
      </c>
      <c r="BSF1" t="s">
        <v>2223</v>
      </c>
      <c r="BSG1" t="s">
        <v>2224</v>
      </c>
      <c r="BSH1" t="s">
        <v>2225</v>
      </c>
      <c r="BSI1" t="s">
        <v>2226</v>
      </c>
      <c r="BSJ1" t="s">
        <v>2227</v>
      </c>
      <c r="BSK1" t="s">
        <v>2228</v>
      </c>
      <c r="BSL1" t="s">
        <v>2229</v>
      </c>
      <c r="BSM1" t="s">
        <v>2230</v>
      </c>
      <c r="BSN1" t="s">
        <v>2231</v>
      </c>
      <c r="BSO1" t="s">
        <v>2232</v>
      </c>
      <c r="BSP1" t="s">
        <v>2233</v>
      </c>
      <c r="BSQ1" t="s">
        <v>2234</v>
      </c>
      <c r="BSR1" t="s">
        <v>2235</v>
      </c>
      <c r="BSS1" t="s">
        <v>2236</v>
      </c>
      <c r="BST1" t="s">
        <v>2237</v>
      </c>
      <c r="BSU1" t="s">
        <v>2238</v>
      </c>
      <c r="BSV1" t="s">
        <v>2239</v>
      </c>
      <c r="BSW1" t="s">
        <v>2240</v>
      </c>
      <c r="BSX1" t="s">
        <v>2241</v>
      </c>
      <c r="BSY1" t="s">
        <v>2242</v>
      </c>
      <c r="BSZ1" t="s">
        <v>2243</v>
      </c>
      <c r="BTA1" t="s">
        <v>2244</v>
      </c>
      <c r="BTB1" t="s">
        <v>2245</v>
      </c>
      <c r="BTC1" t="s">
        <v>2246</v>
      </c>
      <c r="BTD1" t="s">
        <v>2247</v>
      </c>
      <c r="BTE1" t="s">
        <v>2248</v>
      </c>
      <c r="BTF1" t="s">
        <v>2249</v>
      </c>
      <c r="BTG1" t="s">
        <v>2250</v>
      </c>
      <c r="BTH1" t="s">
        <v>2251</v>
      </c>
      <c r="BTI1" t="s">
        <v>2252</v>
      </c>
      <c r="BTJ1" t="s">
        <v>2253</v>
      </c>
      <c r="BTK1" t="s">
        <v>2254</v>
      </c>
      <c r="BTL1" t="s">
        <v>2255</v>
      </c>
      <c r="BTM1" t="s">
        <v>2256</v>
      </c>
      <c r="BTN1" t="s">
        <v>2257</v>
      </c>
      <c r="BTO1" t="s">
        <v>2258</v>
      </c>
      <c r="BTP1" t="s">
        <v>2259</v>
      </c>
      <c r="BTQ1" t="s">
        <v>2260</v>
      </c>
      <c r="BTR1" t="s">
        <v>2261</v>
      </c>
      <c r="BTS1" t="s">
        <v>2262</v>
      </c>
      <c r="BTT1" t="s">
        <v>2263</v>
      </c>
      <c r="BTU1" t="s">
        <v>2264</v>
      </c>
      <c r="BTV1" t="s">
        <v>2265</v>
      </c>
      <c r="BTW1" t="s">
        <v>2266</v>
      </c>
      <c r="BTX1" t="s">
        <v>2267</v>
      </c>
      <c r="BTY1" t="s">
        <v>2268</v>
      </c>
      <c r="BTZ1" t="s">
        <v>2269</v>
      </c>
      <c r="BUA1" t="s">
        <v>2270</v>
      </c>
      <c r="BUB1" t="s">
        <v>2271</v>
      </c>
      <c r="BUC1" t="s">
        <v>2272</v>
      </c>
      <c r="BUD1" t="s">
        <v>2273</v>
      </c>
      <c r="BUE1" t="s">
        <v>2274</v>
      </c>
      <c r="BUF1" t="s">
        <v>2275</v>
      </c>
      <c r="BUG1" t="s">
        <v>2276</v>
      </c>
      <c r="BUH1" t="s">
        <v>2277</v>
      </c>
      <c r="BUI1" t="s">
        <v>2278</v>
      </c>
      <c r="BUJ1" t="s">
        <v>2279</v>
      </c>
      <c r="BUK1" t="s">
        <v>2280</v>
      </c>
      <c r="BUL1" t="s">
        <v>2281</v>
      </c>
      <c r="BUM1" t="s">
        <v>2282</v>
      </c>
      <c r="BUN1" t="s">
        <v>2283</v>
      </c>
      <c r="BUO1" t="s">
        <v>2284</v>
      </c>
      <c r="BUP1" t="s">
        <v>2285</v>
      </c>
      <c r="BUQ1" t="s">
        <v>2286</v>
      </c>
      <c r="BUR1" t="s">
        <v>2287</v>
      </c>
      <c r="BUS1" t="s">
        <v>2288</v>
      </c>
      <c r="BUT1" t="s">
        <v>2289</v>
      </c>
      <c r="BUU1" t="s">
        <v>2290</v>
      </c>
      <c r="BUV1" t="s">
        <v>2291</v>
      </c>
      <c r="BUW1" t="s">
        <v>2292</v>
      </c>
      <c r="BUX1" t="s">
        <v>2293</v>
      </c>
      <c r="BUY1" t="s">
        <v>2294</v>
      </c>
      <c r="BUZ1" t="s">
        <v>2295</v>
      </c>
      <c r="BVA1" t="s">
        <v>2296</v>
      </c>
      <c r="BVB1" t="s">
        <v>2297</v>
      </c>
      <c r="BVC1" t="s">
        <v>2298</v>
      </c>
      <c r="BVD1" t="s">
        <v>2299</v>
      </c>
      <c r="BVE1" t="s">
        <v>2300</v>
      </c>
      <c r="BVF1" t="s">
        <v>2301</v>
      </c>
      <c r="BVG1" t="s">
        <v>2302</v>
      </c>
      <c r="BVH1" t="s">
        <v>2303</v>
      </c>
      <c r="BVI1" t="s">
        <v>2304</v>
      </c>
      <c r="BVJ1" t="s">
        <v>2305</v>
      </c>
      <c r="BVK1" t="s">
        <v>2306</v>
      </c>
      <c r="BVL1" t="s">
        <v>2307</v>
      </c>
      <c r="BVM1" t="s">
        <v>2308</v>
      </c>
      <c r="BVN1" t="s">
        <v>2309</v>
      </c>
      <c r="BVO1" t="s">
        <v>2310</v>
      </c>
      <c r="BVP1" t="s">
        <v>2311</v>
      </c>
      <c r="BVQ1" t="s">
        <v>2312</v>
      </c>
      <c r="BVR1" t="s">
        <v>2313</v>
      </c>
      <c r="BVS1" t="s">
        <v>2314</v>
      </c>
      <c r="BVT1" t="s">
        <v>2315</v>
      </c>
      <c r="BVU1" t="s">
        <v>2316</v>
      </c>
      <c r="BVV1" t="s">
        <v>2317</v>
      </c>
      <c r="BVW1" t="s">
        <v>2318</v>
      </c>
      <c r="BVX1" t="s">
        <v>2319</v>
      </c>
      <c r="BVY1" t="s">
        <v>2320</v>
      </c>
      <c r="BVZ1" t="s">
        <v>2321</v>
      </c>
      <c r="BWA1" t="s">
        <v>2322</v>
      </c>
      <c r="BWB1" t="s">
        <v>2323</v>
      </c>
      <c r="BWC1" t="s">
        <v>2324</v>
      </c>
      <c r="BWD1" t="s">
        <v>2325</v>
      </c>
      <c r="BWE1" t="s">
        <v>2326</v>
      </c>
      <c r="BWF1" t="s">
        <v>2327</v>
      </c>
      <c r="BWG1" t="s">
        <v>2328</v>
      </c>
      <c r="BWH1" t="s">
        <v>2329</v>
      </c>
      <c r="BWI1" t="s">
        <v>2330</v>
      </c>
      <c r="BWJ1" t="s">
        <v>2331</v>
      </c>
      <c r="BWK1" t="s">
        <v>2332</v>
      </c>
      <c r="BWL1" t="s">
        <v>2333</v>
      </c>
      <c r="BWM1" t="s">
        <v>2334</v>
      </c>
      <c r="BWN1" t="s">
        <v>2335</v>
      </c>
      <c r="BWO1" t="s">
        <v>2336</v>
      </c>
      <c r="BWP1" t="s">
        <v>2337</v>
      </c>
      <c r="BWQ1" t="s">
        <v>2338</v>
      </c>
      <c r="BWR1" t="s">
        <v>2339</v>
      </c>
      <c r="BWS1" t="s">
        <v>2340</v>
      </c>
      <c r="BWT1" t="s">
        <v>2341</v>
      </c>
      <c r="BWU1" t="s">
        <v>2342</v>
      </c>
      <c r="BWV1" t="s">
        <v>2343</v>
      </c>
      <c r="BWW1" t="s">
        <v>2344</v>
      </c>
      <c r="BWX1" t="s">
        <v>2345</v>
      </c>
      <c r="BWY1" t="s">
        <v>2346</v>
      </c>
      <c r="BWZ1" t="s">
        <v>2347</v>
      </c>
      <c r="BXA1" t="s">
        <v>2348</v>
      </c>
      <c r="BXB1" t="s">
        <v>2349</v>
      </c>
      <c r="BXC1" t="s">
        <v>2350</v>
      </c>
      <c r="BXD1" t="s">
        <v>2351</v>
      </c>
      <c r="BXE1" t="s">
        <v>2352</v>
      </c>
      <c r="BXF1" t="s">
        <v>2353</v>
      </c>
      <c r="BXG1" t="s">
        <v>2354</v>
      </c>
      <c r="BXH1" t="s">
        <v>2355</v>
      </c>
      <c r="BXI1" t="s">
        <v>2356</v>
      </c>
      <c r="BXJ1" t="s">
        <v>2357</v>
      </c>
      <c r="BXK1" t="s">
        <v>2358</v>
      </c>
      <c r="BXL1" t="s">
        <v>2359</v>
      </c>
      <c r="BXM1" t="s">
        <v>2360</v>
      </c>
      <c r="BXN1" t="s">
        <v>2361</v>
      </c>
      <c r="BXO1" t="s">
        <v>2362</v>
      </c>
      <c r="BXP1" t="s">
        <v>2363</v>
      </c>
      <c r="BXQ1" t="s">
        <v>2364</v>
      </c>
      <c r="BXR1" t="s">
        <v>2365</v>
      </c>
      <c r="BXS1" t="s">
        <v>2366</v>
      </c>
      <c r="BXT1" t="s">
        <v>2367</v>
      </c>
      <c r="BXU1" t="s">
        <v>2368</v>
      </c>
      <c r="BXV1" t="s">
        <v>2369</v>
      </c>
      <c r="BXW1" t="s">
        <v>2370</v>
      </c>
      <c r="BXX1" t="s">
        <v>2371</v>
      </c>
      <c r="BXY1" t="s">
        <v>2372</v>
      </c>
      <c r="BXZ1" t="s">
        <v>2373</v>
      </c>
      <c r="BYA1" t="s">
        <v>2374</v>
      </c>
      <c r="BYB1" t="s">
        <v>2375</v>
      </c>
      <c r="BYC1" t="s">
        <v>2376</v>
      </c>
      <c r="BYD1" t="s">
        <v>2377</v>
      </c>
      <c r="BYE1" t="s">
        <v>2378</v>
      </c>
      <c r="BYF1" t="s">
        <v>2379</v>
      </c>
      <c r="BYG1" t="s">
        <v>2380</v>
      </c>
      <c r="BYH1" t="s">
        <v>2381</v>
      </c>
      <c r="BYI1" t="s">
        <v>2382</v>
      </c>
      <c r="BYJ1" t="s">
        <v>2383</v>
      </c>
      <c r="BYK1" t="s">
        <v>2384</v>
      </c>
      <c r="BYL1" t="s">
        <v>2385</v>
      </c>
      <c r="BYM1" t="s">
        <v>2386</v>
      </c>
      <c r="BYN1" t="s">
        <v>2387</v>
      </c>
      <c r="BYO1" t="s">
        <v>2388</v>
      </c>
      <c r="BYP1" t="s">
        <v>2389</v>
      </c>
      <c r="BYQ1" t="s">
        <v>2390</v>
      </c>
      <c r="BYR1" t="s">
        <v>2391</v>
      </c>
      <c r="BYS1" t="s">
        <v>2392</v>
      </c>
      <c r="BYT1" t="s">
        <v>2393</v>
      </c>
      <c r="BYU1" t="s">
        <v>2394</v>
      </c>
      <c r="BYV1" t="s">
        <v>2395</v>
      </c>
      <c r="BYW1" t="s">
        <v>2396</v>
      </c>
      <c r="BYX1" t="s">
        <v>2397</v>
      </c>
      <c r="BYY1" t="s">
        <v>2398</v>
      </c>
      <c r="BYZ1" t="s">
        <v>2399</v>
      </c>
      <c r="BZA1" t="s">
        <v>2400</v>
      </c>
      <c r="BZB1" t="s">
        <v>2401</v>
      </c>
      <c r="BZC1" t="s">
        <v>2402</v>
      </c>
      <c r="BZD1" t="s">
        <v>2403</v>
      </c>
      <c r="BZE1" t="s">
        <v>2404</v>
      </c>
      <c r="BZF1" t="s">
        <v>2405</v>
      </c>
      <c r="BZG1" t="s">
        <v>2406</v>
      </c>
      <c r="BZH1" t="s">
        <v>2407</v>
      </c>
      <c r="BZI1" t="s">
        <v>2408</v>
      </c>
      <c r="BZJ1" t="s">
        <v>2409</v>
      </c>
      <c r="BZK1" t="s">
        <v>2410</v>
      </c>
      <c r="BZL1" t="s">
        <v>2411</v>
      </c>
      <c r="BZM1" t="s">
        <v>2412</v>
      </c>
      <c r="BZN1" t="s">
        <v>2413</v>
      </c>
      <c r="BZO1" t="s">
        <v>2414</v>
      </c>
      <c r="BZP1" t="s">
        <v>2415</v>
      </c>
      <c r="BZQ1" t="s">
        <v>2416</v>
      </c>
      <c r="BZR1" t="s">
        <v>2417</v>
      </c>
      <c r="BZS1" t="s">
        <v>2418</v>
      </c>
      <c r="BZT1" t="s">
        <v>2419</v>
      </c>
      <c r="BZU1" t="s">
        <v>2420</v>
      </c>
      <c r="BZV1" t="s">
        <v>2421</v>
      </c>
      <c r="BZW1" t="s">
        <v>2422</v>
      </c>
      <c r="BZX1" t="s">
        <v>2423</v>
      </c>
      <c r="BZY1" t="s">
        <v>2424</v>
      </c>
      <c r="BZZ1" t="s">
        <v>2425</v>
      </c>
      <c r="CAA1" t="s">
        <v>2426</v>
      </c>
      <c r="CAB1" t="s">
        <v>2427</v>
      </c>
      <c r="CAC1" t="s">
        <v>2428</v>
      </c>
      <c r="CAD1" t="s">
        <v>2429</v>
      </c>
      <c r="CAE1" t="s">
        <v>2430</v>
      </c>
      <c r="CAF1" t="s">
        <v>2431</v>
      </c>
      <c r="CAG1" t="s">
        <v>2432</v>
      </c>
      <c r="CAH1" t="s">
        <v>2433</v>
      </c>
      <c r="CAI1" t="s">
        <v>2434</v>
      </c>
      <c r="CAJ1" t="s">
        <v>2435</v>
      </c>
      <c r="CAK1" t="s">
        <v>2436</v>
      </c>
      <c r="CAL1" t="s">
        <v>2437</v>
      </c>
      <c r="CAM1" t="s">
        <v>2438</v>
      </c>
      <c r="CAN1" t="s">
        <v>2439</v>
      </c>
      <c r="CAO1" t="s">
        <v>2440</v>
      </c>
      <c r="CAP1" t="s">
        <v>2441</v>
      </c>
      <c r="CAQ1" t="s">
        <v>2442</v>
      </c>
      <c r="CAR1" t="s">
        <v>2443</v>
      </c>
      <c r="CAS1" t="s">
        <v>2444</v>
      </c>
      <c r="CAT1" t="s">
        <v>2445</v>
      </c>
      <c r="CAU1" t="s">
        <v>2446</v>
      </c>
      <c r="CAV1" t="s">
        <v>2447</v>
      </c>
      <c r="CAW1" t="s">
        <v>2448</v>
      </c>
      <c r="CAX1" t="s">
        <v>2449</v>
      </c>
      <c r="CAY1" t="s">
        <v>2450</v>
      </c>
      <c r="CAZ1" t="s">
        <v>2451</v>
      </c>
      <c r="CBA1" t="s">
        <v>2452</v>
      </c>
      <c r="CBB1" t="s">
        <v>2453</v>
      </c>
      <c r="CBC1" t="s">
        <v>2454</v>
      </c>
      <c r="CBD1" t="s">
        <v>2455</v>
      </c>
      <c r="CBE1" t="s">
        <v>2456</v>
      </c>
      <c r="CBF1" t="s">
        <v>2457</v>
      </c>
      <c r="CBG1" t="s">
        <v>2458</v>
      </c>
      <c r="CBH1" t="s">
        <v>2459</v>
      </c>
      <c r="CBI1" t="s">
        <v>2460</v>
      </c>
      <c r="CBJ1" t="s">
        <v>2461</v>
      </c>
      <c r="CBK1" t="s">
        <v>2462</v>
      </c>
      <c r="CBL1" t="s">
        <v>2463</v>
      </c>
      <c r="CBM1" t="s">
        <v>2464</v>
      </c>
      <c r="CBN1" t="s">
        <v>2465</v>
      </c>
      <c r="CBO1" t="s">
        <v>2466</v>
      </c>
      <c r="CBP1" t="s">
        <v>2467</v>
      </c>
      <c r="CBQ1" t="s">
        <v>2468</v>
      </c>
      <c r="CBR1" t="s">
        <v>2469</v>
      </c>
      <c r="CBS1" t="s">
        <v>2470</v>
      </c>
      <c r="CBT1" t="s">
        <v>2471</v>
      </c>
      <c r="CBU1" t="s">
        <v>2472</v>
      </c>
      <c r="CBV1" t="s">
        <v>2473</v>
      </c>
      <c r="CBW1" t="s">
        <v>2474</v>
      </c>
      <c r="CBX1" t="s">
        <v>2475</v>
      </c>
      <c r="CBY1" t="s">
        <v>2476</v>
      </c>
      <c r="CBZ1" t="s">
        <v>2477</v>
      </c>
      <c r="CCA1" t="s">
        <v>2478</v>
      </c>
      <c r="CCB1" t="s">
        <v>2479</v>
      </c>
      <c r="CCC1" t="s">
        <v>2480</v>
      </c>
      <c r="CCD1" t="s">
        <v>2481</v>
      </c>
      <c r="CCE1" t="s">
        <v>2482</v>
      </c>
      <c r="CCF1" t="s">
        <v>2483</v>
      </c>
      <c r="CCG1" t="s">
        <v>2484</v>
      </c>
      <c r="CCH1" t="s">
        <v>2485</v>
      </c>
      <c r="CCI1" t="s">
        <v>2486</v>
      </c>
      <c r="CCJ1" t="s">
        <v>2487</v>
      </c>
      <c r="CCK1" t="s">
        <v>2488</v>
      </c>
      <c r="CCL1" t="s">
        <v>2489</v>
      </c>
      <c r="CCM1" t="s">
        <v>2490</v>
      </c>
      <c r="CCN1" t="s">
        <v>2491</v>
      </c>
      <c r="CCO1" t="s">
        <v>2492</v>
      </c>
      <c r="CCP1" t="s">
        <v>2493</v>
      </c>
      <c r="CCQ1" t="s">
        <v>2494</v>
      </c>
      <c r="CCR1" t="s">
        <v>2495</v>
      </c>
      <c r="CCS1" t="s">
        <v>2496</v>
      </c>
      <c r="CCT1" t="s">
        <v>2497</v>
      </c>
      <c r="CCU1" t="s">
        <v>2498</v>
      </c>
      <c r="CCV1" t="s">
        <v>2499</v>
      </c>
      <c r="CCW1" t="s">
        <v>2500</v>
      </c>
      <c r="CCX1" t="s">
        <v>2501</v>
      </c>
      <c r="CCY1" t="s">
        <v>2502</v>
      </c>
      <c r="CCZ1" t="s">
        <v>2503</v>
      </c>
      <c r="CDA1" t="s">
        <v>2504</v>
      </c>
      <c r="CDB1" t="s">
        <v>2505</v>
      </c>
      <c r="CDC1" t="s">
        <v>2506</v>
      </c>
      <c r="CDD1" t="s">
        <v>2507</v>
      </c>
      <c r="CDE1" t="s">
        <v>2508</v>
      </c>
      <c r="CDF1" t="s">
        <v>2509</v>
      </c>
      <c r="CDG1" t="s">
        <v>2510</v>
      </c>
      <c r="CDH1" t="s">
        <v>2511</v>
      </c>
      <c r="CDI1" t="s">
        <v>2512</v>
      </c>
      <c r="CDJ1" t="s">
        <v>2513</v>
      </c>
      <c r="CDK1" t="s">
        <v>2514</v>
      </c>
      <c r="CDL1" t="s">
        <v>2515</v>
      </c>
      <c r="CDM1" t="s">
        <v>2516</v>
      </c>
      <c r="CDN1" t="s">
        <v>2517</v>
      </c>
      <c r="CDO1" t="s">
        <v>2518</v>
      </c>
      <c r="CDP1" t="s">
        <v>2519</v>
      </c>
      <c r="CDQ1" t="s">
        <v>2520</v>
      </c>
      <c r="CDR1" t="s">
        <v>2521</v>
      </c>
      <c r="CDS1" t="s">
        <v>2522</v>
      </c>
      <c r="CDT1" t="s">
        <v>2523</v>
      </c>
      <c r="CDU1" t="s">
        <v>2524</v>
      </c>
      <c r="CDV1" t="s">
        <v>2525</v>
      </c>
      <c r="CDW1" t="s">
        <v>2526</v>
      </c>
      <c r="CDX1" t="s">
        <v>2527</v>
      </c>
      <c r="CDY1" t="s">
        <v>2528</v>
      </c>
      <c r="CDZ1" t="s">
        <v>2529</v>
      </c>
      <c r="CEA1" t="s">
        <v>2530</v>
      </c>
      <c r="CEB1" t="s">
        <v>2531</v>
      </c>
      <c r="CEC1" t="s">
        <v>2532</v>
      </c>
      <c r="CED1" t="s">
        <v>2533</v>
      </c>
      <c r="CEE1" t="s">
        <v>2534</v>
      </c>
      <c r="CEF1" t="s">
        <v>2535</v>
      </c>
      <c r="CEG1" t="s">
        <v>2536</v>
      </c>
      <c r="CEH1" t="s">
        <v>2537</v>
      </c>
      <c r="CEI1" t="s">
        <v>2538</v>
      </c>
      <c r="CEJ1" t="s">
        <v>2539</v>
      </c>
      <c r="CEK1" t="s">
        <v>2540</v>
      </c>
      <c r="CEL1" t="s">
        <v>2541</v>
      </c>
      <c r="CEM1" t="s">
        <v>2542</v>
      </c>
      <c r="CEN1" t="s">
        <v>2543</v>
      </c>
      <c r="CEO1" t="s">
        <v>2544</v>
      </c>
      <c r="CEP1" t="s">
        <v>2545</v>
      </c>
      <c r="CEQ1" t="s">
        <v>2546</v>
      </c>
      <c r="CER1" t="s">
        <v>2547</v>
      </c>
      <c r="CES1" t="s">
        <v>2548</v>
      </c>
      <c r="CET1" t="s">
        <v>2549</v>
      </c>
      <c r="CEU1" t="s">
        <v>2550</v>
      </c>
      <c r="CEV1" t="s">
        <v>2551</v>
      </c>
      <c r="CEW1" t="s">
        <v>2552</v>
      </c>
      <c r="CEX1" t="s">
        <v>2553</v>
      </c>
      <c r="CEY1" t="s">
        <v>2554</v>
      </c>
      <c r="CEZ1" t="s">
        <v>2555</v>
      </c>
      <c r="CFA1" t="s">
        <v>2556</v>
      </c>
      <c r="CFB1" t="s">
        <v>2557</v>
      </c>
      <c r="CFC1" t="s">
        <v>2558</v>
      </c>
      <c r="CFD1" t="s">
        <v>2559</v>
      </c>
      <c r="CFE1" t="s">
        <v>2560</v>
      </c>
      <c r="CFF1" t="s">
        <v>2561</v>
      </c>
      <c r="CFG1" t="s">
        <v>2562</v>
      </c>
      <c r="CFH1" t="s">
        <v>2563</v>
      </c>
      <c r="CFI1" t="s">
        <v>2564</v>
      </c>
      <c r="CFJ1" t="s">
        <v>2565</v>
      </c>
      <c r="CFK1" t="s">
        <v>2566</v>
      </c>
      <c r="CFL1" t="s">
        <v>2567</v>
      </c>
      <c r="CFM1" t="s">
        <v>2568</v>
      </c>
      <c r="CFN1" t="s">
        <v>2569</v>
      </c>
      <c r="CFO1" t="s">
        <v>2570</v>
      </c>
      <c r="CFP1" t="s">
        <v>2571</v>
      </c>
      <c r="CFQ1" t="s">
        <v>2572</v>
      </c>
      <c r="CFR1" t="s">
        <v>2573</v>
      </c>
      <c r="CFS1" t="s">
        <v>2574</v>
      </c>
      <c r="CFT1" t="s">
        <v>2575</v>
      </c>
      <c r="CFU1" t="s">
        <v>2576</v>
      </c>
      <c r="CFV1" t="s">
        <v>2577</v>
      </c>
      <c r="CFW1" t="s">
        <v>2578</v>
      </c>
      <c r="CFX1" t="s">
        <v>2579</v>
      </c>
      <c r="CFY1" t="s">
        <v>2580</v>
      </c>
      <c r="CFZ1" t="s">
        <v>2581</v>
      </c>
      <c r="CGA1" t="s">
        <v>2582</v>
      </c>
      <c r="CGB1" t="s">
        <v>2583</v>
      </c>
      <c r="CGC1" t="s">
        <v>2584</v>
      </c>
      <c r="CGD1" t="s">
        <v>2585</v>
      </c>
      <c r="CGE1" t="s">
        <v>2586</v>
      </c>
      <c r="CGF1" t="s">
        <v>2587</v>
      </c>
      <c r="CGG1" t="s">
        <v>2588</v>
      </c>
      <c r="CGH1" t="s">
        <v>2589</v>
      </c>
      <c r="CGI1" t="s">
        <v>2590</v>
      </c>
      <c r="CGJ1" t="s">
        <v>2591</v>
      </c>
      <c r="CGK1" t="s">
        <v>2592</v>
      </c>
      <c r="CGL1" t="s">
        <v>2593</v>
      </c>
      <c r="CGM1" t="s">
        <v>2594</v>
      </c>
      <c r="CGN1" t="s">
        <v>2595</v>
      </c>
      <c r="CGO1" t="s">
        <v>2596</v>
      </c>
      <c r="CGP1" t="s">
        <v>2597</v>
      </c>
      <c r="CGQ1" t="s">
        <v>2598</v>
      </c>
      <c r="CGR1" t="s">
        <v>2599</v>
      </c>
      <c r="CGS1" t="s">
        <v>2600</v>
      </c>
      <c r="CGT1" t="s">
        <v>2601</v>
      </c>
      <c r="CGU1" t="s">
        <v>2602</v>
      </c>
      <c r="CGV1" t="s">
        <v>2603</v>
      </c>
      <c r="CGW1" t="s">
        <v>2604</v>
      </c>
      <c r="CGX1" t="s">
        <v>2605</v>
      </c>
      <c r="CGY1" t="s">
        <v>2606</v>
      </c>
      <c r="CGZ1" t="s">
        <v>2607</v>
      </c>
      <c r="CHA1" t="s">
        <v>2608</v>
      </c>
      <c r="CHB1" t="s">
        <v>2609</v>
      </c>
      <c r="CHC1" t="s">
        <v>2610</v>
      </c>
      <c r="CHD1" t="s">
        <v>2611</v>
      </c>
      <c r="CHE1" t="s">
        <v>2612</v>
      </c>
      <c r="CHF1" t="s">
        <v>2613</v>
      </c>
      <c r="CHG1" t="s">
        <v>2614</v>
      </c>
      <c r="CHH1" t="s">
        <v>2615</v>
      </c>
      <c r="CHI1" t="s">
        <v>2616</v>
      </c>
      <c r="CHJ1" t="s">
        <v>2617</v>
      </c>
      <c r="CHK1" t="s">
        <v>2618</v>
      </c>
      <c r="CHL1" t="s">
        <v>2619</v>
      </c>
      <c r="CHM1" t="s">
        <v>2620</v>
      </c>
      <c r="CHN1" t="s">
        <v>2621</v>
      </c>
      <c r="CHO1" t="s">
        <v>2622</v>
      </c>
      <c r="CHP1" t="s">
        <v>2623</v>
      </c>
      <c r="CHQ1" t="s">
        <v>2624</v>
      </c>
      <c r="CHR1" t="s">
        <v>2625</v>
      </c>
      <c r="CHS1" t="s">
        <v>2626</v>
      </c>
      <c r="CHT1" t="s">
        <v>2627</v>
      </c>
      <c r="CHU1" t="s">
        <v>2628</v>
      </c>
      <c r="CHV1" t="s">
        <v>2629</v>
      </c>
      <c r="CHW1" t="s">
        <v>2630</v>
      </c>
      <c r="CHX1" t="s">
        <v>2631</v>
      </c>
      <c r="CHY1" t="s">
        <v>2632</v>
      </c>
      <c r="CHZ1" t="s">
        <v>2633</v>
      </c>
      <c r="CIA1" t="s">
        <v>2634</v>
      </c>
      <c r="CIB1" t="s">
        <v>2635</v>
      </c>
      <c r="CIC1" t="s">
        <v>2636</v>
      </c>
      <c r="CID1" t="s">
        <v>2637</v>
      </c>
      <c r="CIE1" t="s">
        <v>2638</v>
      </c>
      <c r="CIF1" t="s">
        <v>2639</v>
      </c>
      <c r="CIG1" t="s">
        <v>2640</v>
      </c>
      <c r="CIH1" t="s">
        <v>2641</v>
      </c>
      <c r="CII1" t="s">
        <v>2642</v>
      </c>
      <c r="CIJ1" t="s">
        <v>2643</v>
      </c>
      <c r="CIK1" t="s">
        <v>2644</v>
      </c>
      <c r="CIL1" t="s">
        <v>2645</v>
      </c>
      <c r="CIM1" t="s">
        <v>2646</v>
      </c>
      <c r="CIN1" t="s">
        <v>2647</v>
      </c>
      <c r="CIO1" t="s">
        <v>2648</v>
      </c>
      <c r="CIP1" t="s">
        <v>2649</v>
      </c>
      <c r="CIQ1" t="s">
        <v>2650</v>
      </c>
      <c r="CIR1" t="s">
        <v>2651</v>
      </c>
      <c r="CIS1" t="s">
        <v>2652</v>
      </c>
      <c r="CIT1" t="s">
        <v>2653</v>
      </c>
      <c r="CIU1" t="s">
        <v>2654</v>
      </c>
      <c r="CIV1" t="s">
        <v>2655</v>
      </c>
      <c r="CIW1" t="s">
        <v>2656</v>
      </c>
      <c r="CIX1" t="s">
        <v>2657</v>
      </c>
      <c r="CIY1" t="s">
        <v>2658</v>
      </c>
      <c r="CIZ1" t="s">
        <v>2659</v>
      </c>
      <c r="CJA1" t="s">
        <v>2660</v>
      </c>
      <c r="CJB1" t="s">
        <v>2661</v>
      </c>
      <c r="CJC1" t="s">
        <v>2662</v>
      </c>
      <c r="CJD1" t="s">
        <v>2663</v>
      </c>
      <c r="CJE1" t="s">
        <v>2664</v>
      </c>
      <c r="CJF1" t="s">
        <v>2665</v>
      </c>
      <c r="CJG1" t="s">
        <v>2666</v>
      </c>
      <c r="CJH1" t="s">
        <v>2667</v>
      </c>
      <c r="CJI1" t="s">
        <v>2668</v>
      </c>
      <c r="CJJ1" t="s">
        <v>2669</v>
      </c>
      <c r="CJK1" t="s">
        <v>2670</v>
      </c>
      <c r="CJL1" t="s">
        <v>2671</v>
      </c>
      <c r="CJM1" t="s">
        <v>2672</v>
      </c>
      <c r="CJN1" t="s">
        <v>2673</v>
      </c>
      <c r="CJO1" t="s">
        <v>2674</v>
      </c>
      <c r="CJP1" t="s">
        <v>2675</v>
      </c>
      <c r="CJQ1" t="s">
        <v>2676</v>
      </c>
      <c r="CJR1" t="s">
        <v>2677</v>
      </c>
      <c r="CJS1" t="s">
        <v>2678</v>
      </c>
      <c r="CJT1" t="s">
        <v>2679</v>
      </c>
      <c r="CJU1" t="s">
        <v>2680</v>
      </c>
      <c r="CJV1" t="s">
        <v>2681</v>
      </c>
      <c r="CJW1" t="s">
        <v>2682</v>
      </c>
      <c r="CJX1" t="s">
        <v>2683</v>
      </c>
      <c r="CJY1" t="s">
        <v>2684</v>
      </c>
      <c r="CJZ1" t="s">
        <v>2685</v>
      </c>
      <c r="CKA1" t="s">
        <v>2686</v>
      </c>
      <c r="CKB1" t="s">
        <v>2687</v>
      </c>
      <c r="CKC1" t="s">
        <v>2688</v>
      </c>
      <c r="CKD1" t="s">
        <v>2689</v>
      </c>
      <c r="CKE1" t="s">
        <v>2690</v>
      </c>
      <c r="CKF1" t="s">
        <v>2691</v>
      </c>
      <c r="CKG1" t="s">
        <v>2692</v>
      </c>
      <c r="CKH1" t="s">
        <v>2693</v>
      </c>
      <c r="CKI1" t="s">
        <v>2694</v>
      </c>
      <c r="CKJ1" t="s">
        <v>2695</v>
      </c>
      <c r="CKK1" t="s">
        <v>2696</v>
      </c>
      <c r="CKL1" t="s">
        <v>2697</v>
      </c>
      <c r="CKM1" t="s">
        <v>2698</v>
      </c>
      <c r="CKN1" t="s">
        <v>2699</v>
      </c>
      <c r="CKO1" t="s">
        <v>2700</v>
      </c>
      <c r="CKP1" t="s">
        <v>2701</v>
      </c>
      <c r="CKQ1" t="s">
        <v>2702</v>
      </c>
      <c r="CKR1" t="s">
        <v>2703</v>
      </c>
      <c r="CKS1" t="s">
        <v>2704</v>
      </c>
      <c r="CKT1" t="s">
        <v>2705</v>
      </c>
      <c r="CKU1" t="s">
        <v>2706</v>
      </c>
      <c r="CKV1" t="s">
        <v>2707</v>
      </c>
      <c r="CKW1" t="s">
        <v>2708</v>
      </c>
      <c r="CKX1" t="s">
        <v>2709</v>
      </c>
      <c r="CKY1" t="s">
        <v>2710</v>
      </c>
      <c r="CKZ1" t="s">
        <v>2711</v>
      </c>
      <c r="CLA1" t="s">
        <v>2712</v>
      </c>
      <c r="CLB1" t="s">
        <v>2713</v>
      </c>
      <c r="CLC1" t="s">
        <v>2714</v>
      </c>
      <c r="CLD1" t="s">
        <v>2715</v>
      </c>
      <c r="CLE1" t="s">
        <v>2716</v>
      </c>
      <c r="CLF1" t="s">
        <v>2717</v>
      </c>
      <c r="CLG1" t="s">
        <v>2718</v>
      </c>
      <c r="CLH1" t="s">
        <v>2719</v>
      </c>
      <c r="CLI1" t="s">
        <v>2720</v>
      </c>
      <c r="CLJ1" t="s">
        <v>2721</v>
      </c>
      <c r="CLK1" t="s">
        <v>2722</v>
      </c>
      <c r="CLL1" t="s">
        <v>2723</v>
      </c>
      <c r="CLM1" t="s">
        <v>2724</v>
      </c>
      <c r="CLN1" t="s">
        <v>2725</v>
      </c>
      <c r="CLO1" t="s">
        <v>2726</v>
      </c>
      <c r="CLP1" t="s">
        <v>2727</v>
      </c>
      <c r="CLQ1" t="s">
        <v>2728</v>
      </c>
      <c r="CLR1" t="s">
        <v>2729</v>
      </c>
      <c r="CLS1" t="s">
        <v>2730</v>
      </c>
      <c r="CLT1" t="s">
        <v>2731</v>
      </c>
      <c r="CLU1" t="s">
        <v>2732</v>
      </c>
      <c r="CLV1" t="s">
        <v>2733</v>
      </c>
      <c r="CLW1" t="s">
        <v>2734</v>
      </c>
      <c r="CLX1" t="s">
        <v>2735</v>
      </c>
      <c r="CLY1" t="s">
        <v>2736</v>
      </c>
      <c r="CLZ1" t="s">
        <v>2737</v>
      </c>
      <c r="CMA1" t="s">
        <v>2738</v>
      </c>
      <c r="CMB1" t="s">
        <v>2739</v>
      </c>
      <c r="CMC1" t="s">
        <v>2740</v>
      </c>
      <c r="CMD1" t="s">
        <v>2741</v>
      </c>
      <c r="CME1" t="s">
        <v>2742</v>
      </c>
      <c r="CMF1" t="s">
        <v>2743</v>
      </c>
      <c r="CMG1" t="s">
        <v>2744</v>
      </c>
      <c r="CMH1" t="s">
        <v>2745</v>
      </c>
      <c r="CMI1" t="s">
        <v>2746</v>
      </c>
      <c r="CMJ1" t="s">
        <v>2747</v>
      </c>
      <c r="CMK1" t="s">
        <v>2748</v>
      </c>
      <c r="CML1" t="s">
        <v>2749</v>
      </c>
      <c r="CMM1" t="s">
        <v>2750</v>
      </c>
      <c r="CMN1" t="s">
        <v>2751</v>
      </c>
      <c r="CMO1" t="s">
        <v>2752</v>
      </c>
      <c r="CMP1" t="s">
        <v>2753</v>
      </c>
      <c r="CMQ1" t="s">
        <v>2754</v>
      </c>
      <c r="CMR1" t="s">
        <v>2755</v>
      </c>
      <c r="CMS1" t="s">
        <v>2756</v>
      </c>
      <c r="CMT1" t="s">
        <v>2757</v>
      </c>
      <c r="CMU1" t="s">
        <v>2758</v>
      </c>
      <c r="CMV1" t="s">
        <v>2759</v>
      </c>
      <c r="CMW1" t="s">
        <v>2760</v>
      </c>
      <c r="CMX1" t="s">
        <v>2761</v>
      </c>
      <c r="CMY1" t="s">
        <v>2762</v>
      </c>
      <c r="CMZ1" t="s">
        <v>2763</v>
      </c>
      <c r="CNA1" t="s">
        <v>2764</v>
      </c>
      <c r="CNB1" t="s">
        <v>2765</v>
      </c>
      <c r="CNC1" t="s">
        <v>2766</v>
      </c>
      <c r="CND1" t="s">
        <v>2767</v>
      </c>
      <c r="CNE1" t="s">
        <v>2768</v>
      </c>
      <c r="CNF1" t="s">
        <v>2769</v>
      </c>
      <c r="CNG1" t="s">
        <v>2770</v>
      </c>
      <c r="CNH1" t="s">
        <v>2771</v>
      </c>
      <c r="CNI1" t="s">
        <v>2772</v>
      </c>
      <c r="CNJ1" t="s">
        <v>2773</v>
      </c>
      <c r="CNK1" t="s">
        <v>2774</v>
      </c>
      <c r="CNL1" t="s">
        <v>2775</v>
      </c>
      <c r="CNM1" t="s">
        <v>2776</v>
      </c>
      <c r="CNN1" t="s">
        <v>2777</v>
      </c>
      <c r="CNO1" t="s">
        <v>2778</v>
      </c>
      <c r="CNP1" t="s">
        <v>2779</v>
      </c>
      <c r="CNQ1" t="s">
        <v>2780</v>
      </c>
      <c r="CNR1" t="s">
        <v>2781</v>
      </c>
      <c r="CNS1" t="s">
        <v>2782</v>
      </c>
      <c r="CNT1" t="s">
        <v>2783</v>
      </c>
      <c r="CNU1" t="s">
        <v>2784</v>
      </c>
      <c r="CNV1" t="s">
        <v>2785</v>
      </c>
      <c r="CNW1" t="s">
        <v>2786</v>
      </c>
      <c r="CNX1" t="s">
        <v>2787</v>
      </c>
      <c r="CNY1" t="s">
        <v>2788</v>
      </c>
      <c r="CNZ1" t="s">
        <v>2789</v>
      </c>
      <c r="COA1" t="s">
        <v>2790</v>
      </c>
      <c r="COB1" t="s">
        <v>2791</v>
      </c>
      <c r="COC1" t="s">
        <v>2792</v>
      </c>
      <c r="COD1" t="s">
        <v>2793</v>
      </c>
      <c r="COE1" t="s">
        <v>2794</v>
      </c>
      <c r="COF1" t="s">
        <v>2795</v>
      </c>
      <c r="COG1" t="s">
        <v>2796</v>
      </c>
      <c r="COH1" t="s">
        <v>2797</v>
      </c>
      <c r="COI1" t="s">
        <v>2798</v>
      </c>
      <c r="COJ1" t="s">
        <v>2799</v>
      </c>
      <c r="COK1" t="s">
        <v>2800</v>
      </c>
      <c r="COL1" t="s">
        <v>2801</v>
      </c>
      <c r="COM1" t="s">
        <v>2802</v>
      </c>
      <c r="CON1" t="s">
        <v>2803</v>
      </c>
      <c r="COO1" t="s">
        <v>2804</v>
      </c>
      <c r="COP1" t="s">
        <v>2805</v>
      </c>
      <c r="COQ1" t="s">
        <v>2806</v>
      </c>
      <c r="COR1" t="s">
        <v>2807</v>
      </c>
      <c r="COS1" t="s">
        <v>2808</v>
      </c>
      <c r="COT1" t="s">
        <v>2809</v>
      </c>
      <c r="COU1" t="s">
        <v>2810</v>
      </c>
      <c r="COV1" t="s">
        <v>2811</v>
      </c>
      <c r="COW1" t="s">
        <v>2812</v>
      </c>
      <c r="COX1" t="s">
        <v>2813</v>
      </c>
      <c r="COY1" t="s">
        <v>2814</v>
      </c>
      <c r="COZ1" t="s">
        <v>2815</v>
      </c>
      <c r="CPA1" t="s">
        <v>2816</v>
      </c>
      <c r="CPB1" t="s">
        <v>2817</v>
      </c>
      <c r="CPC1" t="s">
        <v>2818</v>
      </c>
      <c r="CPD1" t="s">
        <v>2819</v>
      </c>
      <c r="CPE1" t="s">
        <v>2820</v>
      </c>
      <c r="CPF1" t="s">
        <v>2821</v>
      </c>
      <c r="CPG1" t="s">
        <v>2822</v>
      </c>
      <c r="CPH1" t="s">
        <v>2823</v>
      </c>
      <c r="CPI1" t="s">
        <v>2824</v>
      </c>
      <c r="CPJ1" t="s">
        <v>2825</v>
      </c>
      <c r="CPK1" t="s">
        <v>2826</v>
      </c>
      <c r="CPL1" t="s">
        <v>2827</v>
      </c>
      <c r="CPM1" t="s">
        <v>2828</v>
      </c>
      <c r="CPN1" t="s">
        <v>2829</v>
      </c>
      <c r="CPO1" t="s">
        <v>2830</v>
      </c>
      <c r="CPP1" t="s">
        <v>2831</v>
      </c>
      <c r="CPQ1" t="s">
        <v>2832</v>
      </c>
      <c r="CPR1" t="s">
        <v>2833</v>
      </c>
      <c r="CPS1" t="s">
        <v>2834</v>
      </c>
      <c r="CPT1" t="s">
        <v>2835</v>
      </c>
      <c r="CPU1" t="s">
        <v>2836</v>
      </c>
      <c r="CPV1" t="s">
        <v>2837</v>
      </c>
      <c r="CPW1" t="s">
        <v>2838</v>
      </c>
      <c r="CPX1" t="s">
        <v>2839</v>
      </c>
      <c r="CPY1" t="s">
        <v>2840</v>
      </c>
      <c r="CPZ1" t="s">
        <v>2841</v>
      </c>
      <c r="CQA1" t="s">
        <v>2842</v>
      </c>
      <c r="CQB1" t="s">
        <v>2843</v>
      </c>
      <c r="CQC1" t="s">
        <v>2844</v>
      </c>
      <c r="CQD1" t="s">
        <v>2845</v>
      </c>
      <c r="CQE1" t="s">
        <v>2846</v>
      </c>
      <c r="CQF1" t="s">
        <v>2847</v>
      </c>
      <c r="CQG1" t="s">
        <v>2848</v>
      </c>
      <c r="CQH1" t="s">
        <v>2849</v>
      </c>
      <c r="CQI1" t="s">
        <v>2850</v>
      </c>
      <c r="CQJ1" t="s">
        <v>2851</v>
      </c>
      <c r="CQK1" t="s">
        <v>2852</v>
      </c>
      <c r="CQL1" t="s">
        <v>2853</v>
      </c>
      <c r="CQM1" t="s">
        <v>2854</v>
      </c>
      <c r="CQN1" t="s">
        <v>2855</v>
      </c>
      <c r="CQO1" t="s">
        <v>2856</v>
      </c>
      <c r="CQP1" t="s">
        <v>2857</v>
      </c>
      <c r="CQQ1" t="s">
        <v>2858</v>
      </c>
      <c r="CQR1" t="s">
        <v>2859</v>
      </c>
      <c r="CQS1" t="s">
        <v>2860</v>
      </c>
      <c r="CQT1" t="s">
        <v>2861</v>
      </c>
      <c r="CQU1" t="s">
        <v>2862</v>
      </c>
      <c r="CQV1" t="s">
        <v>2863</v>
      </c>
      <c r="CQW1" t="s">
        <v>2864</v>
      </c>
      <c r="CQX1" t="s">
        <v>2865</v>
      </c>
      <c r="CQY1" t="s">
        <v>2866</v>
      </c>
      <c r="CQZ1" t="s">
        <v>2867</v>
      </c>
      <c r="CRA1" t="s">
        <v>2868</v>
      </c>
      <c r="CRB1" t="s">
        <v>2869</v>
      </c>
      <c r="CRC1" t="s">
        <v>2870</v>
      </c>
      <c r="CRD1" t="s">
        <v>2871</v>
      </c>
      <c r="CRE1" t="s">
        <v>2872</v>
      </c>
      <c r="CRF1" t="s">
        <v>2873</v>
      </c>
      <c r="CRG1" t="s">
        <v>2874</v>
      </c>
      <c r="CRH1" t="s">
        <v>2875</v>
      </c>
      <c r="CRI1" t="s">
        <v>2876</v>
      </c>
      <c r="CRJ1" t="s">
        <v>2877</v>
      </c>
      <c r="CRK1" t="s">
        <v>2878</v>
      </c>
      <c r="CRL1" t="s">
        <v>2879</v>
      </c>
      <c r="CRM1" t="s">
        <v>2880</v>
      </c>
      <c r="CRN1" t="s">
        <v>2881</v>
      </c>
      <c r="CRO1" t="s">
        <v>2882</v>
      </c>
      <c r="CRP1" t="s">
        <v>2883</v>
      </c>
      <c r="CRQ1" t="s">
        <v>2884</v>
      </c>
      <c r="CRR1" t="s">
        <v>2885</v>
      </c>
      <c r="CRS1" t="s">
        <v>2886</v>
      </c>
      <c r="CRT1" t="s">
        <v>2887</v>
      </c>
      <c r="CRU1" t="s">
        <v>2888</v>
      </c>
      <c r="CRV1" t="s">
        <v>2889</v>
      </c>
      <c r="CRW1" t="s">
        <v>2890</v>
      </c>
      <c r="CRX1" t="s">
        <v>2891</v>
      </c>
      <c r="CRY1" t="s">
        <v>2892</v>
      </c>
      <c r="CRZ1" t="s">
        <v>2893</v>
      </c>
      <c r="CSA1" t="s">
        <v>2894</v>
      </c>
      <c r="CSB1" t="s">
        <v>2895</v>
      </c>
      <c r="CSC1" t="s">
        <v>2896</v>
      </c>
      <c r="CSD1" t="s">
        <v>2897</v>
      </c>
      <c r="CSE1" t="s">
        <v>2898</v>
      </c>
      <c r="CSF1" t="s">
        <v>2899</v>
      </c>
      <c r="CSG1" t="s">
        <v>2900</v>
      </c>
      <c r="CSH1" t="s">
        <v>2901</v>
      </c>
      <c r="CSI1" t="s">
        <v>2902</v>
      </c>
      <c r="CSJ1" t="s">
        <v>2903</v>
      </c>
      <c r="CSK1" t="s">
        <v>2904</v>
      </c>
      <c r="CSL1" t="s">
        <v>2905</v>
      </c>
      <c r="CSM1" t="s">
        <v>2906</v>
      </c>
      <c r="CSN1" t="s">
        <v>2907</v>
      </c>
      <c r="CSO1" t="s">
        <v>2908</v>
      </c>
      <c r="CSP1" t="s">
        <v>2909</v>
      </c>
      <c r="CSQ1" t="s">
        <v>2910</v>
      </c>
      <c r="CSR1" t="s">
        <v>2911</v>
      </c>
      <c r="CSS1" t="s">
        <v>2912</v>
      </c>
      <c r="CST1" t="s">
        <v>2913</v>
      </c>
      <c r="CSU1" t="s">
        <v>2914</v>
      </c>
      <c r="CSV1" t="s">
        <v>2915</v>
      </c>
      <c r="CSW1" t="s">
        <v>2916</v>
      </c>
      <c r="CSX1" t="s">
        <v>2917</v>
      </c>
      <c r="CSY1" t="s">
        <v>2918</v>
      </c>
      <c r="CSZ1" t="s">
        <v>2919</v>
      </c>
      <c r="CTA1" t="s">
        <v>2920</v>
      </c>
      <c r="CTB1" t="s">
        <v>2921</v>
      </c>
      <c r="CTC1" t="s">
        <v>2922</v>
      </c>
      <c r="CTD1" t="s">
        <v>2923</v>
      </c>
      <c r="CTE1" t="s">
        <v>2924</v>
      </c>
      <c r="CTF1" t="s">
        <v>2925</v>
      </c>
      <c r="CTG1" t="s">
        <v>2926</v>
      </c>
      <c r="CTH1" t="s">
        <v>2927</v>
      </c>
      <c r="CTI1" t="s">
        <v>2928</v>
      </c>
      <c r="CTJ1" t="s">
        <v>2929</v>
      </c>
      <c r="CTK1" t="s">
        <v>2930</v>
      </c>
      <c r="CTL1" t="s">
        <v>2931</v>
      </c>
      <c r="CTM1" t="s">
        <v>2932</v>
      </c>
      <c r="CTN1" t="s">
        <v>2933</v>
      </c>
      <c r="CTO1" t="s">
        <v>2934</v>
      </c>
      <c r="CTP1" t="s">
        <v>2935</v>
      </c>
      <c r="CTQ1" t="s">
        <v>2936</v>
      </c>
      <c r="CTR1" t="s">
        <v>2937</v>
      </c>
      <c r="CTS1" t="s">
        <v>2938</v>
      </c>
      <c r="CTT1" t="s">
        <v>2939</v>
      </c>
      <c r="CTU1" t="s">
        <v>2940</v>
      </c>
      <c r="CTV1" t="s">
        <v>2941</v>
      </c>
      <c r="CTW1" t="s">
        <v>2942</v>
      </c>
      <c r="CTX1" t="s">
        <v>2943</v>
      </c>
      <c r="CTY1" t="s">
        <v>2944</v>
      </c>
      <c r="CTZ1" t="s">
        <v>2945</v>
      </c>
      <c r="CUA1" t="s">
        <v>2946</v>
      </c>
      <c r="CUB1" t="s">
        <v>2947</v>
      </c>
      <c r="CUC1" t="s">
        <v>2948</v>
      </c>
      <c r="CUD1" t="s">
        <v>2949</v>
      </c>
      <c r="CUE1" t="s">
        <v>2950</v>
      </c>
      <c r="CUF1" t="s">
        <v>2951</v>
      </c>
      <c r="CUG1" t="s">
        <v>2952</v>
      </c>
      <c r="CUH1" t="s">
        <v>2953</v>
      </c>
      <c r="CUI1" t="s">
        <v>2954</v>
      </c>
      <c r="CUJ1" t="s">
        <v>2955</v>
      </c>
      <c r="CUK1" t="s">
        <v>2956</v>
      </c>
      <c r="CUL1" t="s">
        <v>2957</v>
      </c>
      <c r="CUM1" t="s">
        <v>2958</v>
      </c>
      <c r="CUN1" t="s">
        <v>2959</v>
      </c>
      <c r="CUO1" t="s">
        <v>2960</v>
      </c>
      <c r="CUP1" t="s">
        <v>2961</v>
      </c>
      <c r="CUQ1" t="s">
        <v>2962</v>
      </c>
      <c r="CUR1" t="s">
        <v>2963</v>
      </c>
      <c r="CUS1" t="s">
        <v>2964</v>
      </c>
      <c r="CUT1" t="s">
        <v>2965</v>
      </c>
      <c r="CUU1" t="s">
        <v>2966</v>
      </c>
      <c r="CUV1" t="s">
        <v>2967</v>
      </c>
      <c r="CUW1" t="s">
        <v>2968</v>
      </c>
      <c r="CUX1" t="s">
        <v>2969</v>
      </c>
      <c r="CUY1" t="s">
        <v>2970</v>
      </c>
      <c r="CUZ1" t="s">
        <v>2971</v>
      </c>
      <c r="CVA1" t="s">
        <v>2972</v>
      </c>
      <c r="CVB1" t="s">
        <v>2973</v>
      </c>
      <c r="CVC1" t="s">
        <v>2974</v>
      </c>
      <c r="CVD1" t="s">
        <v>2975</v>
      </c>
      <c r="CVE1" t="s">
        <v>2976</v>
      </c>
      <c r="CVF1" t="s">
        <v>2977</v>
      </c>
      <c r="CVG1" t="s">
        <v>2978</v>
      </c>
      <c r="CVH1" t="s">
        <v>2979</v>
      </c>
      <c r="CVI1" t="s">
        <v>2980</v>
      </c>
      <c r="CVJ1" t="s">
        <v>2981</v>
      </c>
      <c r="CVK1" t="s">
        <v>2982</v>
      </c>
      <c r="CVL1" t="s">
        <v>2983</v>
      </c>
      <c r="CVM1" t="s">
        <v>2984</v>
      </c>
      <c r="CVN1" t="s">
        <v>2985</v>
      </c>
      <c r="CVO1" t="s">
        <v>2986</v>
      </c>
      <c r="CVP1" t="s">
        <v>2987</v>
      </c>
      <c r="CVQ1" t="s">
        <v>2988</v>
      </c>
      <c r="CVR1" t="s">
        <v>2989</v>
      </c>
      <c r="CVS1" t="s">
        <v>2990</v>
      </c>
      <c r="CVT1" t="s">
        <v>2991</v>
      </c>
      <c r="CVU1" t="s">
        <v>2992</v>
      </c>
      <c r="CVV1" t="s">
        <v>2993</v>
      </c>
      <c r="CVW1" t="s">
        <v>2994</v>
      </c>
      <c r="CVX1" t="s">
        <v>2995</v>
      </c>
      <c r="CVY1" t="s">
        <v>2996</v>
      </c>
      <c r="CVZ1" t="s">
        <v>2997</v>
      </c>
      <c r="CWA1" t="s">
        <v>2998</v>
      </c>
      <c r="CWB1" t="s">
        <v>2999</v>
      </c>
      <c r="CWC1" t="s">
        <v>3000</v>
      </c>
      <c r="CWD1" t="s">
        <v>3001</v>
      </c>
      <c r="CWE1" t="s">
        <v>3002</v>
      </c>
      <c r="CWF1" t="s">
        <v>3003</v>
      </c>
      <c r="CWG1" t="s">
        <v>3004</v>
      </c>
      <c r="CWH1" t="s">
        <v>3005</v>
      </c>
      <c r="CWI1" t="s">
        <v>3006</v>
      </c>
      <c r="CWJ1" t="s">
        <v>3007</v>
      </c>
      <c r="CWK1" t="s">
        <v>3008</v>
      </c>
      <c r="CWL1" t="s">
        <v>3009</v>
      </c>
      <c r="CWM1" t="s">
        <v>3010</v>
      </c>
      <c r="CWN1" t="s">
        <v>3011</v>
      </c>
      <c r="CWO1" t="s">
        <v>3012</v>
      </c>
      <c r="CWP1" t="s">
        <v>3013</v>
      </c>
      <c r="CWQ1" t="s">
        <v>3014</v>
      </c>
      <c r="CWR1" t="s">
        <v>3015</v>
      </c>
      <c r="CWS1" t="s">
        <v>3016</v>
      </c>
      <c r="CWT1" t="s">
        <v>3017</v>
      </c>
      <c r="CWU1" t="s">
        <v>3018</v>
      </c>
      <c r="CWV1" t="s">
        <v>3019</v>
      </c>
      <c r="CWW1" t="s">
        <v>3020</v>
      </c>
      <c r="CWX1" t="s">
        <v>3021</v>
      </c>
      <c r="CWY1" t="s">
        <v>3022</v>
      </c>
      <c r="CWZ1" t="s">
        <v>3023</v>
      </c>
      <c r="CXA1" t="s">
        <v>3024</v>
      </c>
      <c r="CXB1" t="s">
        <v>3025</v>
      </c>
      <c r="CXC1" t="s">
        <v>3026</v>
      </c>
      <c r="CXD1" t="s">
        <v>3027</v>
      </c>
      <c r="CXE1" t="s">
        <v>3028</v>
      </c>
      <c r="CXF1" t="s">
        <v>3029</v>
      </c>
      <c r="CXG1" t="s">
        <v>3030</v>
      </c>
      <c r="CXH1" t="s">
        <v>3031</v>
      </c>
      <c r="CXI1" t="s">
        <v>3032</v>
      </c>
      <c r="CXJ1" t="s">
        <v>3033</v>
      </c>
      <c r="CXK1" t="s">
        <v>3034</v>
      </c>
      <c r="CXL1" t="s">
        <v>3035</v>
      </c>
      <c r="CXM1" t="s">
        <v>3036</v>
      </c>
      <c r="CXN1" t="s">
        <v>3037</v>
      </c>
      <c r="CXO1" t="s">
        <v>3038</v>
      </c>
      <c r="CXP1" t="s">
        <v>3039</v>
      </c>
      <c r="CXQ1" t="s">
        <v>3040</v>
      </c>
      <c r="CXR1" t="s">
        <v>3041</v>
      </c>
      <c r="CXS1" t="s">
        <v>3042</v>
      </c>
      <c r="CXT1" t="s">
        <v>3043</v>
      </c>
      <c r="CXU1" t="s">
        <v>3044</v>
      </c>
      <c r="CXV1" t="s">
        <v>3045</v>
      </c>
      <c r="CXW1" t="s">
        <v>3046</v>
      </c>
      <c r="CXX1" t="s">
        <v>3047</v>
      </c>
      <c r="CXY1" t="s">
        <v>3048</v>
      </c>
      <c r="CXZ1" t="s">
        <v>3049</v>
      </c>
      <c r="CYA1" t="s">
        <v>3050</v>
      </c>
      <c r="CYB1" t="s">
        <v>3051</v>
      </c>
      <c r="CYC1" t="s">
        <v>3052</v>
      </c>
      <c r="CYD1" t="s">
        <v>3053</v>
      </c>
      <c r="CYE1" t="s">
        <v>3054</v>
      </c>
      <c r="CYF1" t="s">
        <v>3055</v>
      </c>
      <c r="CYG1" t="s">
        <v>3056</v>
      </c>
      <c r="CYH1" t="s">
        <v>3057</v>
      </c>
      <c r="CYI1" t="s">
        <v>3058</v>
      </c>
      <c r="CYJ1" t="s">
        <v>3059</v>
      </c>
      <c r="CYK1" t="s">
        <v>3060</v>
      </c>
      <c r="CYL1" t="s">
        <v>3061</v>
      </c>
      <c r="CYM1" t="s">
        <v>3062</v>
      </c>
      <c r="CYN1" t="s">
        <v>3063</v>
      </c>
      <c r="CYO1" t="s">
        <v>3064</v>
      </c>
      <c r="CYP1" t="s">
        <v>3065</v>
      </c>
      <c r="CYQ1" t="s">
        <v>3066</v>
      </c>
      <c r="CYR1" t="s">
        <v>3067</v>
      </c>
      <c r="CYS1" t="s">
        <v>3068</v>
      </c>
      <c r="CYT1" t="s">
        <v>3069</v>
      </c>
      <c r="CYU1" t="s">
        <v>3070</v>
      </c>
      <c r="CYV1" t="s">
        <v>3071</v>
      </c>
      <c r="CYW1" t="s">
        <v>3072</v>
      </c>
      <c r="CYX1" t="s">
        <v>3073</v>
      </c>
      <c r="CYY1" t="s">
        <v>3074</v>
      </c>
      <c r="CYZ1" t="s">
        <v>3075</v>
      </c>
      <c r="CZA1" t="s">
        <v>3076</v>
      </c>
      <c r="CZB1" t="s">
        <v>3077</v>
      </c>
      <c r="CZC1" t="s">
        <v>3078</v>
      </c>
      <c r="CZD1" t="s">
        <v>3079</v>
      </c>
      <c r="CZE1" t="s">
        <v>3080</v>
      </c>
      <c r="CZF1" t="s">
        <v>3081</v>
      </c>
      <c r="CZG1" t="s">
        <v>3082</v>
      </c>
      <c r="CZH1" t="s">
        <v>3083</v>
      </c>
      <c r="CZI1" t="s">
        <v>3084</v>
      </c>
      <c r="CZJ1" t="s">
        <v>3085</v>
      </c>
      <c r="CZK1" t="s">
        <v>3086</v>
      </c>
      <c r="CZL1" t="s">
        <v>3087</v>
      </c>
      <c r="CZM1" t="s">
        <v>3088</v>
      </c>
      <c r="CZN1" t="s">
        <v>3089</v>
      </c>
      <c r="CZO1" t="s">
        <v>3090</v>
      </c>
      <c r="CZP1" t="s">
        <v>3091</v>
      </c>
      <c r="CZQ1" t="s">
        <v>3092</v>
      </c>
      <c r="CZR1" t="s">
        <v>3093</v>
      </c>
      <c r="CZS1" t="s">
        <v>3094</v>
      </c>
      <c r="CZT1" t="s">
        <v>3095</v>
      </c>
      <c r="CZU1" t="s">
        <v>3096</v>
      </c>
      <c r="CZV1" t="s">
        <v>3097</v>
      </c>
      <c r="CZW1" t="s">
        <v>3098</v>
      </c>
      <c r="CZX1" t="s">
        <v>3099</v>
      </c>
      <c r="CZY1" t="s">
        <v>3100</v>
      </c>
      <c r="CZZ1" t="s">
        <v>3101</v>
      </c>
      <c r="DAA1" t="s">
        <v>3102</v>
      </c>
      <c r="DAB1" t="s">
        <v>3103</v>
      </c>
      <c r="DAC1" t="s">
        <v>3104</v>
      </c>
      <c r="DAD1" t="s">
        <v>3105</v>
      </c>
      <c r="DAE1" t="s">
        <v>3106</v>
      </c>
      <c r="DAF1" t="s">
        <v>3107</v>
      </c>
      <c r="DAG1" t="s">
        <v>3108</v>
      </c>
      <c r="DAH1" t="s">
        <v>3109</v>
      </c>
      <c r="DAI1" t="s">
        <v>3110</v>
      </c>
      <c r="DAJ1" t="s">
        <v>3111</v>
      </c>
      <c r="DAK1" t="s">
        <v>3112</v>
      </c>
      <c r="DAL1" t="s">
        <v>3113</v>
      </c>
      <c r="DAM1" t="s">
        <v>3114</v>
      </c>
      <c r="DAN1" t="s">
        <v>3115</v>
      </c>
      <c r="DAO1" t="s">
        <v>3116</v>
      </c>
      <c r="DAP1" t="s">
        <v>3117</v>
      </c>
      <c r="DAQ1" t="s">
        <v>3118</v>
      </c>
      <c r="DAR1" t="s">
        <v>3119</v>
      </c>
      <c r="DAS1" t="s">
        <v>3120</v>
      </c>
      <c r="DAT1" t="s">
        <v>3121</v>
      </c>
      <c r="DAU1" t="s">
        <v>3122</v>
      </c>
      <c r="DAV1" t="s">
        <v>3123</v>
      </c>
      <c r="DAW1" t="s">
        <v>3124</v>
      </c>
      <c r="DAX1" t="s">
        <v>3125</v>
      </c>
      <c r="DAY1" t="s">
        <v>3126</v>
      </c>
      <c r="DAZ1" t="s">
        <v>3127</v>
      </c>
      <c r="DBA1" t="s">
        <v>3128</v>
      </c>
      <c r="DBB1" t="s">
        <v>3129</v>
      </c>
      <c r="DBC1" t="s">
        <v>3130</v>
      </c>
      <c r="DBD1" t="s">
        <v>3131</v>
      </c>
      <c r="DBE1" t="s">
        <v>3132</v>
      </c>
      <c r="DBF1" t="s">
        <v>3133</v>
      </c>
      <c r="DBG1" t="s">
        <v>3134</v>
      </c>
      <c r="DBH1" t="s">
        <v>3135</v>
      </c>
      <c r="DBI1" t="s">
        <v>3136</v>
      </c>
      <c r="DBJ1" t="s">
        <v>3137</v>
      </c>
      <c r="DBK1" t="s">
        <v>3138</v>
      </c>
      <c r="DBL1" t="s">
        <v>3139</v>
      </c>
      <c r="DBM1" t="s">
        <v>3140</v>
      </c>
      <c r="DBN1" t="s">
        <v>3141</v>
      </c>
      <c r="DBO1" t="s">
        <v>3142</v>
      </c>
      <c r="DBP1" t="s">
        <v>3143</v>
      </c>
      <c r="DBQ1" t="s">
        <v>3144</v>
      </c>
      <c r="DBR1" t="s">
        <v>3145</v>
      </c>
      <c r="DBS1" t="s">
        <v>3146</v>
      </c>
      <c r="DBT1" t="s">
        <v>3147</v>
      </c>
      <c r="DBU1" t="s">
        <v>3148</v>
      </c>
      <c r="DBV1" t="s">
        <v>3149</v>
      </c>
      <c r="DBW1" t="s">
        <v>3150</v>
      </c>
      <c r="DBX1" t="s">
        <v>3151</v>
      </c>
      <c r="DBY1" t="s">
        <v>3152</v>
      </c>
      <c r="DBZ1" t="s">
        <v>3153</v>
      </c>
      <c r="DCA1" t="s">
        <v>3154</v>
      </c>
      <c r="DCB1" t="s">
        <v>3155</v>
      </c>
      <c r="DCC1" t="s">
        <v>3156</v>
      </c>
      <c r="DCD1" t="s">
        <v>3157</v>
      </c>
      <c r="DCE1" t="s">
        <v>3158</v>
      </c>
      <c r="DCF1" t="s">
        <v>3159</v>
      </c>
      <c r="DCG1" t="s">
        <v>3160</v>
      </c>
      <c r="DCH1" t="s">
        <v>3161</v>
      </c>
      <c r="DCI1" t="s">
        <v>3162</v>
      </c>
      <c r="DCJ1" t="s">
        <v>3163</v>
      </c>
      <c r="DCK1" t="s">
        <v>3164</v>
      </c>
      <c r="DCL1" t="s">
        <v>3165</v>
      </c>
      <c r="DCM1" t="s">
        <v>3166</v>
      </c>
      <c r="DCN1" t="s">
        <v>3167</v>
      </c>
      <c r="DCO1" t="s">
        <v>3168</v>
      </c>
      <c r="DCP1" t="s">
        <v>3169</v>
      </c>
      <c r="DCQ1" t="s">
        <v>3170</v>
      </c>
      <c r="DCR1" t="s">
        <v>3171</v>
      </c>
      <c r="DCS1" t="s">
        <v>3172</v>
      </c>
      <c r="DCT1" t="s">
        <v>3173</v>
      </c>
      <c r="DCU1" t="s">
        <v>3174</v>
      </c>
      <c r="DCV1" t="s">
        <v>3175</v>
      </c>
      <c r="DCW1" t="s">
        <v>3176</v>
      </c>
      <c r="DCX1" t="s">
        <v>3177</v>
      </c>
      <c r="DCY1" t="s">
        <v>3178</v>
      </c>
      <c r="DCZ1" t="s">
        <v>3179</v>
      </c>
      <c r="DDA1" t="s">
        <v>3180</v>
      </c>
      <c r="DDB1" t="s">
        <v>3181</v>
      </c>
      <c r="DDC1" t="s">
        <v>3182</v>
      </c>
      <c r="DDD1" t="s">
        <v>3183</v>
      </c>
      <c r="DDE1" t="s">
        <v>3184</v>
      </c>
      <c r="DDF1" t="s">
        <v>3185</v>
      </c>
      <c r="DDG1" t="s">
        <v>3186</v>
      </c>
      <c r="DDH1" t="s">
        <v>3187</v>
      </c>
      <c r="DDI1" t="s">
        <v>3188</v>
      </c>
      <c r="DDJ1" t="s">
        <v>3189</v>
      </c>
      <c r="DDK1" t="s">
        <v>3190</v>
      </c>
      <c r="DDL1" t="s">
        <v>3191</v>
      </c>
      <c r="DDM1" t="s">
        <v>3192</v>
      </c>
      <c r="DDN1" t="s">
        <v>3193</v>
      </c>
      <c r="DDO1" t="s">
        <v>3194</v>
      </c>
      <c r="DDP1" t="s">
        <v>3195</v>
      </c>
      <c r="DDQ1" t="s">
        <v>3196</v>
      </c>
      <c r="DDR1" t="s">
        <v>3197</v>
      </c>
      <c r="DDS1" t="s">
        <v>3198</v>
      </c>
      <c r="DDT1" t="s">
        <v>3199</v>
      </c>
      <c r="DDU1" t="s">
        <v>3200</v>
      </c>
      <c r="DDV1" t="s">
        <v>3201</v>
      </c>
      <c r="DDW1" t="s">
        <v>3202</v>
      </c>
      <c r="DDX1" t="s">
        <v>3203</v>
      </c>
      <c r="DDY1" t="s">
        <v>3204</v>
      </c>
      <c r="DDZ1" t="s">
        <v>3205</v>
      </c>
      <c r="DEA1" t="s">
        <v>3206</v>
      </c>
      <c r="DEB1" t="s">
        <v>3207</v>
      </c>
      <c r="DEC1" t="s">
        <v>3208</v>
      </c>
      <c r="DED1" t="s">
        <v>3209</v>
      </c>
      <c r="DEE1" t="s">
        <v>3210</v>
      </c>
      <c r="DEF1" t="s">
        <v>3211</v>
      </c>
      <c r="DEG1" t="s">
        <v>3212</v>
      </c>
      <c r="DEH1" t="s">
        <v>3213</v>
      </c>
      <c r="DEI1" t="s">
        <v>3214</v>
      </c>
      <c r="DEJ1" t="s">
        <v>3215</v>
      </c>
      <c r="DEK1" t="s">
        <v>3216</v>
      </c>
      <c r="DEL1" t="s">
        <v>3217</v>
      </c>
      <c r="DEM1" t="s">
        <v>3218</v>
      </c>
      <c r="DEN1" t="s">
        <v>3219</v>
      </c>
      <c r="DEO1" t="s">
        <v>3220</v>
      </c>
      <c r="DEP1" t="s">
        <v>3221</v>
      </c>
      <c r="DEQ1" t="s">
        <v>3222</v>
      </c>
      <c r="DER1" t="s">
        <v>3223</v>
      </c>
      <c r="DES1" t="s">
        <v>3224</v>
      </c>
      <c r="DET1" t="s">
        <v>3225</v>
      </c>
      <c r="DEU1" t="s">
        <v>3226</v>
      </c>
      <c r="DEV1" t="s">
        <v>3227</v>
      </c>
      <c r="DEW1" t="s">
        <v>3228</v>
      </c>
      <c r="DEX1" t="s">
        <v>3229</v>
      </c>
      <c r="DEY1" t="s">
        <v>3230</v>
      </c>
      <c r="DEZ1" t="s">
        <v>3231</v>
      </c>
      <c r="DFA1" t="s">
        <v>3232</v>
      </c>
      <c r="DFB1" t="s">
        <v>3233</v>
      </c>
      <c r="DFC1" t="s">
        <v>3234</v>
      </c>
      <c r="DFD1" t="s">
        <v>3235</v>
      </c>
      <c r="DFE1" t="s">
        <v>3236</v>
      </c>
      <c r="DFF1" t="s">
        <v>3237</v>
      </c>
      <c r="DFG1" t="s">
        <v>3238</v>
      </c>
      <c r="DFH1" t="s">
        <v>3239</v>
      </c>
      <c r="DFI1" t="s">
        <v>3240</v>
      </c>
      <c r="DFJ1" t="s">
        <v>3241</v>
      </c>
      <c r="DFK1" t="s">
        <v>3242</v>
      </c>
      <c r="DFL1" t="s">
        <v>3243</v>
      </c>
      <c r="DFM1" t="s">
        <v>3244</v>
      </c>
      <c r="DFN1" t="s">
        <v>3245</v>
      </c>
      <c r="DFO1" t="s">
        <v>3246</v>
      </c>
      <c r="DFP1" t="s">
        <v>3247</v>
      </c>
      <c r="DFQ1" t="s">
        <v>3248</v>
      </c>
      <c r="DFR1" t="s">
        <v>3249</v>
      </c>
      <c r="DFS1" t="s">
        <v>3250</v>
      </c>
      <c r="DFT1" t="s">
        <v>3251</v>
      </c>
      <c r="DFU1" t="s">
        <v>3252</v>
      </c>
      <c r="DFV1" t="s">
        <v>3253</v>
      </c>
      <c r="DFW1" t="s">
        <v>3254</v>
      </c>
      <c r="DFX1" t="s">
        <v>3255</v>
      </c>
      <c r="DFY1" t="s">
        <v>3256</v>
      </c>
      <c r="DFZ1" t="s">
        <v>3257</v>
      </c>
      <c r="DGA1" t="s">
        <v>3258</v>
      </c>
      <c r="DGB1" t="s">
        <v>3259</v>
      </c>
      <c r="DGC1" t="s">
        <v>3260</v>
      </c>
      <c r="DGD1" t="s">
        <v>3261</v>
      </c>
      <c r="DGE1" t="s">
        <v>3262</v>
      </c>
      <c r="DGF1" t="s">
        <v>3263</v>
      </c>
      <c r="DGG1" t="s">
        <v>3264</v>
      </c>
      <c r="DGH1" t="s">
        <v>3265</v>
      </c>
      <c r="DGI1" t="s">
        <v>3266</v>
      </c>
      <c r="DGJ1" t="s">
        <v>3267</v>
      </c>
      <c r="DGK1" t="s">
        <v>3268</v>
      </c>
      <c r="DGL1" t="s">
        <v>3269</v>
      </c>
      <c r="DGM1" t="s">
        <v>3270</v>
      </c>
      <c r="DGN1" t="s">
        <v>3271</v>
      </c>
      <c r="DGO1" t="s">
        <v>3272</v>
      </c>
      <c r="DGP1" t="s">
        <v>3273</v>
      </c>
      <c r="DGQ1" t="s">
        <v>3274</v>
      </c>
      <c r="DGR1" t="s">
        <v>3275</v>
      </c>
      <c r="DGS1" t="s">
        <v>3276</v>
      </c>
      <c r="DGT1" t="s">
        <v>3277</v>
      </c>
      <c r="DGU1" t="s">
        <v>3278</v>
      </c>
      <c r="DGV1" t="s">
        <v>3279</v>
      </c>
      <c r="DGW1" t="s">
        <v>3280</v>
      </c>
      <c r="DGX1" t="s">
        <v>3281</v>
      </c>
      <c r="DGY1" t="s">
        <v>3282</v>
      </c>
      <c r="DGZ1" t="s">
        <v>3283</v>
      </c>
      <c r="DHA1" t="s">
        <v>3284</v>
      </c>
      <c r="DHB1" t="s">
        <v>3285</v>
      </c>
      <c r="DHC1" t="s">
        <v>3286</v>
      </c>
      <c r="DHD1" t="s">
        <v>3287</v>
      </c>
      <c r="DHE1" t="s">
        <v>3288</v>
      </c>
      <c r="DHF1" t="s">
        <v>3289</v>
      </c>
      <c r="DHG1" t="s">
        <v>3290</v>
      </c>
      <c r="DHH1" t="s">
        <v>3291</v>
      </c>
      <c r="DHI1" t="s">
        <v>3292</v>
      </c>
      <c r="DHJ1" t="s">
        <v>3293</v>
      </c>
      <c r="DHK1" t="s">
        <v>3294</v>
      </c>
      <c r="DHL1" t="s">
        <v>3295</v>
      </c>
      <c r="DHM1" t="s">
        <v>3296</v>
      </c>
      <c r="DHN1" t="s">
        <v>3297</v>
      </c>
      <c r="DHO1" t="s">
        <v>3298</v>
      </c>
      <c r="DHP1" t="s">
        <v>3299</v>
      </c>
      <c r="DHQ1" t="s">
        <v>3300</v>
      </c>
      <c r="DHR1" t="s">
        <v>3301</v>
      </c>
      <c r="DHS1" t="s">
        <v>3302</v>
      </c>
      <c r="DHT1" t="s">
        <v>3303</v>
      </c>
      <c r="DHU1" t="s">
        <v>3304</v>
      </c>
      <c r="DHV1" t="s">
        <v>3305</v>
      </c>
      <c r="DHW1" t="s">
        <v>3306</v>
      </c>
      <c r="DHX1" t="s">
        <v>3307</v>
      </c>
      <c r="DHY1" t="s">
        <v>3308</v>
      </c>
      <c r="DHZ1" t="s">
        <v>3309</v>
      </c>
      <c r="DIA1" t="s">
        <v>3310</v>
      </c>
      <c r="DIB1" t="s">
        <v>3311</v>
      </c>
      <c r="DIC1" t="s">
        <v>3312</v>
      </c>
      <c r="DID1" t="s">
        <v>3313</v>
      </c>
      <c r="DIE1" t="s">
        <v>3314</v>
      </c>
      <c r="DIF1" t="s">
        <v>3315</v>
      </c>
      <c r="DIG1" t="s">
        <v>3316</v>
      </c>
      <c r="DIH1" t="s">
        <v>3317</v>
      </c>
      <c r="DII1" t="s">
        <v>3318</v>
      </c>
      <c r="DIJ1" t="s">
        <v>3319</v>
      </c>
      <c r="DIK1" t="s">
        <v>3320</v>
      </c>
      <c r="DIL1" t="s">
        <v>3321</v>
      </c>
      <c r="DIM1" t="s">
        <v>3322</v>
      </c>
      <c r="DIN1" t="s">
        <v>3323</v>
      </c>
      <c r="DIO1" t="s">
        <v>3324</v>
      </c>
      <c r="DIP1" t="s">
        <v>3325</v>
      </c>
      <c r="DIQ1" t="s">
        <v>3326</v>
      </c>
      <c r="DIR1" t="s">
        <v>3327</v>
      </c>
      <c r="DIS1" t="s">
        <v>3328</v>
      </c>
      <c r="DIT1" t="s">
        <v>3329</v>
      </c>
      <c r="DIU1" t="s">
        <v>3330</v>
      </c>
      <c r="DIV1" t="s">
        <v>3331</v>
      </c>
      <c r="DIW1" t="s">
        <v>3332</v>
      </c>
      <c r="DIX1" t="s">
        <v>3333</v>
      </c>
      <c r="DIY1" t="s">
        <v>3334</v>
      </c>
      <c r="DIZ1" t="s">
        <v>3335</v>
      </c>
      <c r="DJA1" t="s">
        <v>3336</v>
      </c>
      <c r="DJB1" t="s">
        <v>3337</v>
      </c>
      <c r="DJC1" t="s">
        <v>3338</v>
      </c>
      <c r="DJD1" t="s">
        <v>3339</v>
      </c>
      <c r="DJE1" t="s">
        <v>3340</v>
      </c>
      <c r="DJF1" t="s">
        <v>3341</v>
      </c>
      <c r="DJG1" t="s">
        <v>3342</v>
      </c>
      <c r="DJH1" t="s">
        <v>3343</v>
      </c>
      <c r="DJI1" t="s">
        <v>3344</v>
      </c>
      <c r="DJJ1" t="s">
        <v>3345</v>
      </c>
      <c r="DJK1" t="s">
        <v>3346</v>
      </c>
      <c r="DJL1" t="s">
        <v>3347</v>
      </c>
      <c r="DJM1" t="s">
        <v>3348</v>
      </c>
      <c r="DJN1" t="s">
        <v>3349</v>
      </c>
      <c r="DJO1" t="s">
        <v>3350</v>
      </c>
      <c r="DJP1" t="s">
        <v>3351</v>
      </c>
      <c r="DJQ1" t="s">
        <v>3352</v>
      </c>
      <c r="DJR1" t="s">
        <v>3353</v>
      </c>
      <c r="DJS1" t="s">
        <v>3354</v>
      </c>
      <c r="DJT1" t="s">
        <v>3355</v>
      </c>
      <c r="DJU1" t="s">
        <v>3356</v>
      </c>
      <c r="DJV1" t="s">
        <v>3357</v>
      </c>
      <c r="DJW1" t="s">
        <v>3358</v>
      </c>
      <c r="DJX1" t="s">
        <v>3359</v>
      </c>
      <c r="DJY1" t="s">
        <v>3360</v>
      </c>
      <c r="DJZ1" t="s">
        <v>3361</v>
      </c>
      <c r="DKA1" t="s">
        <v>3362</v>
      </c>
      <c r="DKB1" t="s">
        <v>3363</v>
      </c>
      <c r="DKC1" t="s">
        <v>3364</v>
      </c>
      <c r="DKD1" t="s">
        <v>3365</v>
      </c>
      <c r="DKE1" t="s">
        <v>3366</v>
      </c>
      <c r="DKF1" t="s">
        <v>3367</v>
      </c>
      <c r="DKG1" t="s">
        <v>3368</v>
      </c>
      <c r="DKH1" t="s">
        <v>3369</v>
      </c>
      <c r="DKI1" t="s">
        <v>3370</v>
      </c>
      <c r="DKJ1" t="s">
        <v>3371</v>
      </c>
      <c r="DKK1" t="s">
        <v>3372</v>
      </c>
      <c r="DKL1" t="s">
        <v>3373</v>
      </c>
      <c r="DKM1" t="s">
        <v>3374</v>
      </c>
      <c r="DKN1" t="s">
        <v>3375</v>
      </c>
      <c r="DKO1" t="s">
        <v>3376</v>
      </c>
      <c r="DKP1" t="s">
        <v>3377</v>
      </c>
      <c r="DKQ1" t="s">
        <v>3378</v>
      </c>
      <c r="DKR1" t="s">
        <v>3379</v>
      </c>
      <c r="DKS1" t="s">
        <v>3380</v>
      </c>
      <c r="DKT1" t="s">
        <v>3381</v>
      </c>
      <c r="DKU1" t="s">
        <v>3382</v>
      </c>
      <c r="DKV1" t="s">
        <v>3383</v>
      </c>
      <c r="DKW1" t="s">
        <v>3384</v>
      </c>
      <c r="DKX1" t="s">
        <v>3385</v>
      </c>
      <c r="DKY1" t="s">
        <v>3386</v>
      </c>
      <c r="DKZ1" t="s">
        <v>3387</v>
      </c>
      <c r="DLA1" t="s">
        <v>3388</v>
      </c>
      <c r="DLB1" t="s">
        <v>3389</v>
      </c>
      <c r="DLC1" t="s">
        <v>3390</v>
      </c>
      <c r="DLD1" t="s">
        <v>3391</v>
      </c>
      <c r="DLE1" t="s">
        <v>3392</v>
      </c>
      <c r="DLF1" t="s">
        <v>3393</v>
      </c>
      <c r="DLG1" t="s">
        <v>3394</v>
      </c>
      <c r="DLH1" t="s">
        <v>3395</v>
      </c>
      <c r="DLI1" t="s">
        <v>3396</v>
      </c>
      <c r="DLJ1" t="s">
        <v>3397</v>
      </c>
      <c r="DLK1" t="s">
        <v>3398</v>
      </c>
      <c r="DLL1" t="s">
        <v>3399</v>
      </c>
      <c r="DLM1" t="s">
        <v>3400</v>
      </c>
      <c r="DLN1" t="s">
        <v>3401</v>
      </c>
      <c r="DLO1" t="s">
        <v>3402</v>
      </c>
      <c r="DLP1" t="s">
        <v>3403</v>
      </c>
      <c r="DLQ1" t="s">
        <v>3404</v>
      </c>
      <c r="DLR1" t="s">
        <v>3405</v>
      </c>
      <c r="DLS1" t="s">
        <v>3406</v>
      </c>
      <c r="DLT1" t="s">
        <v>3407</v>
      </c>
      <c r="DLU1" t="s">
        <v>3408</v>
      </c>
      <c r="DLV1" t="s">
        <v>3409</v>
      </c>
      <c r="DLW1" t="s">
        <v>3410</v>
      </c>
      <c r="DLX1" t="s">
        <v>3411</v>
      </c>
      <c r="DLY1" t="s">
        <v>3412</v>
      </c>
      <c r="DLZ1" t="s">
        <v>3413</v>
      </c>
      <c r="DMA1" t="s">
        <v>3414</v>
      </c>
      <c r="DMB1" t="s">
        <v>3415</v>
      </c>
      <c r="DMC1" t="s">
        <v>3416</v>
      </c>
      <c r="DMD1" t="s">
        <v>3417</v>
      </c>
      <c r="DME1" t="s">
        <v>3418</v>
      </c>
      <c r="DMF1" t="s">
        <v>3419</v>
      </c>
      <c r="DMG1" t="s">
        <v>3420</v>
      </c>
      <c r="DMH1" t="s">
        <v>3421</v>
      </c>
      <c r="DMI1" t="s">
        <v>3422</v>
      </c>
      <c r="DMJ1" t="s">
        <v>3423</v>
      </c>
      <c r="DMK1" t="s">
        <v>3424</v>
      </c>
      <c r="DML1" t="s">
        <v>3425</v>
      </c>
      <c r="DMM1" t="s">
        <v>3426</v>
      </c>
      <c r="DMN1" t="s">
        <v>3427</v>
      </c>
      <c r="DMO1" t="s">
        <v>3428</v>
      </c>
      <c r="DMP1" t="s">
        <v>3429</v>
      </c>
      <c r="DMQ1" t="s">
        <v>3430</v>
      </c>
      <c r="DMR1" t="s">
        <v>3431</v>
      </c>
      <c r="DMS1" t="s">
        <v>3432</v>
      </c>
      <c r="DMT1" t="s">
        <v>3433</v>
      </c>
      <c r="DMU1" t="s">
        <v>3434</v>
      </c>
      <c r="DMV1" t="s">
        <v>3435</v>
      </c>
      <c r="DMW1" t="s">
        <v>3436</v>
      </c>
      <c r="DMX1" t="s">
        <v>3437</v>
      </c>
      <c r="DMY1" t="s">
        <v>3438</v>
      </c>
      <c r="DMZ1" t="s">
        <v>3439</v>
      </c>
      <c r="DNA1" t="s">
        <v>3440</v>
      </c>
      <c r="DNB1" t="s">
        <v>3441</v>
      </c>
      <c r="DNC1" t="s">
        <v>3442</v>
      </c>
      <c r="DND1" t="s">
        <v>3443</v>
      </c>
      <c r="DNE1" t="s">
        <v>3444</v>
      </c>
      <c r="DNF1" t="s">
        <v>3445</v>
      </c>
      <c r="DNG1" t="s">
        <v>3446</v>
      </c>
      <c r="DNH1" t="s">
        <v>3447</v>
      </c>
      <c r="DNI1" t="s">
        <v>3448</v>
      </c>
      <c r="DNJ1" t="s">
        <v>3449</v>
      </c>
      <c r="DNK1" t="s">
        <v>3450</v>
      </c>
      <c r="DNL1" t="s">
        <v>3451</v>
      </c>
      <c r="DNM1" t="s">
        <v>3452</v>
      </c>
      <c r="DNN1" t="s">
        <v>3453</v>
      </c>
      <c r="DNO1" t="s">
        <v>3454</v>
      </c>
      <c r="DNP1" t="s">
        <v>3455</v>
      </c>
      <c r="DNQ1" t="s">
        <v>3456</v>
      </c>
      <c r="DNR1" t="s">
        <v>3457</v>
      </c>
      <c r="DNS1" t="s">
        <v>3458</v>
      </c>
      <c r="DNT1" t="s">
        <v>3459</v>
      </c>
      <c r="DNU1" t="s">
        <v>3460</v>
      </c>
      <c r="DNV1" t="s">
        <v>3461</v>
      </c>
      <c r="DNW1" t="s">
        <v>3462</v>
      </c>
      <c r="DNX1" t="s">
        <v>3463</v>
      </c>
      <c r="DNY1" t="s">
        <v>3464</v>
      </c>
      <c r="DNZ1" t="s">
        <v>3465</v>
      </c>
      <c r="DOA1" t="s">
        <v>3466</v>
      </c>
      <c r="DOB1" t="s">
        <v>3467</v>
      </c>
      <c r="DOC1" t="s">
        <v>3468</v>
      </c>
      <c r="DOD1" t="s">
        <v>3469</v>
      </c>
      <c r="DOE1" t="s">
        <v>3470</v>
      </c>
      <c r="DOF1" t="s">
        <v>3471</v>
      </c>
      <c r="DOG1" t="s">
        <v>3472</v>
      </c>
      <c r="DOH1" t="s">
        <v>3473</v>
      </c>
      <c r="DOI1" t="s">
        <v>3474</v>
      </c>
      <c r="DOJ1" t="s">
        <v>3475</v>
      </c>
      <c r="DOK1" t="s">
        <v>3476</v>
      </c>
      <c r="DOL1" t="s">
        <v>3477</v>
      </c>
      <c r="DOM1" t="s">
        <v>3478</v>
      </c>
      <c r="DON1" t="s">
        <v>3479</v>
      </c>
      <c r="DOO1" t="s">
        <v>3480</v>
      </c>
      <c r="DOP1" t="s">
        <v>3481</v>
      </c>
      <c r="DOQ1" t="s">
        <v>3482</v>
      </c>
      <c r="DOR1" t="s">
        <v>3483</v>
      </c>
      <c r="DOS1" t="s">
        <v>3484</v>
      </c>
      <c r="DOT1" t="s">
        <v>3485</v>
      </c>
      <c r="DOU1" t="s">
        <v>3486</v>
      </c>
      <c r="DOV1" t="s">
        <v>3487</v>
      </c>
      <c r="DOW1" t="s">
        <v>3488</v>
      </c>
      <c r="DOX1" t="s">
        <v>3489</v>
      </c>
      <c r="DOY1" t="s">
        <v>3490</v>
      </c>
      <c r="DOZ1" t="s">
        <v>3491</v>
      </c>
      <c r="DPA1" t="s">
        <v>3492</v>
      </c>
      <c r="DPB1" t="s">
        <v>3493</v>
      </c>
      <c r="DPC1" t="s">
        <v>3494</v>
      </c>
      <c r="DPD1" t="s">
        <v>3495</v>
      </c>
      <c r="DPE1" t="s">
        <v>3496</v>
      </c>
      <c r="DPF1" t="s">
        <v>3497</v>
      </c>
      <c r="DPG1" t="s">
        <v>3498</v>
      </c>
      <c r="DPH1" t="s">
        <v>3499</v>
      </c>
      <c r="DPI1" t="s">
        <v>3500</v>
      </c>
      <c r="DPJ1" t="s">
        <v>3501</v>
      </c>
      <c r="DPK1" t="s">
        <v>3502</v>
      </c>
      <c r="DPL1" t="s">
        <v>3503</v>
      </c>
      <c r="DPM1" t="s">
        <v>3504</v>
      </c>
      <c r="DPN1" t="s">
        <v>3505</v>
      </c>
      <c r="DPO1" t="s">
        <v>3506</v>
      </c>
      <c r="DPP1" t="s">
        <v>3507</v>
      </c>
      <c r="DPQ1" t="s">
        <v>3508</v>
      </c>
      <c r="DPR1" t="s">
        <v>3509</v>
      </c>
      <c r="DPS1" t="s">
        <v>3510</v>
      </c>
      <c r="DPT1" t="s">
        <v>3511</v>
      </c>
      <c r="DPU1" t="s">
        <v>3512</v>
      </c>
      <c r="DPV1" t="s">
        <v>3513</v>
      </c>
      <c r="DPW1" t="s">
        <v>3514</v>
      </c>
      <c r="DPX1" t="s">
        <v>3515</v>
      </c>
      <c r="DPY1" t="s">
        <v>3516</v>
      </c>
      <c r="DPZ1" t="s">
        <v>3517</v>
      </c>
      <c r="DQA1" t="s">
        <v>3518</v>
      </c>
      <c r="DQB1" t="s">
        <v>3519</v>
      </c>
      <c r="DQC1" t="s">
        <v>3520</v>
      </c>
      <c r="DQD1" t="s">
        <v>3521</v>
      </c>
      <c r="DQE1" t="s">
        <v>3522</v>
      </c>
      <c r="DQF1" t="s">
        <v>3523</v>
      </c>
      <c r="DQG1" t="s">
        <v>3524</v>
      </c>
      <c r="DQH1" t="s">
        <v>3525</v>
      </c>
      <c r="DQI1" t="s">
        <v>3526</v>
      </c>
      <c r="DQJ1" t="s">
        <v>3527</v>
      </c>
      <c r="DQK1" t="s">
        <v>3528</v>
      </c>
      <c r="DQL1" t="s">
        <v>3529</v>
      </c>
      <c r="DQM1" t="s">
        <v>3530</v>
      </c>
      <c r="DQN1" t="s">
        <v>3531</v>
      </c>
      <c r="DQO1" t="s">
        <v>3532</v>
      </c>
      <c r="DQP1" t="s">
        <v>3533</v>
      </c>
      <c r="DQQ1" t="s">
        <v>3534</v>
      </c>
      <c r="DQR1" t="s">
        <v>3535</v>
      </c>
      <c r="DQS1" t="s">
        <v>3536</v>
      </c>
      <c r="DQT1" t="s">
        <v>3537</v>
      </c>
      <c r="DQU1" t="s">
        <v>3538</v>
      </c>
      <c r="DQV1" t="s">
        <v>3539</v>
      </c>
      <c r="DQW1" t="s">
        <v>3540</v>
      </c>
      <c r="DQX1" t="s">
        <v>3541</v>
      </c>
      <c r="DQY1" t="s">
        <v>3542</v>
      </c>
      <c r="DQZ1" t="s">
        <v>3543</v>
      </c>
      <c r="DRA1" t="s">
        <v>3544</v>
      </c>
      <c r="DRB1" t="s">
        <v>3545</v>
      </c>
      <c r="DRC1" t="s">
        <v>3546</v>
      </c>
      <c r="DRD1" t="s">
        <v>3547</v>
      </c>
      <c r="DRE1" t="s">
        <v>3548</v>
      </c>
      <c r="DRF1" t="s">
        <v>3549</v>
      </c>
      <c r="DRG1" t="s">
        <v>3550</v>
      </c>
      <c r="DRH1" t="s">
        <v>3551</v>
      </c>
      <c r="DRI1" t="s">
        <v>3552</v>
      </c>
      <c r="DRJ1" t="s">
        <v>3553</v>
      </c>
      <c r="DRK1" t="s">
        <v>3554</v>
      </c>
      <c r="DRL1" t="s">
        <v>3555</v>
      </c>
      <c r="DRM1" t="s">
        <v>3556</v>
      </c>
      <c r="DRN1" t="s">
        <v>3557</v>
      </c>
      <c r="DRO1" t="s">
        <v>3558</v>
      </c>
      <c r="DRP1" t="s">
        <v>3559</v>
      </c>
      <c r="DRQ1" t="s">
        <v>3560</v>
      </c>
      <c r="DRR1" t="s">
        <v>3561</v>
      </c>
      <c r="DRS1" t="s">
        <v>3562</v>
      </c>
      <c r="DRT1" t="s">
        <v>3563</v>
      </c>
      <c r="DRU1" t="s">
        <v>3564</v>
      </c>
      <c r="DRV1" t="s">
        <v>3565</v>
      </c>
      <c r="DRW1" t="s">
        <v>3566</v>
      </c>
      <c r="DRX1" t="s">
        <v>3567</v>
      </c>
      <c r="DRY1" t="s">
        <v>3568</v>
      </c>
      <c r="DRZ1" t="s">
        <v>3569</v>
      </c>
      <c r="DSA1" t="s">
        <v>3570</v>
      </c>
      <c r="DSB1" t="s">
        <v>3571</v>
      </c>
      <c r="DSC1" t="s">
        <v>3572</v>
      </c>
      <c r="DSD1" t="s">
        <v>3573</v>
      </c>
      <c r="DSE1" t="s">
        <v>3574</v>
      </c>
      <c r="DSF1" t="s">
        <v>3575</v>
      </c>
      <c r="DSG1" t="s">
        <v>3576</v>
      </c>
      <c r="DSH1" t="s">
        <v>3577</v>
      </c>
      <c r="DSI1" t="s">
        <v>3578</v>
      </c>
      <c r="DSJ1" t="s">
        <v>3579</v>
      </c>
      <c r="DSK1" t="s">
        <v>3580</v>
      </c>
      <c r="DSL1" t="s">
        <v>3581</v>
      </c>
      <c r="DSM1" t="s">
        <v>3582</v>
      </c>
      <c r="DSN1" t="s">
        <v>3583</v>
      </c>
      <c r="DSO1" t="s">
        <v>3584</v>
      </c>
      <c r="DSP1" t="s">
        <v>3585</v>
      </c>
      <c r="DSQ1" t="s">
        <v>3586</v>
      </c>
      <c r="DSR1" t="s">
        <v>3587</v>
      </c>
      <c r="DSS1" t="s">
        <v>3588</v>
      </c>
      <c r="DST1" t="s">
        <v>3589</v>
      </c>
      <c r="DSU1" t="s">
        <v>3590</v>
      </c>
      <c r="DSV1" t="s">
        <v>3591</v>
      </c>
      <c r="DSW1" t="s">
        <v>3592</v>
      </c>
      <c r="DSX1" t="s">
        <v>3593</v>
      </c>
      <c r="DSY1" t="s">
        <v>3594</v>
      </c>
      <c r="DSZ1" t="s">
        <v>3595</v>
      </c>
      <c r="DTA1" t="s">
        <v>3596</v>
      </c>
      <c r="DTB1" t="s">
        <v>3597</v>
      </c>
      <c r="DTC1" t="s">
        <v>3598</v>
      </c>
      <c r="DTD1" t="s">
        <v>3599</v>
      </c>
      <c r="DTE1" t="s">
        <v>3600</v>
      </c>
      <c r="DTF1" t="s">
        <v>3601</v>
      </c>
      <c r="DTG1" t="s">
        <v>3602</v>
      </c>
      <c r="DTH1" t="s">
        <v>3603</v>
      </c>
      <c r="DTI1" t="s">
        <v>3604</v>
      </c>
      <c r="DTJ1" t="s">
        <v>3605</v>
      </c>
      <c r="DTK1" t="s">
        <v>3606</v>
      </c>
      <c r="DTL1" t="s">
        <v>3607</v>
      </c>
      <c r="DTM1" t="s">
        <v>3608</v>
      </c>
      <c r="DTN1" t="s">
        <v>3609</v>
      </c>
      <c r="DTO1" t="s">
        <v>3610</v>
      </c>
      <c r="DTP1" t="s">
        <v>3611</v>
      </c>
      <c r="DTQ1" t="s">
        <v>3612</v>
      </c>
      <c r="DTR1" t="s">
        <v>3613</v>
      </c>
      <c r="DTS1" t="s">
        <v>3614</v>
      </c>
      <c r="DTT1" t="s">
        <v>3615</v>
      </c>
      <c r="DTU1" t="s">
        <v>3616</v>
      </c>
      <c r="DTV1" t="s">
        <v>3617</v>
      </c>
      <c r="DTW1" t="s">
        <v>3618</v>
      </c>
      <c r="DTX1" t="s">
        <v>3619</v>
      </c>
      <c r="DTY1" t="s">
        <v>3620</v>
      </c>
      <c r="DTZ1" t="s">
        <v>3621</v>
      </c>
      <c r="DUA1" t="s">
        <v>3622</v>
      </c>
      <c r="DUB1" t="s">
        <v>3623</v>
      </c>
      <c r="DUC1" t="s">
        <v>3624</v>
      </c>
      <c r="DUD1" t="s">
        <v>3625</v>
      </c>
      <c r="DUE1" t="s">
        <v>3626</v>
      </c>
      <c r="DUF1" t="s">
        <v>3627</v>
      </c>
      <c r="DUG1" t="s">
        <v>3628</v>
      </c>
      <c r="DUH1" t="s">
        <v>3629</v>
      </c>
      <c r="DUI1" t="s">
        <v>3630</v>
      </c>
      <c r="DUJ1" t="s">
        <v>3631</v>
      </c>
      <c r="DUK1" t="s">
        <v>3632</v>
      </c>
      <c r="DUL1" t="s">
        <v>3633</v>
      </c>
      <c r="DUM1" t="s">
        <v>3634</v>
      </c>
      <c r="DUN1" t="s">
        <v>3635</v>
      </c>
      <c r="DUO1" t="s">
        <v>3636</v>
      </c>
      <c r="DUP1" t="s">
        <v>3637</v>
      </c>
      <c r="DUQ1" t="s">
        <v>3638</v>
      </c>
      <c r="DUR1" t="s">
        <v>3639</v>
      </c>
      <c r="DUS1" t="s">
        <v>3640</v>
      </c>
      <c r="DUT1" t="s">
        <v>3641</v>
      </c>
      <c r="DUU1" t="s">
        <v>3642</v>
      </c>
      <c r="DUV1" t="s">
        <v>3643</v>
      </c>
      <c r="DUW1" t="s">
        <v>3644</v>
      </c>
      <c r="DUX1" t="s">
        <v>3645</v>
      </c>
      <c r="DUY1" t="s">
        <v>3646</v>
      </c>
      <c r="DUZ1" t="s">
        <v>3647</v>
      </c>
      <c r="DVA1" t="s">
        <v>3648</v>
      </c>
      <c r="DVB1" t="s">
        <v>3649</v>
      </c>
      <c r="DVC1" t="s">
        <v>3650</v>
      </c>
      <c r="DVD1" t="s">
        <v>3651</v>
      </c>
      <c r="DVE1" t="s">
        <v>3652</v>
      </c>
      <c r="DVF1" t="s">
        <v>3653</v>
      </c>
      <c r="DVG1" t="s">
        <v>3654</v>
      </c>
      <c r="DVH1" t="s">
        <v>3655</v>
      </c>
      <c r="DVI1" t="s">
        <v>3656</v>
      </c>
      <c r="DVJ1" t="s">
        <v>3657</v>
      </c>
      <c r="DVK1" t="s">
        <v>3658</v>
      </c>
      <c r="DVL1" t="s">
        <v>3659</v>
      </c>
      <c r="DVM1" t="s">
        <v>3660</v>
      </c>
      <c r="DVN1" t="s">
        <v>3661</v>
      </c>
      <c r="DVO1" t="s">
        <v>3662</v>
      </c>
      <c r="DVP1" t="s">
        <v>3663</v>
      </c>
      <c r="DVQ1" t="s">
        <v>3664</v>
      </c>
      <c r="DVR1" t="s">
        <v>3665</v>
      </c>
      <c r="DVS1" t="s">
        <v>3666</v>
      </c>
      <c r="DVT1" t="s">
        <v>3667</v>
      </c>
      <c r="DVU1" t="s">
        <v>3668</v>
      </c>
      <c r="DVV1" t="s">
        <v>3669</v>
      </c>
      <c r="DVW1" t="s">
        <v>3670</v>
      </c>
      <c r="DVX1" t="s">
        <v>3671</v>
      </c>
      <c r="DVY1" t="s">
        <v>3672</v>
      </c>
      <c r="DVZ1" t="s">
        <v>3673</v>
      </c>
      <c r="DWA1" t="s">
        <v>3674</v>
      </c>
      <c r="DWB1" t="s">
        <v>3675</v>
      </c>
      <c r="DWC1" t="s">
        <v>3676</v>
      </c>
      <c r="DWD1" t="s">
        <v>3677</v>
      </c>
      <c r="DWE1" t="s">
        <v>3678</v>
      </c>
      <c r="DWF1" t="s">
        <v>3679</v>
      </c>
      <c r="DWG1" t="s">
        <v>3680</v>
      </c>
      <c r="DWH1" t="s">
        <v>3681</v>
      </c>
      <c r="DWI1" t="s">
        <v>3682</v>
      </c>
      <c r="DWJ1" t="s">
        <v>3683</v>
      </c>
      <c r="DWK1" t="s">
        <v>3684</v>
      </c>
      <c r="DWL1" t="s">
        <v>3685</v>
      </c>
      <c r="DWM1" t="s">
        <v>3686</v>
      </c>
      <c r="DWN1" t="s">
        <v>3687</v>
      </c>
      <c r="DWO1" t="s">
        <v>3688</v>
      </c>
      <c r="DWP1" t="s">
        <v>3689</v>
      </c>
      <c r="DWQ1" t="s">
        <v>3690</v>
      </c>
      <c r="DWR1" t="s">
        <v>3691</v>
      </c>
      <c r="DWS1" t="s">
        <v>3692</v>
      </c>
      <c r="DWT1" t="s">
        <v>3693</v>
      </c>
      <c r="DWU1" t="s">
        <v>3694</v>
      </c>
      <c r="DWV1" t="s">
        <v>3695</v>
      </c>
      <c r="DWW1" t="s">
        <v>3696</v>
      </c>
      <c r="DWX1" t="s">
        <v>3697</v>
      </c>
      <c r="DWY1" t="s">
        <v>3698</v>
      </c>
      <c r="DWZ1" t="s">
        <v>3699</v>
      </c>
      <c r="DXA1" t="s">
        <v>3700</v>
      </c>
      <c r="DXB1" t="s">
        <v>3701</v>
      </c>
      <c r="DXC1" t="s">
        <v>3702</v>
      </c>
      <c r="DXD1" t="s">
        <v>3703</v>
      </c>
      <c r="DXE1" t="s">
        <v>3704</v>
      </c>
      <c r="DXF1" t="s">
        <v>3705</v>
      </c>
      <c r="DXG1" t="s">
        <v>3706</v>
      </c>
      <c r="DXH1" t="s">
        <v>3707</v>
      </c>
      <c r="DXI1" t="s">
        <v>3708</v>
      </c>
      <c r="DXJ1" t="s">
        <v>3709</v>
      </c>
      <c r="DXK1" t="s">
        <v>3710</v>
      </c>
      <c r="DXL1" t="s">
        <v>3711</v>
      </c>
      <c r="DXM1" t="s">
        <v>3712</v>
      </c>
      <c r="DXN1" t="s">
        <v>3713</v>
      </c>
      <c r="DXO1" t="s">
        <v>3714</v>
      </c>
      <c r="DXP1" t="s">
        <v>3715</v>
      </c>
      <c r="DXQ1" t="s">
        <v>3716</v>
      </c>
      <c r="DXR1" t="s">
        <v>3717</v>
      </c>
      <c r="DXS1" t="s">
        <v>3718</v>
      </c>
      <c r="DXT1" t="s">
        <v>3719</v>
      </c>
      <c r="DXU1" t="s">
        <v>3720</v>
      </c>
      <c r="DXV1" t="s">
        <v>3721</v>
      </c>
      <c r="DXW1" t="s">
        <v>3722</v>
      </c>
      <c r="DXX1" t="s">
        <v>3723</v>
      </c>
      <c r="DXY1" t="s">
        <v>3724</v>
      </c>
      <c r="DXZ1" t="s">
        <v>3725</v>
      </c>
      <c r="DYA1" t="s">
        <v>3726</v>
      </c>
      <c r="DYB1" t="s">
        <v>3727</v>
      </c>
      <c r="DYC1" t="s">
        <v>3728</v>
      </c>
      <c r="DYD1" t="s">
        <v>3729</v>
      </c>
      <c r="DYE1" t="s">
        <v>3730</v>
      </c>
      <c r="DYF1" t="s">
        <v>3731</v>
      </c>
      <c r="DYG1" t="s">
        <v>3732</v>
      </c>
      <c r="DYH1" t="s">
        <v>3733</v>
      </c>
      <c r="DYI1" t="s">
        <v>3734</v>
      </c>
      <c r="DYJ1" t="s">
        <v>3735</v>
      </c>
      <c r="DYK1" t="s">
        <v>3736</v>
      </c>
      <c r="DYL1" t="s">
        <v>3737</v>
      </c>
      <c r="DYM1" t="s">
        <v>3738</v>
      </c>
      <c r="DYN1" t="s">
        <v>3739</v>
      </c>
      <c r="DYO1" t="s">
        <v>3740</v>
      </c>
      <c r="DYP1" t="s">
        <v>3741</v>
      </c>
      <c r="DYQ1" t="s">
        <v>3742</v>
      </c>
      <c r="DYR1" t="s">
        <v>3743</v>
      </c>
      <c r="DYS1" t="s">
        <v>3744</v>
      </c>
      <c r="DYT1" t="s">
        <v>3745</v>
      </c>
      <c r="DYU1" t="s">
        <v>3746</v>
      </c>
      <c r="DYV1" t="s">
        <v>3747</v>
      </c>
      <c r="DYW1" t="s">
        <v>3748</v>
      </c>
      <c r="DYX1" t="s">
        <v>3749</v>
      </c>
      <c r="DYY1" t="s">
        <v>3750</v>
      </c>
      <c r="DYZ1" t="s">
        <v>3751</v>
      </c>
      <c r="DZA1" t="s">
        <v>3752</v>
      </c>
      <c r="DZB1" t="s">
        <v>3753</v>
      </c>
      <c r="DZC1" t="s">
        <v>3754</v>
      </c>
      <c r="DZD1" t="s">
        <v>3755</v>
      </c>
      <c r="DZE1" t="s">
        <v>3756</v>
      </c>
      <c r="DZF1" t="s">
        <v>3757</v>
      </c>
      <c r="DZG1" t="s">
        <v>3758</v>
      </c>
      <c r="DZH1" t="s">
        <v>3759</v>
      </c>
      <c r="DZI1" t="s">
        <v>3760</v>
      </c>
      <c r="DZJ1" t="s">
        <v>3761</v>
      </c>
      <c r="DZK1" t="s">
        <v>3762</v>
      </c>
      <c r="DZL1" t="s">
        <v>3763</v>
      </c>
      <c r="DZM1" t="s">
        <v>3764</v>
      </c>
      <c r="DZN1" t="s">
        <v>3765</v>
      </c>
      <c r="DZO1" t="s">
        <v>3766</v>
      </c>
      <c r="DZP1" t="s">
        <v>3767</v>
      </c>
      <c r="DZQ1" t="s">
        <v>3768</v>
      </c>
      <c r="DZR1" t="s">
        <v>3769</v>
      </c>
      <c r="DZS1" t="s">
        <v>3770</v>
      </c>
      <c r="DZT1" t="s">
        <v>3771</v>
      </c>
      <c r="DZU1" t="s">
        <v>3772</v>
      </c>
      <c r="DZV1" t="s">
        <v>3773</v>
      </c>
      <c r="DZW1" t="s">
        <v>3774</v>
      </c>
      <c r="DZX1" t="s">
        <v>3775</v>
      </c>
      <c r="DZY1" t="s">
        <v>3776</v>
      </c>
      <c r="DZZ1" t="s">
        <v>3777</v>
      </c>
      <c r="EAA1" t="s">
        <v>3778</v>
      </c>
      <c r="EAB1" t="s">
        <v>3779</v>
      </c>
      <c r="EAC1" t="s">
        <v>3780</v>
      </c>
      <c r="EAD1" t="s">
        <v>3781</v>
      </c>
      <c r="EAE1" t="s">
        <v>3782</v>
      </c>
      <c r="EAF1" t="s">
        <v>3783</v>
      </c>
      <c r="EAG1" t="s">
        <v>3784</v>
      </c>
      <c r="EAH1" t="s">
        <v>3785</v>
      </c>
      <c r="EAI1" t="s">
        <v>3786</v>
      </c>
      <c r="EAJ1" t="s">
        <v>3787</v>
      </c>
      <c r="EAK1" t="s">
        <v>3788</v>
      </c>
      <c r="EAL1" t="s">
        <v>3789</v>
      </c>
      <c r="EAM1" t="s">
        <v>3790</v>
      </c>
      <c r="EAN1" t="s">
        <v>3791</v>
      </c>
      <c r="EAO1" t="s">
        <v>3792</v>
      </c>
      <c r="EAP1" t="s">
        <v>3793</v>
      </c>
      <c r="EAQ1" t="s">
        <v>3794</v>
      </c>
      <c r="EAR1" t="s">
        <v>3795</v>
      </c>
      <c r="EAS1" t="s">
        <v>3796</v>
      </c>
      <c r="EAT1" t="s">
        <v>3797</v>
      </c>
      <c r="EAU1" t="s">
        <v>3798</v>
      </c>
      <c r="EAV1" t="s">
        <v>3799</v>
      </c>
      <c r="EAW1" t="s">
        <v>3800</v>
      </c>
      <c r="EAX1" t="s">
        <v>3801</v>
      </c>
      <c r="EAY1" t="s">
        <v>3802</v>
      </c>
      <c r="EAZ1" t="s">
        <v>3803</v>
      </c>
      <c r="EBA1" t="s">
        <v>3804</v>
      </c>
      <c r="EBB1" t="s">
        <v>3805</v>
      </c>
      <c r="EBC1" t="s">
        <v>3806</v>
      </c>
      <c r="EBD1" t="s">
        <v>3807</v>
      </c>
      <c r="EBE1" t="s">
        <v>3808</v>
      </c>
      <c r="EBF1" t="s">
        <v>3809</v>
      </c>
      <c r="EBG1" t="s">
        <v>3810</v>
      </c>
      <c r="EBH1" t="s">
        <v>3811</v>
      </c>
      <c r="EBI1" t="s">
        <v>3812</v>
      </c>
      <c r="EBJ1" t="s">
        <v>3813</v>
      </c>
      <c r="EBK1" t="s">
        <v>3814</v>
      </c>
      <c r="EBL1" t="s">
        <v>3815</v>
      </c>
      <c r="EBM1" t="s">
        <v>3816</v>
      </c>
      <c r="EBN1" t="s">
        <v>3817</v>
      </c>
      <c r="EBO1" t="s">
        <v>3818</v>
      </c>
      <c r="EBP1" t="s">
        <v>3819</v>
      </c>
      <c r="EBQ1" t="s">
        <v>3820</v>
      </c>
      <c r="EBR1" t="s">
        <v>3821</v>
      </c>
      <c r="EBS1" t="s">
        <v>3822</v>
      </c>
      <c r="EBT1" t="s">
        <v>3823</v>
      </c>
      <c r="EBU1" t="s">
        <v>3824</v>
      </c>
      <c r="EBV1" t="s">
        <v>3825</v>
      </c>
      <c r="EBW1" t="s">
        <v>3826</v>
      </c>
      <c r="EBX1" t="s">
        <v>3827</v>
      </c>
      <c r="EBY1" t="s">
        <v>3828</v>
      </c>
      <c r="EBZ1" t="s">
        <v>3829</v>
      </c>
      <c r="ECA1" t="s">
        <v>3830</v>
      </c>
      <c r="ECB1" t="s">
        <v>3831</v>
      </c>
      <c r="ECC1" t="s">
        <v>3832</v>
      </c>
      <c r="ECD1" t="s">
        <v>3833</v>
      </c>
      <c r="ECE1" t="s">
        <v>3834</v>
      </c>
      <c r="ECF1" t="s">
        <v>3835</v>
      </c>
      <c r="ECG1" t="s">
        <v>3836</v>
      </c>
      <c r="ECH1" t="s">
        <v>3837</v>
      </c>
      <c r="ECI1" t="s">
        <v>3838</v>
      </c>
      <c r="ECJ1" t="s">
        <v>3839</v>
      </c>
      <c r="ECK1" t="s">
        <v>3840</v>
      </c>
      <c r="ECL1" t="s">
        <v>3841</v>
      </c>
      <c r="ECM1" t="s">
        <v>3842</v>
      </c>
      <c r="ECN1" t="s">
        <v>3843</v>
      </c>
      <c r="ECO1" t="s">
        <v>3844</v>
      </c>
      <c r="ECP1" t="s">
        <v>3845</v>
      </c>
      <c r="ECQ1" t="s">
        <v>3846</v>
      </c>
      <c r="ECR1" t="s">
        <v>3847</v>
      </c>
      <c r="ECS1" t="s">
        <v>3848</v>
      </c>
      <c r="ECT1" t="s">
        <v>3849</v>
      </c>
      <c r="ECU1" t="s">
        <v>3850</v>
      </c>
      <c r="ECV1" t="s">
        <v>3851</v>
      </c>
      <c r="ECW1" t="s">
        <v>3852</v>
      </c>
      <c r="ECX1" t="s">
        <v>3853</v>
      </c>
      <c r="ECY1" t="s">
        <v>3854</v>
      </c>
      <c r="ECZ1" t="s">
        <v>3855</v>
      </c>
      <c r="EDA1" t="s">
        <v>3856</v>
      </c>
      <c r="EDB1" t="s">
        <v>3857</v>
      </c>
      <c r="EDC1" t="s">
        <v>3858</v>
      </c>
      <c r="EDD1" t="s">
        <v>3859</v>
      </c>
      <c r="EDE1" t="s">
        <v>3860</v>
      </c>
      <c r="EDF1" t="s">
        <v>3861</v>
      </c>
      <c r="EDG1" t="s">
        <v>3862</v>
      </c>
      <c r="EDH1" t="s">
        <v>3863</v>
      </c>
      <c r="EDI1" t="s">
        <v>3864</v>
      </c>
      <c r="EDJ1" t="s">
        <v>3865</v>
      </c>
      <c r="EDK1" t="s">
        <v>3866</v>
      </c>
      <c r="EDL1" t="s">
        <v>3867</v>
      </c>
      <c r="EDM1" t="s">
        <v>3868</v>
      </c>
      <c r="EDN1" t="s">
        <v>3869</v>
      </c>
      <c r="EDO1" t="s">
        <v>3870</v>
      </c>
      <c r="EDP1" t="s">
        <v>3871</v>
      </c>
      <c r="EDQ1" t="s">
        <v>3872</v>
      </c>
      <c r="EDR1" t="s">
        <v>3873</v>
      </c>
      <c r="EDS1" t="s">
        <v>3874</v>
      </c>
      <c r="EDT1" t="s">
        <v>3875</v>
      </c>
      <c r="EDU1" t="s">
        <v>3876</v>
      </c>
      <c r="EDV1" t="s">
        <v>3877</v>
      </c>
      <c r="EDW1" t="s">
        <v>3878</v>
      </c>
      <c r="EDX1" t="s">
        <v>3879</v>
      </c>
      <c r="EDY1" t="s">
        <v>3880</v>
      </c>
      <c r="EDZ1" t="s">
        <v>3881</v>
      </c>
      <c r="EEA1" t="s">
        <v>3882</v>
      </c>
      <c r="EEB1" t="s">
        <v>3883</v>
      </c>
      <c r="EEC1" t="s">
        <v>3884</v>
      </c>
      <c r="EED1" t="s">
        <v>3885</v>
      </c>
      <c r="EEE1" t="s">
        <v>3886</v>
      </c>
      <c r="EEF1" t="s">
        <v>3887</v>
      </c>
      <c r="EEG1" t="s">
        <v>3888</v>
      </c>
      <c r="EEH1" t="s">
        <v>3889</v>
      </c>
      <c r="EEI1" t="s">
        <v>3890</v>
      </c>
      <c r="EEJ1" t="s">
        <v>3891</v>
      </c>
      <c r="EEK1" t="s">
        <v>3892</v>
      </c>
      <c r="EEL1" t="s">
        <v>3893</v>
      </c>
      <c r="EEM1" t="s">
        <v>3894</v>
      </c>
      <c r="EEN1" t="s">
        <v>3895</v>
      </c>
      <c r="EEO1" t="s">
        <v>3896</v>
      </c>
      <c r="EEP1" t="s">
        <v>3897</v>
      </c>
      <c r="EEQ1" t="s">
        <v>3898</v>
      </c>
      <c r="EER1" t="s">
        <v>3899</v>
      </c>
      <c r="EES1" t="s">
        <v>3900</v>
      </c>
      <c r="EET1" t="s">
        <v>3901</v>
      </c>
      <c r="EEU1" t="s">
        <v>3902</v>
      </c>
      <c r="EEV1" t="s">
        <v>3903</v>
      </c>
      <c r="EEW1" t="s">
        <v>3904</v>
      </c>
      <c r="EEX1" t="s">
        <v>3905</v>
      </c>
      <c r="EEY1" t="s">
        <v>3906</v>
      </c>
      <c r="EEZ1" t="s">
        <v>3907</v>
      </c>
      <c r="EFA1" t="s">
        <v>3908</v>
      </c>
      <c r="EFB1" t="s">
        <v>3909</v>
      </c>
      <c r="EFC1" t="s">
        <v>3910</v>
      </c>
      <c r="EFD1" t="s">
        <v>3911</v>
      </c>
      <c r="EFE1" t="s">
        <v>3912</v>
      </c>
      <c r="EFF1" t="s">
        <v>3913</v>
      </c>
      <c r="EFG1" t="s">
        <v>3914</v>
      </c>
      <c r="EFH1" t="s">
        <v>3915</v>
      </c>
      <c r="EFI1" t="s">
        <v>3916</v>
      </c>
      <c r="EFJ1" t="s">
        <v>3917</v>
      </c>
      <c r="EFK1" t="s">
        <v>3918</v>
      </c>
      <c r="EFL1" t="s">
        <v>3919</v>
      </c>
      <c r="EFM1" t="s">
        <v>3920</v>
      </c>
      <c r="EFN1" t="s">
        <v>3921</v>
      </c>
      <c r="EFO1" t="s">
        <v>3922</v>
      </c>
      <c r="EFP1" t="s">
        <v>3923</v>
      </c>
      <c r="EFQ1" t="s">
        <v>3924</v>
      </c>
      <c r="EFR1" t="s">
        <v>3925</v>
      </c>
      <c r="EFS1" t="s">
        <v>3926</v>
      </c>
      <c r="EFT1" t="s">
        <v>3927</v>
      </c>
      <c r="EFU1" t="s">
        <v>3928</v>
      </c>
      <c r="EFV1" t="s">
        <v>3929</v>
      </c>
      <c r="EFW1" t="s">
        <v>3930</v>
      </c>
      <c r="EFX1" t="s">
        <v>3931</v>
      </c>
      <c r="EFY1" t="s">
        <v>3932</v>
      </c>
      <c r="EFZ1" t="s">
        <v>3933</v>
      </c>
      <c r="EGA1" t="s">
        <v>3934</v>
      </c>
      <c r="EGB1" t="s">
        <v>3935</v>
      </c>
      <c r="EGC1" t="s">
        <v>3936</v>
      </c>
      <c r="EGD1" t="s">
        <v>3937</v>
      </c>
      <c r="EGE1" t="s">
        <v>3938</v>
      </c>
      <c r="EGF1" t="s">
        <v>3939</v>
      </c>
      <c r="EGG1" t="s">
        <v>3940</v>
      </c>
      <c r="EGH1" t="s">
        <v>3941</v>
      </c>
      <c r="EGI1" t="s">
        <v>3942</v>
      </c>
      <c r="EGJ1" t="s">
        <v>3943</v>
      </c>
      <c r="EGK1" t="s">
        <v>3944</v>
      </c>
      <c r="EGL1" t="s">
        <v>3945</v>
      </c>
      <c r="EGM1" t="s">
        <v>3946</v>
      </c>
      <c r="EGN1" t="s">
        <v>3947</v>
      </c>
      <c r="EGO1" t="s">
        <v>3948</v>
      </c>
      <c r="EGP1" t="s">
        <v>3949</v>
      </c>
      <c r="EGQ1" t="s">
        <v>3950</v>
      </c>
      <c r="EGR1" t="s">
        <v>3951</v>
      </c>
      <c r="EGS1" t="s">
        <v>3952</v>
      </c>
      <c r="EGT1" t="s">
        <v>3953</v>
      </c>
      <c r="EGU1" t="s">
        <v>3954</v>
      </c>
      <c r="EGV1" t="s">
        <v>3955</v>
      </c>
      <c r="EGW1" t="s">
        <v>3956</v>
      </c>
      <c r="EGX1" t="s">
        <v>3957</v>
      </c>
      <c r="EGY1" t="s">
        <v>3958</v>
      </c>
      <c r="EGZ1" t="s">
        <v>3959</v>
      </c>
      <c r="EHA1" t="s">
        <v>3960</v>
      </c>
      <c r="EHB1" t="s">
        <v>3961</v>
      </c>
      <c r="EHC1" t="s">
        <v>3962</v>
      </c>
      <c r="EHD1" t="s">
        <v>3963</v>
      </c>
      <c r="EHE1" t="s">
        <v>3964</v>
      </c>
      <c r="EHF1" t="s">
        <v>3965</v>
      </c>
      <c r="EHG1" t="s">
        <v>3966</v>
      </c>
      <c r="EHH1" t="s">
        <v>3967</v>
      </c>
      <c r="EHI1" t="s">
        <v>3968</v>
      </c>
      <c r="EHJ1" t="s">
        <v>3969</v>
      </c>
      <c r="EHK1" t="s">
        <v>3970</v>
      </c>
      <c r="EHL1" t="s">
        <v>3971</v>
      </c>
      <c r="EHM1" t="s">
        <v>3972</v>
      </c>
      <c r="EHN1" t="s">
        <v>3973</v>
      </c>
      <c r="EHO1" t="s">
        <v>3974</v>
      </c>
      <c r="EHP1" t="s">
        <v>3975</v>
      </c>
      <c r="EHQ1" t="s">
        <v>3976</v>
      </c>
      <c r="EHR1" t="s">
        <v>3977</v>
      </c>
      <c r="EHS1" t="s">
        <v>3978</v>
      </c>
      <c r="EHT1" t="s">
        <v>3979</v>
      </c>
      <c r="EHU1" t="s">
        <v>3980</v>
      </c>
      <c r="EHV1" t="s">
        <v>3981</v>
      </c>
      <c r="EHW1" t="s">
        <v>3982</v>
      </c>
      <c r="EHX1" t="s">
        <v>3983</v>
      </c>
      <c r="EHY1" t="s">
        <v>3984</v>
      </c>
      <c r="EHZ1" t="s">
        <v>3985</v>
      </c>
      <c r="EIA1" t="s">
        <v>3986</v>
      </c>
      <c r="EIB1" t="s">
        <v>3987</v>
      </c>
      <c r="EIC1" t="s">
        <v>3988</v>
      </c>
      <c r="EID1" t="s">
        <v>3989</v>
      </c>
      <c r="EIE1" t="s">
        <v>3990</v>
      </c>
      <c r="EIF1" t="s">
        <v>3991</v>
      </c>
      <c r="EIG1" t="s">
        <v>3992</v>
      </c>
      <c r="EIH1" t="s">
        <v>3993</v>
      </c>
      <c r="EII1" t="s">
        <v>3994</v>
      </c>
      <c r="EIJ1" t="s">
        <v>3995</v>
      </c>
      <c r="EIK1" t="s">
        <v>3996</v>
      </c>
      <c r="EIL1" t="s">
        <v>3997</v>
      </c>
      <c r="EIM1" t="s">
        <v>3998</v>
      </c>
      <c r="EIN1" t="s">
        <v>3999</v>
      </c>
      <c r="EIO1" t="s">
        <v>4000</v>
      </c>
      <c r="EIP1" t="s">
        <v>4001</v>
      </c>
      <c r="EIQ1" t="s">
        <v>4002</v>
      </c>
      <c r="EIR1" t="s">
        <v>4003</v>
      </c>
      <c r="EIS1" t="s">
        <v>4004</v>
      </c>
      <c r="EIT1" t="s">
        <v>4005</v>
      </c>
      <c r="EIU1" t="s">
        <v>4006</v>
      </c>
      <c r="EIV1" t="s">
        <v>4007</v>
      </c>
      <c r="EIW1" t="s">
        <v>4008</v>
      </c>
      <c r="EIX1" t="s">
        <v>4009</v>
      </c>
      <c r="EIY1" t="s">
        <v>4010</v>
      </c>
      <c r="EIZ1" t="s">
        <v>4011</v>
      </c>
      <c r="EJA1" t="s">
        <v>4012</v>
      </c>
      <c r="EJB1" t="s">
        <v>4013</v>
      </c>
      <c r="EJC1" t="s">
        <v>4014</v>
      </c>
      <c r="EJD1" t="s">
        <v>4015</v>
      </c>
      <c r="EJE1" t="s">
        <v>4016</v>
      </c>
      <c r="EJF1" t="s">
        <v>4017</v>
      </c>
      <c r="EJG1" t="s">
        <v>4018</v>
      </c>
      <c r="EJH1" t="s">
        <v>4019</v>
      </c>
      <c r="EJI1" t="s">
        <v>4020</v>
      </c>
      <c r="EJJ1" t="s">
        <v>4021</v>
      </c>
      <c r="EJK1" t="s">
        <v>4022</v>
      </c>
      <c r="EJL1" t="s">
        <v>4023</v>
      </c>
      <c r="EJM1" t="s">
        <v>4024</v>
      </c>
      <c r="EJN1" t="s">
        <v>4025</v>
      </c>
      <c r="EJO1" t="s">
        <v>4026</v>
      </c>
      <c r="EJP1" t="s">
        <v>4027</v>
      </c>
      <c r="EJQ1" t="s">
        <v>4028</v>
      </c>
      <c r="EJR1" t="s">
        <v>4029</v>
      </c>
      <c r="EJS1" t="s">
        <v>4030</v>
      </c>
      <c r="EJT1" t="s">
        <v>4031</v>
      </c>
      <c r="EJU1" t="s">
        <v>4032</v>
      </c>
      <c r="EJV1" t="s">
        <v>4033</v>
      </c>
      <c r="EJW1" t="s">
        <v>4034</v>
      </c>
      <c r="EJX1" t="s">
        <v>4035</v>
      </c>
      <c r="EJY1" t="s">
        <v>4036</v>
      </c>
      <c r="EJZ1" t="s">
        <v>4037</v>
      </c>
      <c r="EKA1" t="s">
        <v>4038</v>
      </c>
      <c r="EKB1" t="s">
        <v>4039</v>
      </c>
      <c r="EKC1" t="s">
        <v>4040</v>
      </c>
      <c r="EKD1" t="s">
        <v>4041</v>
      </c>
      <c r="EKE1" t="s">
        <v>4042</v>
      </c>
      <c r="EKF1" t="s">
        <v>4043</v>
      </c>
      <c r="EKG1" t="s">
        <v>4044</v>
      </c>
      <c r="EKH1" t="s">
        <v>4045</v>
      </c>
      <c r="EKI1" t="s">
        <v>4046</v>
      </c>
      <c r="EKJ1" t="s">
        <v>4047</v>
      </c>
      <c r="EKK1" t="s">
        <v>4048</v>
      </c>
      <c r="EKL1" t="s">
        <v>4049</v>
      </c>
      <c r="EKM1" t="s">
        <v>4050</v>
      </c>
      <c r="EKN1" t="s">
        <v>4051</v>
      </c>
      <c r="EKO1" t="s">
        <v>4052</v>
      </c>
      <c r="EKP1" t="s">
        <v>4053</v>
      </c>
      <c r="EKQ1" t="s">
        <v>4054</v>
      </c>
      <c r="EKR1" t="s">
        <v>4055</v>
      </c>
      <c r="EKS1" t="s">
        <v>4056</v>
      </c>
      <c r="EKT1" t="s">
        <v>4057</v>
      </c>
      <c r="EKU1" t="s">
        <v>4058</v>
      </c>
      <c r="EKV1" t="s">
        <v>4059</v>
      </c>
      <c r="EKW1" t="s">
        <v>4060</v>
      </c>
      <c r="EKX1" t="s">
        <v>4061</v>
      </c>
      <c r="EKY1" t="s">
        <v>4062</v>
      </c>
      <c r="EKZ1" t="s">
        <v>4063</v>
      </c>
      <c r="ELA1" t="s">
        <v>4064</v>
      </c>
      <c r="ELB1" t="s">
        <v>4065</v>
      </c>
      <c r="ELC1" t="s">
        <v>4066</v>
      </c>
      <c r="ELD1" t="s">
        <v>4067</v>
      </c>
      <c r="ELE1" t="s">
        <v>4068</v>
      </c>
      <c r="ELF1" t="s">
        <v>4069</v>
      </c>
      <c r="ELG1" t="s">
        <v>4070</v>
      </c>
      <c r="ELH1" t="s">
        <v>4071</v>
      </c>
      <c r="ELI1" t="s">
        <v>4072</v>
      </c>
      <c r="ELJ1" t="s">
        <v>4073</v>
      </c>
      <c r="ELK1" t="s">
        <v>4074</v>
      </c>
      <c r="ELL1" t="s">
        <v>4075</v>
      </c>
      <c r="ELM1" t="s">
        <v>4076</v>
      </c>
      <c r="ELN1" t="s">
        <v>4077</v>
      </c>
      <c r="ELO1" t="s">
        <v>4078</v>
      </c>
      <c r="ELP1" t="s">
        <v>4079</v>
      </c>
      <c r="ELQ1" t="s">
        <v>4080</v>
      </c>
      <c r="ELR1" t="s">
        <v>4081</v>
      </c>
      <c r="ELS1" t="s">
        <v>4082</v>
      </c>
      <c r="ELT1" t="s">
        <v>4083</v>
      </c>
      <c r="ELU1" t="s">
        <v>4084</v>
      </c>
      <c r="ELV1" t="s">
        <v>4085</v>
      </c>
      <c r="ELW1" t="s">
        <v>4086</v>
      </c>
      <c r="ELX1" t="s">
        <v>4087</v>
      </c>
      <c r="ELY1" t="s">
        <v>4088</v>
      </c>
      <c r="ELZ1" t="s">
        <v>4089</v>
      </c>
      <c r="EMA1" t="s">
        <v>4090</v>
      </c>
      <c r="EMB1" t="s">
        <v>4091</v>
      </c>
      <c r="EMC1" t="s">
        <v>4092</v>
      </c>
      <c r="EMD1" t="s">
        <v>4093</v>
      </c>
      <c r="EME1" t="s">
        <v>4094</v>
      </c>
      <c r="EMF1" t="s">
        <v>4095</v>
      </c>
      <c r="EMG1" t="s">
        <v>4096</v>
      </c>
      <c r="EMH1" t="s">
        <v>4097</v>
      </c>
      <c r="EMI1" t="s">
        <v>4098</v>
      </c>
      <c r="EMJ1" t="s">
        <v>4099</v>
      </c>
      <c r="EMK1" t="s">
        <v>4100</v>
      </c>
      <c r="EML1" t="s">
        <v>4101</v>
      </c>
      <c r="EMM1" t="s">
        <v>4102</v>
      </c>
      <c r="EMN1" t="s">
        <v>4103</v>
      </c>
      <c r="EMO1" t="s">
        <v>4104</v>
      </c>
      <c r="EMP1" t="s">
        <v>4105</v>
      </c>
      <c r="EMQ1" t="s">
        <v>4106</v>
      </c>
      <c r="EMR1" t="s">
        <v>4107</v>
      </c>
      <c r="EMS1" t="s">
        <v>4108</v>
      </c>
      <c r="EMT1" t="s">
        <v>4109</v>
      </c>
      <c r="EMU1" t="s">
        <v>4110</v>
      </c>
      <c r="EMV1" t="s">
        <v>4111</v>
      </c>
      <c r="EMW1" t="s">
        <v>4112</v>
      </c>
      <c r="EMX1" t="s">
        <v>4113</v>
      </c>
      <c r="EMY1" t="s">
        <v>4114</v>
      </c>
      <c r="EMZ1" t="s">
        <v>4115</v>
      </c>
      <c r="ENA1" t="s">
        <v>4116</v>
      </c>
      <c r="ENB1" t="s">
        <v>4117</v>
      </c>
      <c r="ENC1" t="s">
        <v>4118</v>
      </c>
      <c r="END1" t="s">
        <v>4119</v>
      </c>
      <c r="ENE1" t="s">
        <v>4120</v>
      </c>
      <c r="ENF1" t="s">
        <v>4121</v>
      </c>
      <c r="ENG1" t="s">
        <v>4122</v>
      </c>
      <c r="ENH1" t="s">
        <v>4123</v>
      </c>
      <c r="ENI1" t="s">
        <v>4124</v>
      </c>
      <c r="ENJ1" t="s">
        <v>4125</v>
      </c>
      <c r="ENK1" t="s">
        <v>4126</v>
      </c>
      <c r="ENL1" t="s">
        <v>4127</v>
      </c>
      <c r="ENM1" t="s">
        <v>4128</v>
      </c>
      <c r="ENN1" t="s">
        <v>4129</v>
      </c>
      <c r="ENO1" t="s">
        <v>4130</v>
      </c>
      <c r="ENP1" t="s">
        <v>4131</v>
      </c>
      <c r="ENQ1" t="s">
        <v>4132</v>
      </c>
      <c r="ENR1" t="s">
        <v>4133</v>
      </c>
      <c r="ENS1" t="s">
        <v>4134</v>
      </c>
      <c r="ENT1" t="s">
        <v>4135</v>
      </c>
      <c r="ENU1" t="s">
        <v>4136</v>
      </c>
      <c r="ENV1" t="s">
        <v>4137</v>
      </c>
      <c r="ENW1" t="s">
        <v>4138</v>
      </c>
      <c r="ENX1" t="s">
        <v>4139</v>
      </c>
      <c r="ENY1" t="s">
        <v>4140</v>
      </c>
      <c r="ENZ1" t="s">
        <v>4141</v>
      </c>
      <c r="EOA1" t="s">
        <v>4142</v>
      </c>
      <c r="EOB1" t="s">
        <v>4143</v>
      </c>
      <c r="EOC1" t="s">
        <v>4144</v>
      </c>
      <c r="EOD1" t="s">
        <v>4145</v>
      </c>
      <c r="EOE1" t="s">
        <v>4146</v>
      </c>
      <c r="EOF1" t="s">
        <v>4147</v>
      </c>
      <c r="EOG1" t="s">
        <v>4148</v>
      </c>
      <c r="EOH1" t="s">
        <v>4149</v>
      </c>
      <c r="EOI1" t="s">
        <v>4150</v>
      </c>
      <c r="EOJ1" t="s">
        <v>4151</v>
      </c>
      <c r="EOK1" t="s">
        <v>4152</v>
      </c>
      <c r="EOL1" t="s">
        <v>4153</v>
      </c>
      <c r="EOM1" t="s">
        <v>4154</v>
      </c>
      <c r="EON1" t="s">
        <v>4155</v>
      </c>
      <c r="EOO1" t="s">
        <v>4156</v>
      </c>
      <c r="EOP1" t="s">
        <v>4157</v>
      </c>
      <c r="EOQ1" t="s">
        <v>4158</v>
      </c>
      <c r="EOR1" t="s">
        <v>4159</v>
      </c>
      <c r="EOS1" t="s">
        <v>4160</v>
      </c>
      <c r="EOT1" t="s">
        <v>4161</v>
      </c>
      <c r="EOU1" t="s">
        <v>4162</v>
      </c>
      <c r="EOV1" t="s">
        <v>4163</v>
      </c>
      <c r="EOW1" t="s">
        <v>4164</v>
      </c>
      <c r="EOX1" t="s">
        <v>4165</v>
      </c>
      <c r="EOY1" t="s">
        <v>4166</v>
      </c>
      <c r="EOZ1" t="s">
        <v>4167</v>
      </c>
      <c r="EPA1" t="s">
        <v>4168</v>
      </c>
      <c r="EPB1" t="s">
        <v>4169</v>
      </c>
      <c r="EPC1" t="s">
        <v>4170</v>
      </c>
      <c r="EPD1" t="s">
        <v>4171</v>
      </c>
      <c r="EPE1" t="s">
        <v>4172</v>
      </c>
      <c r="EPF1" t="s">
        <v>4173</v>
      </c>
      <c r="EPG1" t="s">
        <v>4174</v>
      </c>
      <c r="EPH1" t="s">
        <v>4175</v>
      </c>
      <c r="EPI1" t="s">
        <v>4176</v>
      </c>
      <c r="EPJ1" t="s">
        <v>4177</v>
      </c>
      <c r="EPK1" t="s">
        <v>4178</v>
      </c>
      <c r="EPL1" t="s">
        <v>4179</v>
      </c>
      <c r="EPM1" t="s">
        <v>4180</v>
      </c>
      <c r="EPN1" t="s">
        <v>4181</v>
      </c>
      <c r="EPO1" t="s">
        <v>4182</v>
      </c>
      <c r="EPP1" t="s">
        <v>4183</v>
      </c>
      <c r="EPQ1" t="s">
        <v>4184</v>
      </c>
      <c r="EPR1" t="s">
        <v>4185</v>
      </c>
      <c r="EPS1" t="s">
        <v>4186</v>
      </c>
      <c r="EPT1" t="s">
        <v>4187</v>
      </c>
      <c r="EPU1" t="s">
        <v>4188</v>
      </c>
      <c r="EPV1" t="s">
        <v>4189</v>
      </c>
      <c r="EPW1" t="s">
        <v>4190</v>
      </c>
      <c r="EPX1" t="s">
        <v>4191</v>
      </c>
      <c r="EPY1" t="s">
        <v>4192</v>
      </c>
      <c r="EPZ1" t="s">
        <v>4193</v>
      </c>
      <c r="EQA1" t="s">
        <v>4194</v>
      </c>
      <c r="EQB1" t="s">
        <v>4195</v>
      </c>
      <c r="EQC1" t="s">
        <v>4196</v>
      </c>
      <c r="EQD1" t="s">
        <v>4197</v>
      </c>
      <c r="EQE1" t="s">
        <v>4198</v>
      </c>
      <c r="EQF1" t="s">
        <v>4199</v>
      </c>
      <c r="EQG1" t="s">
        <v>4200</v>
      </c>
      <c r="EQH1" t="s">
        <v>4201</v>
      </c>
      <c r="EQI1" t="s">
        <v>4202</v>
      </c>
      <c r="EQJ1" t="s">
        <v>4203</v>
      </c>
      <c r="EQK1" t="s">
        <v>4204</v>
      </c>
      <c r="EQL1" t="s">
        <v>4205</v>
      </c>
      <c r="EQM1" t="s">
        <v>4206</v>
      </c>
      <c r="EQN1" t="s">
        <v>4207</v>
      </c>
      <c r="EQO1" t="s">
        <v>4208</v>
      </c>
      <c r="EQP1" t="s">
        <v>4209</v>
      </c>
      <c r="EQQ1" t="s">
        <v>4210</v>
      </c>
      <c r="EQR1" t="s">
        <v>4211</v>
      </c>
      <c r="EQS1" t="s">
        <v>4212</v>
      </c>
      <c r="EQT1" t="s">
        <v>4213</v>
      </c>
      <c r="EQU1" t="s">
        <v>4214</v>
      </c>
      <c r="EQV1" t="s">
        <v>4215</v>
      </c>
      <c r="EQW1" t="s">
        <v>4216</v>
      </c>
      <c r="EQX1" t="s">
        <v>4217</v>
      </c>
      <c r="EQY1" t="s">
        <v>4218</v>
      </c>
      <c r="EQZ1" t="s">
        <v>4219</v>
      </c>
      <c r="ERA1" t="s">
        <v>4220</v>
      </c>
      <c r="ERB1" t="s">
        <v>4221</v>
      </c>
      <c r="ERC1" t="s">
        <v>4222</v>
      </c>
      <c r="ERD1" t="s">
        <v>4223</v>
      </c>
      <c r="ERE1" t="s">
        <v>4224</v>
      </c>
      <c r="ERF1" t="s">
        <v>4225</v>
      </c>
      <c r="ERG1" t="s">
        <v>4226</v>
      </c>
      <c r="ERH1" t="s">
        <v>4227</v>
      </c>
      <c r="ERI1" t="s">
        <v>4228</v>
      </c>
      <c r="ERJ1" t="s">
        <v>4229</v>
      </c>
      <c r="ERK1" t="s">
        <v>4230</v>
      </c>
      <c r="ERL1" t="s">
        <v>4231</v>
      </c>
      <c r="ERM1" t="s">
        <v>4232</v>
      </c>
      <c r="ERN1" t="s">
        <v>4233</v>
      </c>
      <c r="ERO1" t="s">
        <v>4234</v>
      </c>
      <c r="ERP1" t="s">
        <v>4235</v>
      </c>
      <c r="ERQ1" t="s">
        <v>4236</v>
      </c>
      <c r="ERR1" t="s">
        <v>4237</v>
      </c>
      <c r="ERS1" t="s">
        <v>4238</v>
      </c>
      <c r="ERT1" t="s">
        <v>4239</v>
      </c>
      <c r="ERU1" t="s">
        <v>4240</v>
      </c>
      <c r="ERV1" t="s">
        <v>4241</v>
      </c>
      <c r="ERW1" t="s">
        <v>4242</v>
      </c>
      <c r="ERX1" t="s">
        <v>4243</v>
      </c>
      <c r="ERY1" t="s">
        <v>4244</v>
      </c>
      <c r="ERZ1" t="s">
        <v>4245</v>
      </c>
      <c r="ESA1" t="s">
        <v>4246</v>
      </c>
      <c r="ESB1" t="s">
        <v>4247</v>
      </c>
      <c r="ESC1" t="s">
        <v>4248</v>
      </c>
      <c r="ESD1" t="s">
        <v>4249</v>
      </c>
      <c r="ESE1" t="s">
        <v>4250</v>
      </c>
      <c r="ESF1" t="s">
        <v>4251</v>
      </c>
      <c r="ESG1" t="s">
        <v>4252</v>
      </c>
      <c r="ESH1" t="s">
        <v>4253</v>
      </c>
      <c r="ESI1" t="s">
        <v>4254</v>
      </c>
      <c r="ESJ1" t="s">
        <v>4255</v>
      </c>
      <c r="ESK1" t="s">
        <v>4256</v>
      </c>
      <c r="ESL1" t="s">
        <v>4257</v>
      </c>
      <c r="ESM1" t="s">
        <v>4258</v>
      </c>
      <c r="ESN1" t="s">
        <v>4259</v>
      </c>
      <c r="ESO1" t="s">
        <v>4260</v>
      </c>
      <c r="ESP1" t="s">
        <v>4261</v>
      </c>
      <c r="ESQ1" t="s">
        <v>4262</v>
      </c>
      <c r="ESR1" t="s">
        <v>4263</v>
      </c>
      <c r="ESS1" t="s">
        <v>4264</v>
      </c>
      <c r="EST1" t="s">
        <v>4265</v>
      </c>
      <c r="ESU1" t="s">
        <v>4266</v>
      </c>
      <c r="ESV1" t="s">
        <v>4267</v>
      </c>
      <c r="ESW1" t="s">
        <v>4268</v>
      </c>
      <c r="ESX1" t="s">
        <v>4269</v>
      </c>
      <c r="ESY1" t="s">
        <v>4270</v>
      </c>
      <c r="ESZ1" t="s">
        <v>4271</v>
      </c>
      <c r="ETA1" t="s">
        <v>4272</v>
      </c>
      <c r="ETB1" t="s">
        <v>4273</v>
      </c>
      <c r="ETC1" t="s">
        <v>4274</v>
      </c>
      <c r="ETD1" t="s">
        <v>4275</v>
      </c>
      <c r="ETE1" t="s">
        <v>4276</v>
      </c>
      <c r="ETF1" t="s">
        <v>4277</v>
      </c>
      <c r="ETG1" t="s">
        <v>4278</v>
      </c>
      <c r="ETH1" t="s">
        <v>4279</v>
      </c>
      <c r="ETI1" t="s">
        <v>4280</v>
      </c>
      <c r="ETJ1" t="s">
        <v>4281</v>
      </c>
      <c r="ETK1" t="s">
        <v>4282</v>
      </c>
      <c r="ETL1" t="s">
        <v>4283</v>
      </c>
      <c r="ETM1" t="s">
        <v>4284</v>
      </c>
      <c r="ETN1" t="s">
        <v>4285</v>
      </c>
      <c r="ETO1" t="s">
        <v>4286</v>
      </c>
      <c r="ETP1" t="s">
        <v>4287</v>
      </c>
      <c r="ETQ1" t="s">
        <v>4288</v>
      </c>
      <c r="ETR1" t="s">
        <v>4289</v>
      </c>
      <c r="ETS1" t="s">
        <v>4290</v>
      </c>
      <c r="ETT1" t="s">
        <v>4291</v>
      </c>
      <c r="ETU1" t="s">
        <v>4292</v>
      </c>
      <c r="ETV1" t="s">
        <v>4293</v>
      </c>
      <c r="ETW1" t="s">
        <v>4294</v>
      </c>
      <c r="ETX1" t="s">
        <v>4295</v>
      </c>
      <c r="ETY1" t="s">
        <v>4296</v>
      </c>
      <c r="ETZ1" t="s">
        <v>4297</v>
      </c>
      <c r="EUA1" t="s">
        <v>4298</v>
      </c>
      <c r="EUB1" t="s">
        <v>4299</v>
      </c>
      <c r="EUC1" t="s">
        <v>4300</v>
      </c>
      <c r="EUD1" t="s">
        <v>4301</v>
      </c>
      <c r="EUE1" t="s">
        <v>4302</v>
      </c>
      <c r="EUF1" t="s">
        <v>4303</v>
      </c>
      <c r="EUG1" t="s">
        <v>4304</v>
      </c>
      <c r="EUH1" t="s">
        <v>4305</v>
      </c>
      <c r="EUI1" t="s">
        <v>4306</v>
      </c>
      <c r="EUJ1" t="s">
        <v>4307</v>
      </c>
      <c r="EUK1" t="s">
        <v>4308</v>
      </c>
      <c r="EUL1" t="s">
        <v>4309</v>
      </c>
      <c r="EUM1" t="s">
        <v>4310</v>
      </c>
      <c r="EUN1" t="s">
        <v>4311</v>
      </c>
      <c r="EUO1" t="s">
        <v>4312</v>
      </c>
      <c r="EUP1" t="s">
        <v>4313</v>
      </c>
      <c r="EUQ1" t="s">
        <v>4314</v>
      </c>
      <c r="EUR1" t="s">
        <v>4315</v>
      </c>
      <c r="EUS1" t="s">
        <v>4316</v>
      </c>
      <c r="EUT1" t="s">
        <v>4317</v>
      </c>
      <c r="EUU1" t="s">
        <v>4318</v>
      </c>
      <c r="EUV1" t="s">
        <v>4319</v>
      </c>
      <c r="EUW1" t="s">
        <v>4320</v>
      </c>
      <c r="EUX1" t="s">
        <v>4321</v>
      </c>
      <c r="EUY1" t="s">
        <v>4322</v>
      </c>
      <c r="EUZ1" t="s">
        <v>4323</v>
      </c>
      <c r="EVA1" t="s">
        <v>4324</v>
      </c>
      <c r="EVB1" t="s">
        <v>4325</v>
      </c>
      <c r="EVC1" t="s">
        <v>4326</v>
      </c>
      <c r="EVD1" t="s">
        <v>4327</v>
      </c>
      <c r="EVE1" t="s">
        <v>4328</v>
      </c>
      <c r="EVF1" t="s">
        <v>4329</v>
      </c>
      <c r="EVG1" t="s">
        <v>4330</v>
      </c>
      <c r="EVH1" t="s">
        <v>4331</v>
      </c>
      <c r="EVI1" t="s">
        <v>4332</v>
      </c>
      <c r="EVJ1" t="s">
        <v>4333</v>
      </c>
      <c r="EVK1" t="s">
        <v>4334</v>
      </c>
      <c r="EVL1" t="s">
        <v>4335</v>
      </c>
      <c r="EVM1" t="s">
        <v>4336</v>
      </c>
      <c r="EVN1" t="s">
        <v>4337</v>
      </c>
      <c r="EVO1" t="s">
        <v>4338</v>
      </c>
      <c r="EVP1" t="s">
        <v>4339</v>
      </c>
      <c r="EVQ1" t="s">
        <v>4340</v>
      </c>
      <c r="EVR1" t="s">
        <v>4341</v>
      </c>
      <c r="EVS1" t="s">
        <v>4342</v>
      </c>
      <c r="EVT1" t="s">
        <v>4343</v>
      </c>
      <c r="EVU1" t="s">
        <v>4344</v>
      </c>
      <c r="EVV1" t="s">
        <v>4345</v>
      </c>
      <c r="EVW1" t="s">
        <v>4346</v>
      </c>
      <c r="EVX1" t="s">
        <v>4347</v>
      </c>
      <c r="EVY1" t="s">
        <v>4348</v>
      </c>
      <c r="EVZ1" t="s">
        <v>4349</v>
      </c>
      <c r="EWA1" t="s">
        <v>4350</v>
      </c>
      <c r="EWB1" t="s">
        <v>4351</v>
      </c>
      <c r="EWC1" t="s">
        <v>4352</v>
      </c>
      <c r="EWD1" t="s">
        <v>4353</v>
      </c>
      <c r="EWE1" t="s">
        <v>4354</v>
      </c>
      <c r="EWF1" t="s">
        <v>4355</v>
      </c>
      <c r="EWG1" t="s">
        <v>4356</v>
      </c>
      <c r="EWH1" t="s">
        <v>4357</v>
      </c>
      <c r="EWI1" t="s">
        <v>4358</v>
      </c>
      <c r="EWJ1" t="s">
        <v>4359</v>
      </c>
      <c r="EWK1" t="s">
        <v>4360</v>
      </c>
      <c r="EWL1" t="s">
        <v>4361</v>
      </c>
      <c r="EWM1" t="s">
        <v>4362</v>
      </c>
      <c r="EWN1" t="s">
        <v>4363</v>
      </c>
      <c r="EWO1" t="s">
        <v>4364</v>
      </c>
      <c r="EWP1" t="s">
        <v>4365</v>
      </c>
      <c r="EWQ1" t="s">
        <v>4366</v>
      </c>
      <c r="EWR1" t="s">
        <v>4367</v>
      </c>
      <c r="EWS1" t="s">
        <v>4368</v>
      </c>
      <c r="EWT1" t="s">
        <v>4369</v>
      </c>
      <c r="EWU1" t="s">
        <v>4370</v>
      </c>
      <c r="EWV1" t="s">
        <v>4371</v>
      </c>
      <c r="EWW1" t="s">
        <v>4372</v>
      </c>
      <c r="EWX1" t="s">
        <v>4373</v>
      </c>
      <c r="EWY1" t="s">
        <v>4374</v>
      </c>
      <c r="EWZ1" t="s">
        <v>4375</v>
      </c>
      <c r="EXA1" t="s">
        <v>4376</v>
      </c>
      <c r="EXB1" t="s">
        <v>4377</v>
      </c>
      <c r="EXC1" t="s">
        <v>4378</v>
      </c>
      <c r="EXD1" t="s">
        <v>4379</v>
      </c>
      <c r="EXE1" t="s">
        <v>4380</v>
      </c>
      <c r="EXF1" t="s">
        <v>4381</v>
      </c>
      <c r="EXG1" t="s">
        <v>4382</v>
      </c>
      <c r="EXH1" t="s">
        <v>4383</v>
      </c>
      <c r="EXI1" t="s">
        <v>4384</v>
      </c>
      <c r="EXJ1" t="s">
        <v>4385</v>
      </c>
      <c r="EXK1" t="s">
        <v>4386</v>
      </c>
      <c r="EXL1" t="s">
        <v>4387</v>
      </c>
      <c r="EXM1" t="s">
        <v>4388</v>
      </c>
      <c r="EXN1" t="s">
        <v>4389</v>
      </c>
      <c r="EXO1" t="s">
        <v>4390</v>
      </c>
      <c r="EXP1" t="s">
        <v>4391</v>
      </c>
      <c r="EXQ1" t="s">
        <v>4392</v>
      </c>
      <c r="EXR1" t="s">
        <v>4393</v>
      </c>
      <c r="EXS1" t="s">
        <v>4394</v>
      </c>
      <c r="EXT1" t="s">
        <v>4395</v>
      </c>
      <c r="EXU1" t="s">
        <v>4396</v>
      </c>
      <c r="EXV1" t="s">
        <v>4397</v>
      </c>
      <c r="EXW1" t="s">
        <v>4398</v>
      </c>
      <c r="EXX1" t="s">
        <v>4399</v>
      </c>
      <c r="EXY1" t="s">
        <v>4400</v>
      </c>
      <c r="EXZ1" t="s">
        <v>4401</v>
      </c>
      <c r="EYA1" t="s">
        <v>4402</v>
      </c>
      <c r="EYB1" t="s">
        <v>4403</v>
      </c>
      <c r="EYC1" t="s">
        <v>4404</v>
      </c>
      <c r="EYD1" t="s">
        <v>4405</v>
      </c>
      <c r="EYE1" t="s">
        <v>4406</v>
      </c>
      <c r="EYF1" t="s">
        <v>4407</v>
      </c>
      <c r="EYG1" t="s">
        <v>4408</v>
      </c>
      <c r="EYH1" t="s">
        <v>4409</v>
      </c>
      <c r="EYI1" t="s">
        <v>4410</v>
      </c>
      <c r="EYJ1" t="s">
        <v>4411</v>
      </c>
      <c r="EYK1" t="s">
        <v>4412</v>
      </c>
      <c r="EYL1" t="s">
        <v>4413</v>
      </c>
      <c r="EYM1" t="s">
        <v>4414</v>
      </c>
      <c r="EYN1" t="s">
        <v>4415</v>
      </c>
      <c r="EYO1" t="s">
        <v>4416</v>
      </c>
      <c r="EYP1" t="s">
        <v>4417</v>
      </c>
      <c r="EYQ1" t="s">
        <v>4418</v>
      </c>
      <c r="EYR1" t="s">
        <v>4419</v>
      </c>
      <c r="EYS1" t="s">
        <v>4420</v>
      </c>
      <c r="EYT1" t="s">
        <v>4421</v>
      </c>
      <c r="EYU1" t="s">
        <v>4422</v>
      </c>
      <c r="EYV1" t="s">
        <v>4423</v>
      </c>
      <c r="EYW1" t="s">
        <v>4424</v>
      </c>
      <c r="EYX1" t="s">
        <v>4425</v>
      </c>
      <c r="EYY1" t="s">
        <v>4426</v>
      </c>
      <c r="EYZ1" t="s">
        <v>4427</v>
      </c>
      <c r="EZA1" t="s">
        <v>4428</v>
      </c>
      <c r="EZB1" t="s">
        <v>4429</v>
      </c>
      <c r="EZC1" t="s">
        <v>4430</v>
      </c>
      <c r="EZD1" t="s">
        <v>4431</v>
      </c>
      <c r="EZE1" t="s">
        <v>4432</v>
      </c>
      <c r="EZF1" t="s">
        <v>4433</v>
      </c>
      <c r="EZG1" t="s">
        <v>4434</v>
      </c>
      <c r="EZH1" t="s">
        <v>4435</v>
      </c>
      <c r="EZI1" t="s">
        <v>4436</v>
      </c>
      <c r="EZJ1" t="s">
        <v>4437</v>
      </c>
      <c r="EZK1" t="s">
        <v>4438</v>
      </c>
      <c r="EZL1" t="s">
        <v>4439</v>
      </c>
      <c r="EZM1" t="s">
        <v>4440</v>
      </c>
      <c r="EZN1" t="s">
        <v>4441</v>
      </c>
      <c r="EZO1" t="s">
        <v>4442</v>
      </c>
      <c r="EZP1" t="s">
        <v>4443</v>
      </c>
      <c r="EZQ1" t="s">
        <v>4444</v>
      </c>
      <c r="EZR1" t="s">
        <v>4445</v>
      </c>
      <c r="EZS1" t="s">
        <v>4446</v>
      </c>
      <c r="EZT1" t="s">
        <v>4447</v>
      </c>
      <c r="EZU1" t="s">
        <v>4448</v>
      </c>
      <c r="EZV1" t="s">
        <v>4449</v>
      </c>
      <c r="EZW1" t="s">
        <v>4450</v>
      </c>
      <c r="EZX1" t="s">
        <v>4451</v>
      </c>
      <c r="EZY1" t="s">
        <v>4452</v>
      </c>
      <c r="EZZ1" t="s">
        <v>4453</v>
      </c>
      <c r="FAA1" t="s">
        <v>4454</v>
      </c>
      <c r="FAB1" t="s">
        <v>4455</v>
      </c>
      <c r="FAC1" t="s">
        <v>4456</v>
      </c>
      <c r="FAD1" t="s">
        <v>4457</v>
      </c>
      <c r="FAE1" t="s">
        <v>4458</v>
      </c>
      <c r="FAF1" t="s">
        <v>4459</v>
      </c>
      <c r="FAG1" t="s">
        <v>4460</v>
      </c>
      <c r="FAH1" t="s">
        <v>4461</v>
      </c>
      <c r="FAI1" t="s">
        <v>4462</v>
      </c>
      <c r="FAJ1" t="s">
        <v>4463</v>
      </c>
      <c r="FAK1" t="s">
        <v>4464</v>
      </c>
      <c r="FAL1" t="s">
        <v>4465</v>
      </c>
      <c r="FAM1" t="s">
        <v>4466</v>
      </c>
      <c r="FAN1" t="s">
        <v>4467</v>
      </c>
      <c r="FAO1" t="s">
        <v>4468</v>
      </c>
      <c r="FAP1" t="s">
        <v>4469</v>
      </c>
      <c r="FAQ1" t="s">
        <v>4470</v>
      </c>
      <c r="FAR1" t="s">
        <v>4471</v>
      </c>
      <c r="FAS1" t="s">
        <v>4472</v>
      </c>
      <c r="FAT1" t="s">
        <v>4473</v>
      </c>
      <c r="FAU1" t="s">
        <v>4474</v>
      </c>
      <c r="FAV1" t="s">
        <v>4475</v>
      </c>
      <c r="FAW1" t="s">
        <v>4476</v>
      </c>
      <c r="FAX1" t="s">
        <v>4477</v>
      </c>
      <c r="FAY1" t="s">
        <v>4478</v>
      </c>
      <c r="FAZ1" t="s">
        <v>4479</v>
      </c>
      <c r="FBA1" t="s">
        <v>4480</v>
      </c>
      <c r="FBB1" t="s">
        <v>4481</v>
      </c>
      <c r="FBC1" t="s">
        <v>4482</v>
      </c>
      <c r="FBD1" t="s">
        <v>4483</v>
      </c>
      <c r="FBE1" t="s">
        <v>4484</v>
      </c>
      <c r="FBF1" t="s">
        <v>4485</v>
      </c>
      <c r="FBG1" t="s">
        <v>4486</v>
      </c>
      <c r="FBH1" t="s">
        <v>4487</v>
      </c>
      <c r="FBI1" t="s">
        <v>4488</v>
      </c>
      <c r="FBJ1" t="s">
        <v>4489</v>
      </c>
      <c r="FBK1" t="s">
        <v>4490</v>
      </c>
      <c r="FBL1" t="s">
        <v>4491</v>
      </c>
      <c r="FBM1" t="s">
        <v>4492</v>
      </c>
      <c r="FBN1" t="s">
        <v>4493</v>
      </c>
      <c r="FBO1" t="s">
        <v>4494</v>
      </c>
      <c r="FBP1" t="s">
        <v>4495</v>
      </c>
      <c r="FBQ1" t="s">
        <v>4496</v>
      </c>
      <c r="FBR1" t="s">
        <v>4497</v>
      </c>
      <c r="FBS1" t="s">
        <v>4498</v>
      </c>
      <c r="FBT1" t="s">
        <v>4499</v>
      </c>
      <c r="FBU1" t="s">
        <v>4500</v>
      </c>
      <c r="FBV1" t="s">
        <v>4501</v>
      </c>
      <c r="FBW1" t="s">
        <v>4502</v>
      </c>
      <c r="FBX1" t="s">
        <v>4503</v>
      </c>
      <c r="FBY1" t="s">
        <v>4504</v>
      </c>
      <c r="FBZ1" t="s">
        <v>4505</v>
      </c>
      <c r="FCA1" t="s">
        <v>4506</v>
      </c>
      <c r="FCB1" t="s">
        <v>4507</v>
      </c>
      <c r="FCC1" t="s">
        <v>4508</v>
      </c>
      <c r="FCD1" t="s">
        <v>4509</v>
      </c>
      <c r="FCE1" t="s">
        <v>4510</v>
      </c>
      <c r="FCF1" t="s">
        <v>4511</v>
      </c>
      <c r="FCG1" t="s">
        <v>4512</v>
      </c>
      <c r="FCH1" t="s">
        <v>4513</v>
      </c>
      <c r="FCI1" t="s">
        <v>4514</v>
      </c>
      <c r="FCJ1" t="s">
        <v>4515</v>
      </c>
      <c r="FCK1" t="s">
        <v>4516</v>
      </c>
      <c r="FCL1" t="s">
        <v>4517</v>
      </c>
      <c r="FCM1" t="s">
        <v>4518</v>
      </c>
      <c r="FCN1" t="s">
        <v>4519</v>
      </c>
      <c r="FCO1" t="s">
        <v>4520</v>
      </c>
      <c r="FCP1" t="s">
        <v>4521</v>
      </c>
      <c r="FCQ1" t="s">
        <v>4522</v>
      </c>
      <c r="FCR1" t="s">
        <v>4523</v>
      </c>
      <c r="FCS1" t="s">
        <v>4524</v>
      </c>
      <c r="FCT1" t="s">
        <v>4525</v>
      </c>
      <c r="FCU1" t="s">
        <v>4526</v>
      </c>
      <c r="FCV1" t="s">
        <v>4527</v>
      </c>
      <c r="FCW1" t="s">
        <v>4528</v>
      </c>
      <c r="FCX1" t="s">
        <v>4529</v>
      </c>
      <c r="FCY1" t="s">
        <v>4530</v>
      </c>
      <c r="FCZ1" t="s">
        <v>4531</v>
      </c>
      <c r="FDA1" t="s">
        <v>4532</v>
      </c>
      <c r="FDB1" t="s">
        <v>4533</v>
      </c>
      <c r="FDC1" t="s">
        <v>4534</v>
      </c>
      <c r="FDD1" t="s">
        <v>4535</v>
      </c>
      <c r="FDE1" t="s">
        <v>4536</v>
      </c>
      <c r="FDF1" t="s">
        <v>4537</v>
      </c>
      <c r="FDG1" t="s">
        <v>4538</v>
      </c>
      <c r="FDH1" t="s">
        <v>4539</v>
      </c>
      <c r="FDI1" t="s">
        <v>4540</v>
      </c>
      <c r="FDJ1" t="s">
        <v>4541</v>
      </c>
      <c r="FDK1" t="s">
        <v>4542</v>
      </c>
      <c r="FDL1" t="s">
        <v>4543</v>
      </c>
      <c r="FDM1" t="s">
        <v>4544</v>
      </c>
      <c r="FDN1" t="s">
        <v>4545</v>
      </c>
      <c r="FDO1" t="s">
        <v>4546</v>
      </c>
      <c r="FDP1" t="s">
        <v>4547</v>
      </c>
      <c r="FDQ1" t="s">
        <v>4548</v>
      </c>
      <c r="FDR1" t="s">
        <v>4549</v>
      </c>
      <c r="FDS1" t="s">
        <v>4550</v>
      </c>
      <c r="FDT1" t="s">
        <v>4551</v>
      </c>
      <c r="FDU1" t="s">
        <v>4552</v>
      </c>
      <c r="FDV1" t="s">
        <v>4553</v>
      </c>
      <c r="FDW1" t="s">
        <v>4554</v>
      </c>
      <c r="FDX1" t="s">
        <v>4555</v>
      </c>
      <c r="FDY1" t="s">
        <v>4556</v>
      </c>
      <c r="FDZ1" t="s">
        <v>4557</v>
      </c>
      <c r="FEA1" t="s">
        <v>4558</v>
      </c>
      <c r="FEB1" t="s">
        <v>4559</v>
      </c>
      <c r="FEC1" t="s">
        <v>4560</v>
      </c>
      <c r="FED1" t="s">
        <v>4561</v>
      </c>
      <c r="FEE1" t="s">
        <v>4562</v>
      </c>
      <c r="FEF1" t="s">
        <v>4563</v>
      </c>
      <c r="FEG1" t="s">
        <v>4564</v>
      </c>
      <c r="FEH1" t="s">
        <v>4565</v>
      </c>
      <c r="FEI1" t="s">
        <v>4566</v>
      </c>
      <c r="FEJ1" t="s">
        <v>4567</v>
      </c>
      <c r="FEK1" t="s">
        <v>4568</v>
      </c>
      <c r="FEL1" t="s">
        <v>4569</v>
      </c>
      <c r="FEM1" t="s">
        <v>4570</v>
      </c>
      <c r="FEN1" t="s">
        <v>4571</v>
      </c>
      <c r="FEO1" t="s">
        <v>4572</v>
      </c>
      <c r="FEP1" t="s">
        <v>4573</v>
      </c>
      <c r="FEQ1" t="s">
        <v>4574</v>
      </c>
      <c r="FER1" t="s">
        <v>4575</v>
      </c>
      <c r="FES1" t="s">
        <v>4576</v>
      </c>
      <c r="FET1" t="s">
        <v>4577</v>
      </c>
      <c r="FEU1" t="s">
        <v>4578</v>
      </c>
      <c r="FEV1" t="s">
        <v>4579</v>
      </c>
      <c r="FEW1" t="s">
        <v>4580</v>
      </c>
      <c r="FEX1" t="s">
        <v>4581</v>
      </c>
      <c r="FEY1" t="s">
        <v>4582</v>
      </c>
      <c r="FEZ1" t="s">
        <v>4583</v>
      </c>
      <c r="FFA1" t="s">
        <v>4584</v>
      </c>
      <c r="FFB1" t="s">
        <v>4585</v>
      </c>
      <c r="FFC1" t="s">
        <v>4586</v>
      </c>
      <c r="FFD1" t="s">
        <v>4587</v>
      </c>
      <c r="FFE1" t="s">
        <v>4588</v>
      </c>
      <c r="FFF1" t="s">
        <v>4589</v>
      </c>
      <c r="FFG1" t="s">
        <v>4590</v>
      </c>
      <c r="FFH1" t="s">
        <v>4591</v>
      </c>
      <c r="FFI1" t="s">
        <v>4592</v>
      </c>
      <c r="FFJ1" t="s">
        <v>4593</v>
      </c>
      <c r="FFK1" t="s">
        <v>4594</v>
      </c>
      <c r="FFL1" t="s">
        <v>4595</v>
      </c>
      <c r="FFM1" t="s">
        <v>4596</v>
      </c>
      <c r="FFN1" t="s">
        <v>4597</v>
      </c>
      <c r="FFO1" t="s">
        <v>4598</v>
      </c>
      <c r="FFP1" t="s">
        <v>4599</v>
      </c>
      <c r="FFQ1" t="s">
        <v>4600</v>
      </c>
      <c r="FFR1" t="s">
        <v>4601</v>
      </c>
      <c r="FFS1" t="s">
        <v>4602</v>
      </c>
      <c r="FFT1" t="s">
        <v>4603</v>
      </c>
      <c r="FFU1" t="s">
        <v>4604</v>
      </c>
      <c r="FFV1" t="s">
        <v>4605</v>
      </c>
      <c r="FFW1" t="s">
        <v>4606</v>
      </c>
      <c r="FFX1" t="s">
        <v>4607</v>
      </c>
      <c r="FFY1" t="s">
        <v>4608</v>
      </c>
      <c r="FFZ1" t="s">
        <v>4609</v>
      </c>
      <c r="FGA1" t="s">
        <v>4610</v>
      </c>
      <c r="FGB1" t="s">
        <v>4611</v>
      </c>
      <c r="FGC1" t="s">
        <v>4612</v>
      </c>
      <c r="FGD1" t="s">
        <v>4613</v>
      </c>
      <c r="FGE1" t="s">
        <v>4614</v>
      </c>
      <c r="FGF1" t="s">
        <v>4615</v>
      </c>
      <c r="FGG1" t="s">
        <v>4616</v>
      </c>
      <c r="FGH1" t="s">
        <v>4617</v>
      </c>
      <c r="FGI1" t="s">
        <v>4618</v>
      </c>
      <c r="FGJ1" t="s">
        <v>4619</v>
      </c>
      <c r="FGK1" t="s">
        <v>4620</v>
      </c>
      <c r="FGL1" t="s">
        <v>4621</v>
      </c>
      <c r="FGM1" t="s">
        <v>4622</v>
      </c>
      <c r="FGN1" t="s">
        <v>4623</v>
      </c>
      <c r="FGO1" t="s">
        <v>4624</v>
      </c>
      <c r="FGP1" t="s">
        <v>4625</v>
      </c>
      <c r="FGQ1" t="s">
        <v>4626</v>
      </c>
      <c r="FGR1" t="s">
        <v>4627</v>
      </c>
      <c r="FGS1" t="s">
        <v>4628</v>
      </c>
      <c r="FGT1" t="s">
        <v>4629</v>
      </c>
      <c r="FGU1" t="s">
        <v>4630</v>
      </c>
      <c r="FGV1" t="s">
        <v>4631</v>
      </c>
      <c r="FGW1" t="s">
        <v>4632</v>
      </c>
      <c r="FGX1" t="s">
        <v>4633</v>
      </c>
      <c r="FGY1" t="s">
        <v>4634</v>
      </c>
      <c r="FGZ1" t="s">
        <v>4635</v>
      </c>
      <c r="FHA1" t="s">
        <v>4636</v>
      </c>
      <c r="FHB1" t="s">
        <v>4637</v>
      </c>
      <c r="FHC1" t="s">
        <v>4638</v>
      </c>
      <c r="FHD1" t="s">
        <v>4639</v>
      </c>
      <c r="FHE1" t="s">
        <v>4640</v>
      </c>
      <c r="FHF1" t="s">
        <v>4641</v>
      </c>
      <c r="FHG1" t="s">
        <v>4642</v>
      </c>
      <c r="FHH1" t="s">
        <v>4643</v>
      </c>
      <c r="FHI1" t="s">
        <v>4644</v>
      </c>
      <c r="FHJ1" t="s">
        <v>4645</v>
      </c>
      <c r="FHK1" t="s">
        <v>4646</v>
      </c>
      <c r="FHL1" t="s">
        <v>4647</v>
      </c>
      <c r="FHM1" t="s">
        <v>4648</v>
      </c>
      <c r="FHN1" t="s">
        <v>4649</v>
      </c>
      <c r="FHO1" t="s">
        <v>4650</v>
      </c>
      <c r="FHP1" t="s">
        <v>4651</v>
      </c>
      <c r="FHQ1" t="s">
        <v>4652</v>
      </c>
      <c r="FHR1" t="s">
        <v>4653</v>
      </c>
      <c r="FHS1" t="s">
        <v>4654</v>
      </c>
      <c r="FHT1" t="s">
        <v>4655</v>
      </c>
      <c r="FHU1" t="s">
        <v>4656</v>
      </c>
      <c r="FHV1" t="s">
        <v>4657</v>
      </c>
      <c r="FHW1" t="s">
        <v>4658</v>
      </c>
      <c r="FHX1" t="s">
        <v>4659</v>
      </c>
      <c r="FHY1" t="s">
        <v>4660</v>
      </c>
      <c r="FHZ1" t="s">
        <v>4661</v>
      </c>
      <c r="FIA1" t="s">
        <v>4662</v>
      </c>
      <c r="FIB1" t="s">
        <v>4663</v>
      </c>
      <c r="FIC1" t="s">
        <v>4664</v>
      </c>
      <c r="FID1" t="s">
        <v>4665</v>
      </c>
      <c r="FIE1" t="s">
        <v>4666</v>
      </c>
      <c r="FIF1" t="s">
        <v>4667</v>
      </c>
      <c r="FIG1" t="s">
        <v>4668</v>
      </c>
      <c r="FIH1" t="s">
        <v>4669</v>
      </c>
      <c r="FII1" t="s">
        <v>4670</v>
      </c>
      <c r="FIJ1" t="s">
        <v>4671</v>
      </c>
      <c r="FIK1" t="s">
        <v>4672</v>
      </c>
      <c r="FIL1" t="s">
        <v>4673</v>
      </c>
      <c r="FIM1" t="s">
        <v>4674</v>
      </c>
      <c r="FIN1" t="s">
        <v>4675</v>
      </c>
      <c r="FIO1" t="s">
        <v>4676</v>
      </c>
      <c r="FIP1" t="s">
        <v>4677</v>
      </c>
      <c r="FIQ1" t="s">
        <v>4678</v>
      </c>
      <c r="FIR1" t="s">
        <v>4679</v>
      </c>
      <c r="FIS1" t="s">
        <v>4680</v>
      </c>
      <c r="FIT1" t="s">
        <v>4681</v>
      </c>
      <c r="FIU1" t="s">
        <v>4682</v>
      </c>
      <c r="FIV1" t="s">
        <v>4683</v>
      </c>
      <c r="FIW1" t="s">
        <v>4684</v>
      </c>
      <c r="FIX1" t="s">
        <v>4685</v>
      </c>
      <c r="FIY1" t="s">
        <v>4686</v>
      </c>
      <c r="FIZ1" t="s">
        <v>4687</v>
      </c>
      <c r="FJA1" t="s">
        <v>4688</v>
      </c>
      <c r="FJB1" t="s">
        <v>4689</v>
      </c>
      <c r="FJC1" t="s">
        <v>4690</v>
      </c>
      <c r="FJD1" t="s">
        <v>4691</v>
      </c>
      <c r="FJE1" t="s">
        <v>4692</v>
      </c>
      <c r="FJF1" t="s">
        <v>4693</v>
      </c>
      <c r="FJG1" t="s">
        <v>4694</v>
      </c>
      <c r="FJH1" t="s">
        <v>4695</v>
      </c>
      <c r="FJI1" t="s">
        <v>4696</v>
      </c>
      <c r="FJJ1" t="s">
        <v>4697</v>
      </c>
      <c r="FJK1" t="s">
        <v>4698</v>
      </c>
      <c r="FJL1" t="s">
        <v>4699</v>
      </c>
      <c r="FJM1" t="s">
        <v>4700</v>
      </c>
      <c r="FJN1" t="s">
        <v>4701</v>
      </c>
      <c r="FJO1" t="s">
        <v>4702</v>
      </c>
      <c r="FJP1" t="s">
        <v>4703</v>
      </c>
      <c r="FJQ1" t="s">
        <v>4704</v>
      </c>
      <c r="FJR1" t="s">
        <v>4705</v>
      </c>
      <c r="FJS1" t="s">
        <v>4706</v>
      </c>
      <c r="FJT1" t="s">
        <v>4707</v>
      </c>
      <c r="FJU1" t="s">
        <v>4708</v>
      </c>
      <c r="FJV1" t="s">
        <v>4709</v>
      </c>
      <c r="FJW1" t="s">
        <v>4710</v>
      </c>
      <c r="FJX1" t="s">
        <v>4711</v>
      </c>
      <c r="FJY1" t="s">
        <v>4712</v>
      </c>
      <c r="FJZ1" t="s">
        <v>4713</v>
      </c>
      <c r="FKA1" t="s">
        <v>4714</v>
      </c>
      <c r="FKB1" t="s">
        <v>4715</v>
      </c>
      <c r="FKC1" t="s">
        <v>4716</v>
      </c>
      <c r="FKD1" t="s">
        <v>4717</v>
      </c>
      <c r="FKE1" t="s">
        <v>4718</v>
      </c>
      <c r="FKF1" t="s">
        <v>4719</v>
      </c>
      <c r="FKG1" t="s">
        <v>4720</v>
      </c>
      <c r="FKH1" t="s">
        <v>4721</v>
      </c>
      <c r="FKI1" t="s">
        <v>4722</v>
      </c>
      <c r="FKJ1" t="s">
        <v>4723</v>
      </c>
      <c r="FKK1" t="s">
        <v>4724</v>
      </c>
      <c r="FKL1" t="s">
        <v>4725</v>
      </c>
      <c r="FKM1" t="s">
        <v>4726</v>
      </c>
      <c r="FKN1" t="s">
        <v>4727</v>
      </c>
      <c r="FKO1" t="s">
        <v>4728</v>
      </c>
      <c r="FKP1" t="s">
        <v>4729</v>
      </c>
      <c r="FKQ1" t="s">
        <v>4730</v>
      </c>
      <c r="FKR1" t="s">
        <v>4731</v>
      </c>
      <c r="FKS1" t="s">
        <v>4732</v>
      </c>
      <c r="FKT1" t="s">
        <v>4733</v>
      </c>
      <c r="FKU1" t="s">
        <v>4734</v>
      </c>
      <c r="FKV1" t="s">
        <v>4735</v>
      </c>
      <c r="FKW1" t="s">
        <v>4736</v>
      </c>
      <c r="FKX1" t="s">
        <v>4737</v>
      </c>
      <c r="FKY1" t="s">
        <v>4738</v>
      </c>
      <c r="FKZ1" t="s">
        <v>4739</v>
      </c>
      <c r="FLA1" t="s">
        <v>4740</v>
      </c>
      <c r="FLB1" t="s">
        <v>4741</v>
      </c>
      <c r="FLC1" t="s">
        <v>4742</v>
      </c>
      <c r="FLD1" t="s">
        <v>4743</v>
      </c>
      <c r="FLE1" t="s">
        <v>4744</v>
      </c>
      <c r="FLF1" t="s">
        <v>4745</v>
      </c>
      <c r="FLG1" t="s">
        <v>4746</v>
      </c>
      <c r="FLH1" t="s">
        <v>4747</v>
      </c>
      <c r="FLI1" t="s">
        <v>4748</v>
      </c>
      <c r="FLJ1" t="s">
        <v>4749</v>
      </c>
      <c r="FLK1" t="s">
        <v>4750</v>
      </c>
      <c r="FLL1" t="s">
        <v>4751</v>
      </c>
      <c r="FLM1" t="s">
        <v>4752</v>
      </c>
      <c r="FLN1" t="s">
        <v>4753</v>
      </c>
      <c r="FLO1" t="s">
        <v>4754</v>
      </c>
      <c r="FLP1" t="s">
        <v>4755</v>
      </c>
      <c r="FLQ1" t="s">
        <v>4756</v>
      </c>
      <c r="FLR1" t="s">
        <v>4757</v>
      </c>
      <c r="FLS1" t="s">
        <v>4758</v>
      </c>
      <c r="FLT1" t="s">
        <v>4759</v>
      </c>
      <c r="FLU1" t="s">
        <v>4760</v>
      </c>
      <c r="FLV1" t="s">
        <v>4761</v>
      </c>
      <c r="FLW1" t="s">
        <v>4762</v>
      </c>
      <c r="FLX1" t="s">
        <v>4763</v>
      </c>
      <c r="FLY1" t="s">
        <v>4764</v>
      </c>
      <c r="FLZ1" t="s">
        <v>4765</v>
      </c>
      <c r="FMA1" t="s">
        <v>4766</v>
      </c>
      <c r="FMB1" t="s">
        <v>4767</v>
      </c>
      <c r="FMC1" t="s">
        <v>4768</v>
      </c>
      <c r="FMD1" t="s">
        <v>4769</v>
      </c>
      <c r="FME1" t="s">
        <v>4770</v>
      </c>
      <c r="FMF1" t="s">
        <v>4771</v>
      </c>
      <c r="FMG1" t="s">
        <v>4772</v>
      </c>
      <c r="FMH1" t="s">
        <v>4773</v>
      </c>
      <c r="FMI1" t="s">
        <v>4774</v>
      </c>
      <c r="FMJ1" t="s">
        <v>4775</v>
      </c>
      <c r="FMK1" t="s">
        <v>4776</v>
      </c>
      <c r="FML1" t="s">
        <v>4777</v>
      </c>
      <c r="FMM1" t="s">
        <v>4778</v>
      </c>
      <c r="FMN1" t="s">
        <v>4779</v>
      </c>
      <c r="FMO1" t="s">
        <v>4780</v>
      </c>
      <c r="FMP1" t="s">
        <v>4781</v>
      </c>
      <c r="FMQ1" t="s">
        <v>4782</v>
      </c>
      <c r="FMR1" t="s">
        <v>4783</v>
      </c>
      <c r="FMS1" t="s">
        <v>4784</v>
      </c>
      <c r="FMT1" t="s">
        <v>4785</v>
      </c>
      <c r="FMU1" t="s">
        <v>4786</v>
      </c>
      <c r="FMV1" t="s">
        <v>4787</v>
      </c>
      <c r="FMW1" t="s">
        <v>4788</v>
      </c>
      <c r="FMX1" t="s">
        <v>4789</v>
      </c>
      <c r="FMY1" t="s">
        <v>4790</v>
      </c>
      <c r="FMZ1" t="s">
        <v>4791</v>
      </c>
      <c r="FNA1" t="s">
        <v>4792</v>
      </c>
      <c r="FNB1" t="s">
        <v>4793</v>
      </c>
      <c r="FNC1" t="s">
        <v>4794</v>
      </c>
      <c r="FND1" t="s">
        <v>4795</v>
      </c>
      <c r="FNE1" t="s">
        <v>4796</v>
      </c>
      <c r="FNF1" t="s">
        <v>4797</v>
      </c>
      <c r="FNG1" t="s">
        <v>4798</v>
      </c>
      <c r="FNH1" t="s">
        <v>4799</v>
      </c>
      <c r="FNI1" t="s">
        <v>4800</v>
      </c>
      <c r="FNJ1" t="s">
        <v>4801</v>
      </c>
      <c r="FNK1" t="s">
        <v>4802</v>
      </c>
      <c r="FNL1" t="s">
        <v>4803</v>
      </c>
      <c r="FNM1" t="s">
        <v>4804</v>
      </c>
      <c r="FNN1" t="s">
        <v>4805</v>
      </c>
      <c r="FNO1" t="s">
        <v>4806</v>
      </c>
      <c r="FNP1" t="s">
        <v>4807</v>
      </c>
      <c r="FNQ1" t="s">
        <v>4808</v>
      </c>
      <c r="FNR1" t="s">
        <v>4809</v>
      </c>
      <c r="FNS1" t="s">
        <v>4810</v>
      </c>
      <c r="FNT1" t="s">
        <v>4811</v>
      </c>
      <c r="FNU1" t="s">
        <v>4812</v>
      </c>
      <c r="FNV1" t="s">
        <v>4813</v>
      </c>
      <c r="FNW1" t="s">
        <v>4814</v>
      </c>
      <c r="FNX1" t="s">
        <v>4815</v>
      </c>
      <c r="FNY1" t="s">
        <v>4816</v>
      </c>
      <c r="FNZ1" t="s">
        <v>4817</v>
      </c>
      <c r="FOA1" t="s">
        <v>4818</v>
      </c>
      <c r="FOB1" t="s">
        <v>4819</v>
      </c>
      <c r="FOC1" t="s">
        <v>4820</v>
      </c>
      <c r="FOD1" t="s">
        <v>4821</v>
      </c>
      <c r="FOE1" t="s">
        <v>4822</v>
      </c>
      <c r="FOF1" t="s">
        <v>4823</v>
      </c>
      <c r="FOG1" t="s">
        <v>4824</v>
      </c>
      <c r="FOH1" t="s">
        <v>4825</v>
      </c>
      <c r="FOI1" t="s">
        <v>4826</v>
      </c>
      <c r="FOJ1" t="s">
        <v>4827</v>
      </c>
      <c r="FOK1" t="s">
        <v>4828</v>
      </c>
      <c r="FOL1" t="s">
        <v>4829</v>
      </c>
      <c r="FOM1" t="s">
        <v>4830</v>
      </c>
      <c r="FON1" t="s">
        <v>4831</v>
      </c>
      <c r="FOO1" t="s">
        <v>4832</v>
      </c>
      <c r="FOP1" t="s">
        <v>4833</v>
      </c>
      <c r="FOQ1" t="s">
        <v>4834</v>
      </c>
      <c r="FOR1" t="s">
        <v>4835</v>
      </c>
      <c r="FOS1" t="s">
        <v>4836</v>
      </c>
      <c r="FOT1" t="s">
        <v>4837</v>
      </c>
      <c r="FOU1" t="s">
        <v>4838</v>
      </c>
      <c r="FOV1" t="s">
        <v>4839</v>
      </c>
      <c r="FOW1" t="s">
        <v>4840</v>
      </c>
      <c r="FOX1" t="s">
        <v>4841</v>
      </c>
      <c r="FOY1" t="s">
        <v>4842</v>
      </c>
      <c r="FOZ1" t="s">
        <v>4843</v>
      </c>
      <c r="FPA1" t="s">
        <v>4844</v>
      </c>
      <c r="FPB1" t="s">
        <v>4845</v>
      </c>
      <c r="FPC1" t="s">
        <v>4846</v>
      </c>
      <c r="FPD1" t="s">
        <v>4847</v>
      </c>
      <c r="FPE1" t="s">
        <v>4848</v>
      </c>
      <c r="FPF1" t="s">
        <v>4849</v>
      </c>
      <c r="FPG1" t="s">
        <v>4850</v>
      </c>
      <c r="FPH1" t="s">
        <v>4851</v>
      </c>
      <c r="FPI1" t="s">
        <v>4852</v>
      </c>
      <c r="FPJ1" t="s">
        <v>4853</v>
      </c>
      <c r="FPK1" t="s">
        <v>4854</v>
      </c>
      <c r="FPL1" t="s">
        <v>4855</v>
      </c>
      <c r="FPM1" t="s">
        <v>4856</v>
      </c>
      <c r="FPN1" t="s">
        <v>4857</v>
      </c>
      <c r="FPO1" t="s">
        <v>4858</v>
      </c>
      <c r="FPP1" t="s">
        <v>4859</v>
      </c>
      <c r="FPQ1" t="s">
        <v>4860</v>
      </c>
      <c r="FPR1" t="s">
        <v>4861</v>
      </c>
      <c r="FPS1" t="s">
        <v>4862</v>
      </c>
      <c r="FPT1" t="s">
        <v>4863</v>
      </c>
      <c r="FPU1" t="s">
        <v>4864</v>
      </c>
      <c r="FPV1" t="s">
        <v>4865</v>
      </c>
      <c r="FPW1" t="s">
        <v>4866</v>
      </c>
      <c r="FPX1" t="s">
        <v>4867</v>
      </c>
      <c r="FPY1" t="s">
        <v>4868</v>
      </c>
      <c r="FPZ1" t="s">
        <v>4869</v>
      </c>
      <c r="FQA1" t="s">
        <v>4870</v>
      </c>
      <c r="FQB1" t="s">
        <v>4871</v>
      </c>
      <c r="FQC1" t="s">
        <v>4872</v>
      </c>
      <c r="FQD1" t="s">
        <v>4873</v>
      </c>
      <c r="FQE1" t="s">
        <v>4874</v>
      </c>
      <c r="FQF1" t="s">
        <v>4875</v>
      </c>
      <c r="FQG1" t="s">
        <v>4876</v>
      </c>
      <c r="FQH1" t="s">
        <v>4877</v>
      </c>
      <c r="FQI1" t="s">
        <v>4878</v>
      </c>
      <c r="FQJ1" t="s">
        <v>4879</v>
      </c>
      <c r="FQK1" t="s">
        <v>4880</v>
      </c>
      <c r="FQL1" t="s">
        <v>4881</v>
      </c>
      <c r="FQM1" t="s">
        <v>4882</v>
      </c>
      <c r="FQN1" t="s">
        <v>4883</v>
      </c>
      <c r="FQO1" t="s">
        <v>4884</v>
      </c>
      <c r="FQP1" t="s">
        <v>4885</v>
      </c>
      <c r="FQQ1" t="s">
        <v>4886</v>
      </c>
      <c r="FQR1" t="s">
        <v>4887</v>
      </c>
      <c r="FQS1" t="s">
        <v>4888</v>
      </c>
      <c r="FQT1" t="s">
        <v>4889</v>
      </c>
      <c r="FQU1" t="s">
        <v>4890</v>
      </c>
      <c r="FQV1" t="s">
        <v>4891</v>
      </c>
      <c r="FQW1" t="s">
        <v>4892</v>
      </c>
      <c r="FQX1" t="s">
        <v>4893</v>
      </c>
      <c r="FQY1" t="s">
        <v>4894</v>
      </c>
      <c r="FQZ1" t="s">
        <v>4895</v>
      </c>
      <c r="FRA1" t="s">
        <v>4896</v>
      </c>
      <c r="FRB1" t="s">
        <v>4897</v>
      </c>
      <c r="FRC1" t="s">
        <v>4898</v>
      </c>
      <c r="FRD1" t="s">
        <v>4899</v>
      </c>
      <c r="FRE1" t="s">
        <v>4900</v>
      </c>
      <c r="FRF1" t="s">
        <v>4901</v>
      </c>
      <c r="FRG1" t="s">
        <v>4902</v>
      </c>
      <c r="FRH1" t="s">
        <v>4903</v>
      </c>
      <c r="FRI1" t="s">
        <v>4904</v>
      </c>
      <c r="FRJ1" t="s">
        <v>4905</v>
      </c>
      <c r="FRK1" t="s">
        <v>4906</v>
      </c>
      <c r="FRL1" t="s">
        <v>4907</v>
      </c>
      <c r="FRM1" t="s">
        <v>4908</v>
      </c>
      <c r="FRN1" t="s">
        <v>4909</v>
      </c>
      <c r="FRO1" t="s">
        <v>4910</v>
      </c>
      <c r="FRP1" t="s">
        <v>4911</v>
      </c>
      <c r="FRQ1" t="s">
        <v>4912</v>
      </c>
      <c r="FRR1" t="s">
        <v>4913</v>
      </c>
      <c r="FRS1" t="s">
        <v>4914</v>
      </c>
      <c r="FRT1" t="s">
        <v>4915</v>
      </c>
      <c r="FRU1" t="s">
        <v>4916</v>
      </c>
      <c r="FRV1" t="s">
        <v>4917</v>
      </c>
      <c r="FRW1" t="s">
        <v>4918</v>
      </c>
      <c r="FRX1" t="s">
        <v>4919</v>
      </c>
      <c r="FRY1" t="s">
        <v>4920</v>
      </c>
      <c r="FRZ1" t="s">
        <v>4921</v>
      </c>
      <c r="FSA1" t="s">
        <v>4922</v>
      </c>
      <c r="FSB1" t="s">
        <v>4923</v>
      </c>
      <c r="FSC1" t="s">
        <v>4924</v>
      </c>
      <c r="FSD1" t="s">
        <v>4925</v>
      </c>
      <c r="FSE1" t="s">
        <v>4926</v>
      </c>
      <c r="FSF1" t="s">
        <v>4927</v>
      </c>
      <c r="FSG1" t="s">
        <v>4928</v>
      </c>
      <c r="FSH1" t="s">
        <v>4929</v>
      </c>
      <c r="FSI1" t="s">
        <v>4930</v>
      </c>
      <c r="FSJ1" t="s">
        <v>4931</v>
      </c>
      <c r="FSK1" t="s">
        <v>4932</v>
      </c>
      <c r="FSL1" t="s">
        <v>4933</v>
      </c>
      <c r="FSM1" t="s">
        <v>4934</v>
      </c>
      <c r="FSN1" t="s">
        <v>4935</v>
      </c>
      <c r="FSO1" t="s">
        <v>4936</v>
      </c>
      <c r="FSP1" t="s">
        <v>4937</v>
      </c>
      <c r="FSQ1" t="s">
        <v>4938</v>
      </c>
      <c r="FSR1" t="s">
        <v>4939</v>
      </c>
      <c r="FSS1" t="s">
        <v>4940</v>
      </c>
      <c r="FST1" t="s">
        <v>4941</v>
      </c>
      <c r="FSU1" t="s">
        <v>4942</v>
      </c>
      <c r="FSV1" t="s">
        <v>4943</v>
      </c>
      <c r="FSW1" t="s">
        <v>4944</v>
      </c>
      <c r="FSX1" t="s">
        <v>4945</v>
      </c>
      <c r="FSY1" t="s">
        <v>4946</v>
      </c>
      <c r="FSZ1" t="s">
        <v>4947</v>
      </c>
      <c r="FTA1" t="s">
        <v>4948</v>
      </c>
      <c r="FTB1" t="s">
        <v>4949</v>
      </c>
      <c r="FTC1" t="s">
        <v>4950</v>
      </c>
      <c r="FTD1" t="s">
        <v>4951</v>
      </c>
      <c r="FTE1" t="s">
        <v>4952</v>
      </c>
      <c r="FTF1" t="s">
        <v>4953</v>
      </c>
      <c r="FTG1" t="s">
        <v>4954</v>
      </c>
      <c r="FTH1" t="s">
        <v>4955</v>
      </c>
      <c r="FTI1" t="s">
        <v>4956</v>
      </c>
      <c r="FTJ1" t="s">
        <v>4957</v>
      </c>
      <c r="FTK1" t="s">
        <v>4958</v>
      </c>
      <c r="FTL1" t="s">
        <v>4959</v>
      </c>
      <c r="FTM1" t="s">
        <v>4960</v>
      </c>
      <c r="FTN1" t="s">
        <v>4961</v>
      </c>
      <c r="FTO1" t="s">
        <v>4962</v>
      </c>
      <c r="FTP1" t="s">
        <v>4963</v>
      </c>
      <c r="FTQ1" t="s">
        <v>4964</v>
      </c>
      <c r="FTR1" t="s">
        <v>4965</v>
      </c>
      <c r="FTS1" t="s">
        <v>4966</v>
      </c>
      <c r="FTT1" t="s">
        <v>4967</v>
      </c>
      <c r="FTU1" t="s">
        <v>4968</v>
      </c>
      <c r="FTV1" t="s">
        <v>4969</v>
      </c>
      <c r="FTW1" t="s">
        <v>4970</v>
      </c>
      <c r="FTX1" t="s">
        <v>4971</v>
      </c>
      <c r="FTY1" t="s">
        <v>4972</v>
      </c>
      <c r="FTZ1" t="s">
        <v>4973</v>
      </c>
      <c r="FUA1" t="s">
        <v>4974</v>
      </c>
      <c r="FUB1" t="s">
        <v>4975</v>
      </c>
      <c r="FUC1" t="s">
        <v>4976</v>
      </c>
      <c r="FUD1" t="s">
        <v>4977</v>
      </c>
      <c r="FUE1" t="s">
        <v>4978</v>
      </c>
      <c r="FUF1" t="s">
        <v>4979</v>
      </c>
      <c r="FUG1" t="s">
        <v>4980</v>
      </c>
      <c r="FUH1" t="s">
        <v>4981</v>
      </c>
      <c r="FUI1" t="s">
        <v>4982</v>
      </c>
      <c r="FUJ1" t="s">
        <v>4983</v>
      </c>
      <c r="FUK1" t="s">
        <v>4984</v>
      </c>
      <c r="FUL1" t="s">
        <v>4985</v>
      </c>
      <c r="FUM1" t="s">
        <v>4986</v>
      </c>
      <c r="FUN1" t="s">
        <v>4987</v>
      </c>
      <c r="FUO1" t="s">
        <v>4988</v>
      </c>
      <c r="FUP1" t="s">
        <v>4989</v>
      </c>
      <c r="FUQ1" t="s">
        <v>4990</v>
      </c>
      <c r="FUR1" t="s">
        <v>4991</v>
      </c>
      <c r="FUS1" t="s">
        <v>4992</v>
      </c>
      <c r="FUT1" t="s">
        <v>4993</v>
      </c>
      <c r="FUU1" t="s">
        <v>4994</v>
      </c>
      <c r="FUV1" t="s">
        <v>4995</v>
      </c>
      <c r="FUW1" t="s">
        <v>4996</v>
      </c>
      <c r="FUX1" t="s">
        <v>4997</v>
      </c>
      <c r="FUY1" t="s">
        <v>4998</v>
      </c>
      <c r="FUZ1" t="s">
        <v>4999</v>
      </c>
      <c r="FVA1" t="s">
        <v>5000</v>
      </c>
      <c r="FVB1" t="s">
        <v>5001</v>
      </c>
      <c r="FVC1" t="s">
        <v>5002</v>
      </c>
      <c r="FVD1" t="s">
        <v>5003</v>
      </c>
      <c r="FVE1" t="s">
        <v>5004</v>
      </c>
      <c r="FVF1" t="s">
        <v>5005</v>
      </c>
      <c r="FVG1" t="s">
        <v>5006</v>
      </c>
      <c r="FVH1" t="s">
        <v>5007</v>
      </c>
      <c r="FVI1" t="s">
        <v>5008</v>
      </c>
      <c r="FVJ1" t="s">
        <v>5009</v>
      </c>
      <c r="FVK1" t="s">
        <v>5010</v>
      </c>
      <c r="FVL1" t="s">
        <v>5011</v>
      </c>
      <c r="FVM1" t="s">
        <v>5012</v>
      </c>
      <c r="FVN1" t="s">
        <v>5013</v>
      </c>
      <c r="FVO1" t="s">
        <v>5014</v>
      </c>
      <c r="FVP1" t="s">
        <v>5015</v>
      </c>
      <c r="FVQ1" t="s">
        <v>5016</v>
      </c>
      <c r="FVR1" t="s">
        <v>5017</v>
      </c>
      <c r="FVS1" t="s">
        <v>5018</v>
      </c>
      <c r="FVT1" t="s">
        <v>5019</v>
      </c>
      <c r="FVU1" t="s">
        <v>5020</v>
      </c>
      <c r="FVV1" t="s">
        <v>5021</v>
      </c>
      <c r="FVW1" t="s">
        <v>5022</v>
      </c>
      <c r="FVX1" t="s">
        <v>5023</v>
      </c>
      <c r="FVY1" t="s">
        <v>5024</v>
      </c>
      <c r="FVZ1" t="s">
        <v>5025</v>
      </c>
      <c r="FWA1" t="s">
        <v>5026</v>
      </c>
      <c r="FWB1" t="s">
        <v>5027</v>
      </c>
      <c r="FWC1" t="s">
        <v>5028</v>
      </c>
      <c r="FWD1" t="s">
        <v>5029</v>
      </c>
      <c r="FWE1" t="s">
        <v>5030</v>
      </c>
      <c r="FWF1" t="s">
        <v>5031</v>
      </c>
      <c r="FWG1" t="s">
        <v>5032</v>
      </c>
      <c r="FWH1" t="s">
        <v>5033</v>
      </c>
      <c r="FWI1" t="s">
        <v>5034</v>
      </c>
      <c r="FWJ1" t="s">
        <v>5035</v>
      </c>
      <c r="FWK1" t="s">
        <v>5036</v>
      </c>
      <c r="FWL1" t="s">
        <v>5037</v>
      </c>
      <c r="FWM1" t="s">
        <v>5038</v>
      </c>
      <c r="FWN1" t="s">
        <v>5039</v>
      </c>
      <c r="FWO1" t="s">
        <v>5040</v>
      </c>
      <c r="FWP1" t="s">
        <v>5041</v>
      </c>
      <c r="FWQ1" t="s">
        <v>5042</v>
      </c>
      <c r="FWR1" t="s">
        <v>5043</v>
      </c>
      <c r="FWS1" t="s">
        <v>5044</v>
      </c>
      <c r="FWT1" t="s">
        <v>5045</v>
      </c>
      <c r="FWU1" t="s">
        <v>5046</v>
      </c>
      <c r="FWV1" t="s">
        <v>5047</v>
      </c>
      <c r="FWW1" t="s">
        <v>5048</v>
      </c>
      <c r="FWX1" t="s">
        <v>5049</v>
      </c>
      <c r="FWY1" t="s">
        <v>5050</v>
      </c>
      <c r="FWZ1" t="s">
        <v>5051</v>
      </c>
      <c r="FXA1" t="s">
        <v>5052</v>
      </c>
      <c r="FXB1" t="s">
        <v>5053</v>
      </c>
      <c r="FXC1" t="s">
        <v>5054</v>
      </c>
      <c r="FXD1" t="s">
        <v>5055</v>
      </c>
      <c r="FXE1" t="s">
        <v>5056</v>
      </c>
      <c r="FXF1" t="s">
        <v>5057</v>
      </c>
      <c r="FXG1" t="s">
        <v>5058</v>
      </c>
      <c r="FXH1" t="s">
        <v>5059</v>
      </c>
      <c r="FXI1" t="s">
        <v>5060</v>
      </c>
      <c r="FXJ1" t="s">
        <v>5061</v>
      </c>
      <c r="FXK1" t="s">
        <v>5062</v>
      </c>
      <c r="FXL1" t="s">
        <v>5063</v>
      </c>
      <c r="FXM1" t="s">
        <v>5064</v>
      </c>
      <c r="FXN1" t="s">
        <v>5065</v>
      </c>
      <c r="FXO1" t="s">
        <v>5066</v>
      </c>
      <c r="FXP1" t="s">
        <v>5067</v>
      </c>
      <c r="FXQ1" t="s">
        <v>5068</v>
      </c>
      <c r="FXR1" t="s">
        <v>5069</v>
      </c>
      <c r="FXS1" t="s">
        <v>5070</v>
      </c>
      <c r="FXT1" t="s">
        <v>5071</v>
      </c>
      <c r="FXU1" t="s">
        <v>5072</v>
      </c>
      <c r="FXV1" t="s">
        <v>5073</v>
      </c>
      <c r="FXW1" t="s">
        <v>5074</v>
      </c>
      <c r="FXX1" t="s">
        <v>5075</v>
      </c>
      <c r="FXY1" t="s">
        <v>5076</v>
      </c>
      <c r="FXZ1" t="s">
        <v>5077</v>
      </c>
      <c r="FYA1" t="s">
        <v>5078</v>
      </c>
      <c r="FYB1" t="s">
        <v>5079</v>
      </c>
      <c r="FYC1" t="s">
        <v>5080</v>
      </c>
      <c r="FYD1" t="s">
        <v>5081</v>
      </c>
      <c r="FYE1" t="s">
        <v>5082</v>
      </c>
      <c r="FYF1" t="s">
        <v>5083</v>
      </c>
      <c r="FYG1" t="s">
        <v>5084</v>
      </c>
      <c r="FYH1" t="s">
        <v>5085</v>
      </c>
      <c r="FYI1" t="s">
        <v>5086</v>
      </c>
      <c r="FYJ1" t="s">
        <v>5087</v>
      </c>
      <c r="FYK1" t="s">
        <v>5088</v>
      </c>
      <c r="FYL1" t="s">
        <v>5089</v>
      </c>
      <c r="FYM1" t="s">
        <v>5090</v>
      </c>
      <c r="FYN1" t="s">
        <v>5091</v>
      </c>
      <c r="FYO1" t="s">
        <v>5092</v>
      </c>
      <c r="FYP1" t="s">
        <v>5093</v>
      </c>
      <c r="FYQ1" t="s">
        <v>5094</v>
      </c>
      <c r="FYR1" t="s">
        <v>5095</v>
      </c>
      <c r="FYS1" t="s">
        <v>5096</v>
      </c>
      <c r="FYT1" t="s">
        <v>5097</v>
      </c>
      <c r="FYU1" t="s">
        <v>5098</v>
      </c>
      <c r="FYV1" t="s">
        <v>5099</v>
      </c>
      <c r="FYW1" t="s">
        <v>5100</v>
      </c>
      <c r="FYX1" t="s">
        <v>5101</v>
      </c>
      <c r="FYY1" t="s">
        <v>5102</v>
      </c>
      <c r="FYZ1" t="s">
        <v>5103</v>
      </c>
      <c r="FZA1" t="s">
        <v>5104</v>
      </c>
      <c r="FZB1" t="s">
        <v>5105</v>
      </c>
      <c r="FZC1" t="s">
        <v>5106</v>
      </c>
      <c r="FZD1" t="s">
        <v>5107</v>
      </c>
      <c r="FZE1" t="s">
        <v>5108</v>
      </c>
      <c r="FZF1" t="s">
        <v>5109</v>
      </c>
      <c r="FZG1" t="s">
        <v>5110</v>
      </c>
      <c r="FZH1" t="s">
        <v>5111</v>
      </c>
      <c r="FZI1" t="s">
        <v>5112</v>
      </c>
      <c r="FZJ1" t="s">
        <v>5113</v>
      </c>
      <c r="FZK1" t="s">
        <v>5114</v>
      </c>
      <c r="FZL1" t="s">
        <v>5115</v>
      </c>
      <c r="FZM1" t="s">
        <v>5116</v>
      </c>
      <c r="FZN1" t="s">
        <v>5117</v>
      </c>
      <c r="FZO1" t="s">
        <v>5118</v>
      </c>
      <c r="FZP1" t="s">
        <v>5119</v>
      </c>
      <c r="FZQ1" t="s">
        <v>5120</v>
      </c>
      <c r="FZR1" t="s">
        <v>5121</v>
      </c>
      <c r="FZS1" t="s">
        <v>5122</v>
      </c>
      <c r="FZT1" t="s">
        <v>5123</v>
      </c>
      <c r="FZU1" t="s">
        <v>5124</v>
      </c>
      <c r="FZV1" t="s">
        <v>5125</v>
      </c>
      <c r="FZW1" t="s">
        <v>5126</v>
      </c>
      <c r="FZX1" t="s">
        <v>5127</v>
      </c>
      <c r="FZY1" t="s">
        <v>5128</v>
      </c>
      <c r="FZZ1" t="s">
        <v>5129</v>
      </c>
      <c r="GAA1" t="s">
        <v>5130</v>
      </c>
      <c r="GAB1" t="s">
        <v>5131</v>
      </c>
      <c r="GAC1" t="s">
        <v>5132</v>
      </c>
      <c r="GAD1" t="s">
        <v>5133</v>
      </c>
      <c r="GAE1" t="s">
        <v>5134</v>
      </c>
      <c r="GAF1" t="s">
        <v>5135</v>
      </c>
      <c r="GAG1" t="s">
        <v>5136</v>
      </c>
      <c r="GAH1" t="s">
        <v>5137</v>
      </c>
      <c r="GAI1" t="s">
        <v>5138</v>
      </c>
      <c r="GAJ1" t="s">
        <v>5139</v>
      </c>
      <c r="GAK1" t="s">
        <v>5140</v>
      </c>
      <c r="GAL1" t="s">
        <v>5141</v>
      </c>
      <c r="GAM1" t="s">
        <v>5142</v>
      </c>
      <c r="GAN1" t="s">
        <v>5143</v>
      </c>
      <c r="GAO1" t="s">
        <v>5144</v>
      </c>
      <c r="GAP1" t="s">
        <v>5145</v>
      </c>
      <c r="GAQ1" t="s">
        <v>5146</v>
      </c>
      <c r="GAR1" t="s">
        <v>5147</v>
      </c>
      <c r="GAS1" t="s">
        <v>5148</v>
      </c>
      <c r="GAT1" t="s">
        <v>5149</v>
      </c>
      <c r="GAU1" t="s">
        <v>5150</v>
      </c>
      <c r="GAV1" t="s">
        <v>5151</v>
      </c>
      <c r="GAW1" t="s">
        <v>5152</v>
      </c>
      <c r="GAX1" t="s">
        <v>5153</v>
      </c>
      <c r="GAY1" t="s">
        <v>5154</v>
      </c>
      <c r="GAZ1" t="s">
        <v>5155</v>
      </c>
      <c r="GBA1" t="s">
        <v>5156</v>
      </c>
      <c r="GBB1" t="s">
        <v>5157</v>
      </c>
      <c r="GBC1" t="s">
        <v>5158</v>
      </c>
      <c r="GBD1" t="s">
        <v>5159</v>
      </c>
      <c r="GBE1" t="s">
        <v>5160</v>
      </c>
      <c r="GBF1" t="s">
        <v>5161</v>
      </c>
      <c r="GBG1" t="s">
        <v>5162</v>
      </c>
      <c r="GBH1" t="s">
        <v>5163</v>
      </c>
      <c r="GBI1" t="s">
        <v>5164</v>
      </c>
      <c r="GBJ1" t="s">
        <v>5165</v>
      </c>
      <c r="GBK1" t="s">
        <v>5166</v>
      </c>
      <c r="GBL1" t="s">
        <v>5167</v>
      </c>
      <c r="GBM1" t="s">
        <v>5168</v>
      </c>
      <c r="GBN1" t="s">
        <v>5169</v>
      </c>
      <c r="GBO1" t="s">
        <v>5170</v>
      </c>
      <c r="GBP1" t="s">
        <v>5171</v>
      </c>
      <c r="GBQ1" t="s">
        <v>5172</v>
      </c>
      <c r="GBR1" t="s">
        <v>5173</v>
      </c>
      <c r="GBS1" t="s">
        <v>5174</v>
      </c>
      <c r="GBT1" t="s">
        <v>5175</v>
      </c>
      <c r="GBU1" t="s">
        <v>5176</v>
      </c>
      <c r="GBV1" t="s">
        <v>5177</v>
      </c>
      <c r="GBW1" t="s">
        <v>5178</v>
      </c>
      <c r="GBX1" t="s">
        <v>5179</v>
      </c>
      <c r="GBY1" t="s">
        <v>5180</v>
      </c>
      <c r="GBZ1" t="s">
        <v>5181</v>
      </c>
      <c r="GCA1" t="s">
        <v>5182</v>
      </c>
      <c r="GCB1" t="s">
        <v>5183</v>
      </c>
      <c r="GCC1" t="s">
        <v>5184</v>
      </c>
      <c r="GCD1" t="s">
        <v>5185</v>
      </c>
      <c r="GCE1" t="s">
        <v>5186</v>
      </c>
      <c r="GCF1" t="s">
        <v>5187</v>
      </c>
      <c r="GCG1" t="s">
        <v>5188</v>
      </c>
      <c r="GCH1" t="s">
        <v>5189</v>
      </c>
      <c r="GCI1" t="s">
        <v>5190</v>
      </c>
      <c r="GCJ1" t="s">
        <v>5191</v>
      </c>
      <c r="GCK1" t="s">
        <v>5192</v>
      </c>
      <c r="GCL1" t="s">
        <v>5193</v>
      </c>
      <c r="GCM1" t="s">
        <v>5194</v>
      </c>
      <c r="GCN1" t="s">
        <v>5195</v>
      </c>
      <c r="GCO1" t="s">
        <v>5196</v>
      </c>
      <c r="GCP1" t="s">
        <v>5197</v>
      </c>
      <c r="GCQ1" t="s">
        <v>5198</v>
      </c>
      <c r="GCR1" t="s">
        <v>5199</v>
      </c>
      <c r="GCS1" t="s">
        <v>5200</v>
      </c>
      <c r="GCT1" t="s">
        <v>5201</v>
      </c>
      <c r="GCU1" t="s">
        <v>5202</v>
      </c>
      <c r="GCV1" t="s">
        <v>5203</v>
      </c>
      <c r="GCW1" t="s">
        <v>5204</v>
      </c>
      <c r="GCX1" t="s">
        <v>5205</v>
      </c>
      <c r="GCY1" t="s">
        <v>5206</v>
      </c>
      <c r="GCZ1" t="s">
        <v>5207</v>
      </c>
      <c r="GDA1" t="s">
        <v>5208</v>
      </c>
      <c r="GDB1" t="s">
        <v>5209</v>
      </c>
      <c r="GDC1" t="s">
        <v>5210</v>
      </c>
      <c r="GDD1" t="s">
        <v>5211</v>
      </c>
      <c r="GDE1" t="s">
        <v>5212</v>
      </c>
      <c r="GDF1" t="s">
        <v>5213</v>
      </c>
      <c r="GDG1" t="s">
        <v>5214</v>
      </c>
      <c r="GDH1" t="s">
        <v>5215</v>
      </c>
      <c r="GDI1" t="s">
        <v>5216</v>
      </c>
      <c r="GDJ1" t="s">
        <v>5217</v>
      </c>
      <c r="GDK1" t="s">
        <v>5218</v>
      </c>
      <c r="GDL1" t="s">
        <v>5219</v>
      </c>
      <c r="GDM1" t="s">
        <v>5220</v>
      </c>
      <c r="GDN1" t="s">
        <v>5221</v>
      </c>
      <c r="GDO1" t="s">
        <v>5222</v>
      </c>
      <c r="GDP1" t="s">
        <v>5223</v>
      </c>
      <c r="GDQ1" t="s">
        <v>5224</v>
      </c>
      <c r="GDR1" t="s">
        <v>5225</v>
      </c>
      <c r="GDS1" t="s">
        <v>5226</v>
      </c>
      <c r="GDT1" t="s">
        <v>5227</v>
      </c>
      <c r="GDU1" t="s">
        <v>5228</v>
      </c>
      <c r="GDV1" t="s">
        <v>5229</v>
      </c>
      <c r="GDW1" t="s">
        <v>5230</v>
      </c>
      <c r="GDX1" t="s">
        <v>5231</v>
      </c>
      <c r="GDY1" t="s">
        <v>5232</v>
      </c>
      <c r="GDZ1" t="s">
        <v>5233</v>
      </c>
      <c r="GEA1" t="s">
        <v>5234</v>
      </c>
      <c r="GEB1" t="s">
        <v>5235</v>
      </c>
      <c r="GEC1" t="s">
        <v>5236</v>
      </c>
      <c r="GED1" t="s">
        <v>5237</v>
      </c>
      <c r="GEE1" t="s">
        <v>5238</v>
      </c>
      <c r="GEF1" t="s">
        <v>5239</v>
      </c>
      <c r="GEG1" t="s">
        <v>5240</v>
      </c>
      <c r="GEH1" t="s">
        <v>5241</v>
      </c>
      <c r="GEI1" t="s">
        <v>5242</v>
      </c>
      <c r="GEJ1" t="s">
        <v>5243</v>
      </c>
      <c r="GEK1" t="s">
        <v>5244</v>
      </c>
      <c r="GEL1" t="s">
        <v>5245</v>
      </c>
      <c r="GEM1" t="s">
        <v>5246</v>
      </c>
      <c r="GEN1" t="s">
        <v>5247</v>
      </c>
      <c r="GEO1" t="s">
        <v>5248</v>
      </c>
      <c r="GEP1" t="s">
        <v>5249</v>
      </c>
      <c r="GEQ1" t="s">
        <v>5250</v>
      </c>
      <c r="GER1" t="s">
        <v>5251</v>
      </c>
      <c r="GES1" t="s">
        <v>5252</v>
      </c>
      <c r="GET1" t="s">
        <v>5253</v>
      </c>
      <c r="GEU1" t="s">
        <v>5254</v>
      </c>
      <c r="GEV1" t="s">
        <v>5255</v>
      </c>
      <c r="GEW1" t="s">
        <v>5256</v>
      </c>
      <c r="GEX1" t="s">
        <v>5257</v>
      </c>
      <c r="GEY1" t="s">
        <v>5258</v>
      </c>
      <c r="GEZ1" t="s">
        <v>5259</v>
      </c>
      <c r="GFA1" t="s">
        <v>5260</v>
      </c>
      <c r="GFB1" t="s">
        <v>5261</v>
      </c>
      <c r="GFC1" t="s">
        <v>5262</v>
      </c>
      <c r="GFD1" t="s">
        <v>5263</v>
      </c>
      <c r="GFE1" t="s">
        <v>5264</v>
      </c>
      <c r="GFF1" t="s">
        <v>5265</v>
      </c>
      <c r="GFG1" t="s">
        <v>5266</v>
      </c>
      <c r="GFH1" t="s">
        <v>5267</v>
      </c>
      <c r="GFI1" t="s">
        <v>5268</v>
      </c>
      <c r="GFJ1" t="s">
        <v>5269</v>
      </c>
      <c r="GFK1" t="s">
        <v>5270</v>
      </c>
      <c r="GFL1" t="s">
        <v>5271</v>
      </c>
      <c r="GFM1" t="s">
        <v>5272</v>
      </c>
      <c r="GFN1" t="s">
        <v>5273</v>
      </c>
      <c r="GFO1" t="s">
        <v>5274</v>
      </c>
      <c r="GFP1" t="s">
        <v>5275</v>
      </c>
      <c r="GFQ1" t="s">
        <v>5276</v>
      </c>
      <c r="GFR1" t="s">
        <v>5277</v>
      </c>
      <c r="GFS1" t="s">
        <v>5278</v>
      </c>
      <c r="GFT1" t="s">
        <v>5279</v>
      </c>
      <c r="GFU1" t="s">
        <v>5280</v>
      </c>
      <c r="GFV1" t="s">
        <v>5281</v>
      </c>
      <c r="GFW1" t="s">
        <v>5282</v>
      </c>
      <c r="GFX1" t="s">
        <v>5283</v>
      </c>
      <c r="GFY1" t="s">
        <v>5284</v>
      </c>
      <c r="GFZ1" t="s">
        <v>5285</v>
      </c>
      <c r="GGA1" t="s">
        <v>5286</v>
      </c>
      <c r="GGB1" t="s">
        <v>5287</v>
      </c>
      <c r="GGC1" t="s">
        <v>5288</v>
      </c>
      <c r="GGD1" t="s">
        <v>5289</v>
      </c>
      <c r="GGE1" t="s">
        <v>5290</v>
      </c>
      <c r="GGF1" t="s">
        <v>5291</v>
      </c>
      <c r="GGG1" t="s">
        <v>5292</v>
      </c>
      <c r="GGH1" t="s">
        <v>5293</v>
      </c>
      <c r="GGI1" t="s">
        <v>5294</v>
      </c>
      <c r="GGJ1" t="s">
        <v>5295</v>
      </c>
      <c r="GGK1" t="s">
        <v>5296</v>
      </c>
      <c r="GGL1" t="s">
        <v>5297</v>
      </c>
      <c r="GGM1" t="s">
        <v>5298</v>
      </c>
      <c r="GGN1" t="s">
        <v>5299</v>
      </c>
      <c r="GGO1" t="s">
        <v>5300</v>
      </c>
      <c r="GGP1" t="s">
        <v>5301</v>
      </c>
      <c r="GGQ1" t="s">
        <v>5302</v>
      </c>
      <c r="GGR1" t="s">
        <v>5303</v>
      </c>
      <c r="GGS1" t="s">
        <v>5304</v>
      </c>
      <c r="GGT1" t="s">
        <v>5305</v>
      </c>
      <c r="GGU1" t="s">
        <v>5306</v>
      </c>
      <c r="GGV1" t="s">
        <v>5307</v>
      </c>
      <c r="GGW1" t="s">
        <v>5308</v>
      </c>
      <c r="GGX1" t="s">
        <v>5309</v>
      </c>
      <c r="GGY1" t="s">
        <v>5310</v>
      </c>
      <c r="GGZ1" t="s">
        <v>5311</v>
      </c>
      <c r="GHA1" t="s">
        <v>5312</v>
      </c>
      <c r="GHB1" t="s">
        <v>5313</v>
      </c>
      <c r="GHC1" t="s">
        <v>5314</v>
      </c>
      <c r="GHD1" t="s">
        <v>5315</v>
      </c>
      <c r="GHE1" t="s">
        <v>5316</v>
      </c>
      <c r="GHF1" t="s">
        <v>5317</v>
      </c>
      <c r="GHG1" t="s">
        <v>5318</v>
      </c>
      <c r="GHH1" t="s">
        <v>5319</v>
      </c>
      <c r="GHI1" t="s">
        <v>5320</v>
      </c>
      <c r="GHJ1" t="s">
        <v>5321</v>
      </c>
      <c r="GHK1" t="s">
        <v>5322</v>
      </c>
      <c r="GHL1" t="s">
        <v>5323</v>
      </c>
      <c r="GHM1" t="s">
        <v>5324</v>
      </c>
      <c r="GHN1" t="s">
        <v>5325</v>
      </c>
      <c r="GHO1" t="s">
        <v>5326</v>
      </c>
      <c r="GHP1" t="s">
        <v>5327</v>
      </c>
      <c r="GHQ1" t="s">
        <v>5328</v>
      </c>
      <c r="GHR1" t="s">
        <v>5329</v>
      </c>
      <c r="GHS1" t="s">
        <v>5330</v>
      </c>
      <c r="GHT1" t="s">
        <v>5331</v>
      </c>
      <c r="GHU1" t="s">
        <v>5332</v>
      </c>
      <c r="GHV1" t="s">
        <v>5333</v>
      </c>
      <c r="GHW1" t="s">
        <v>5334</v>
      </c>
      <c r="GHX1" t="s">
        <v>5335</v>
      </c>
      <c r="GHY1" t="s">
        <v>5336</v>
      </c>
      <c r="GHZ1" t="s">
        <v>5337</v>
      </c>
      <c r="GIA1" t="s">
        <v>5338</v>
      </c>
      <c r="GIB1" t="s">
        <v>5339</v>
      </c>
      <c r="GIC1" t="s">
        <v>5340</v>
      </c>
      <c r="GID1" t="s">
        <v>5341</v>
      </c>
      <c r="GIE1" t="s">
        <v>5342</v>
      </c>
      <c r="GIF1" t="s">
        <v>5343</v>
      </c>
      <c r="GIG1" t="s">
        <v>5344</v>
      </c>
      <c r="GIH1" t="s">
        <v>5345</v>
      </c>
      <c r="GII1" t="s">
        <v>5346</v>
      </c>
      <c r="GIJ1" t="s">
        <v>5347</v>
      </c>
      <c r="GIK1" t="s">
        <v>5348</v>
      </c>
      <c r="GIL1" t="s">
        <v>5349</v>
      </c>
      <c r="GIM1" t="s">
        <v>5350</v>
      </c>
      <c r="GIN1" t="s">
        <v>5351</v>
      </c>
      <c r="GIO1" t="s">
        <v>5352</v>
      </c>
      <c r="GIP1" t="s">
        <v>5353</v>
      </c>
      <c r="GIQ1" t="s">
        <v>5354</v>
      </c>
      <c r="GIR1" t="s">
        <v>5355</v>
      </c>
      <c r="GIS1" t="s">
        <v>5356</v>
      </c>
      <c r="GIT1" t="s">
        <v>5357</v>
      </c>
      <c r="GIU1" t="s">
        <v>5358</v>
      </c>
      <c r="GIV1" t="s">
        <v>5359</v>
      </c>
      <c r="GIW1" t="s">
        <v>5360</v>
      </c>
      <c r="GIX1" t="s">
        <v>5361</v>
      </c>
      <c r="GIY1" t="s">
        <v>5362</v>
      </c>
      <c r="GIZ1" t="s">
        <v>5363</v>
      </c>
      <c r="GJA1" t="s">
        <v>5364</v>
      </c>
      <c r="GJB1" t="s">
        <v>5365</v>
      </c>
      <c r="GJC1" t="s">
        <v>5366</v>
      </c>
      <c r="GJD1" t="s">
        <v>5367</v>
      </c>
      <c r="GJE1" t="s">
        <v>5368</v>
      </c>
      <c r="GJF1" t="s">
        <v>5369</v>
      </c>
      <c r="GJG1" t="s">
        <v>5370</v>
      </c>
      <c r="GJH1" t="s">
        <v>5371</v>
      </c>
      <c r="GJI1" t="s">
        <v>5372</v>
      </c>
      <c r="GJJ1" t="s">
        <v>5373</v>
      </c>
      <c r="GJK1" t="s">
        <v>5374</v>
      </c>
      <c r="GJL1" t="s">
        <v>5375</v>
      </c>
      <c r="GJM1" t="s">
        <v>5376</v>
      </c>
      <c r="GJN1" t="s">
        <v>5377</v>
      </c>
      <c r="GJO1" t="s">
        <v>5378</v>
      </c>
      <c r="GJP1" t="s">
        <v>5379</v>
      </c>
      <c r="GJQ1" t="s">
        <v>5380</v>
      </c>
      <c r="GJR1" t="s">
        <v>5381</v>
      </c>
      <c r="GJS1" t="s">
        <v>5382</v>
      </c>
      <c r="GJT1" t="s">
        <v>5383</v>
      </c>
      <c r="GJU1" t="s">
        <v>5384</v>
      </c>
      <c r="GJV1" t="s">
        <v>5385</v>
      </c>
      <c r="GJW1" t="s">
        <v>5386</v>
      </c>
      <c r="GJX1" t="s">
        <v>5387</v>
      </c>
      <c r="GJY1" t="s">
        <v>5388</v>
      </c>
      <c r="GJZ1" t="s">
        <v>5389</v>
      </c>
      <c r="GKA1" t="s">
        <v>5390</v>
      </c>
      <c r="GKB1" t="s">
        <v>5391</v>
      </c>
      <c r="GKC1" t="s">
        <v>5392</v>
      </c>
      <c r="GKD1" t="s">
        <v>5393</v>
      </c>
      <c r="GKE1" t="s">
        <v>5394</v>
      </c>
      <c r="GKF1" t="s">
        <v>5395</v>
      </c>
      <c r="GKG1" t="s">
        <v>5396</v>
      </c>
      <c r="GKH1" t="s">
        <v>5397</v>
      </c>
      <c r="GKI1" t="s">
        <v>5398</v>
      </c>
      <c r="GKJ1" t="s">
        <v>5399</v>
      </c>
      <c r="GKK1" t="s">
        <v>5400</v>
      </c>
      <c r="GKL1" t="s">
        <v>5401</v>
      </c>
      <c r="GKM1" t="s">
        <v>5402</v>
      </c>
      <c r="GKN1" t="s">
        <v>5403</v>
      </c>
      <c r="GKO1" t="s">
        <v>5404</v>
      </c>
      <c r="GKP1" t="s">
        <v>5405</v>
      </c>
      <c r="GKQ1" t="s">
        <v>5406</v>
      </c>
      <c r="GKR1" t="s">
        <v>5407</v>
      </c>
      <c r="GKS1" t="s">
        <v>5408</v>
      </c>
      <c r="GKT1" t="s">
        <v>5409</v>
      </c>
      <c r="GKU1" t="s">
        <v>5410</v>
      </c>
      <c r="GKV1" t="s">
        <v>5411</v>
      </c>
      <c r="GKW1" t="s">
        <v>5412</v>
      </c>
      <c r="GKX1" t="s">
        <v>5413</v>
      </c>
      <c r="GKY1" t="s">
        <v>5414</v>
      </c>
      <c r="GKZ1" t="s">
        <v>5415</v>
      </c>
      <c r="GLA1" t="s">
        <v>5416</v>
      </c>
      <c r="GLB1" t="s">
        <v>5417</v>
      </c>
      <c r="GLC1" t="s">
        <v>5418</v>
      </c>
      <c r="GLD1" t="s">
        <v>5419</v>
      </c>
      <c r="GLE1" t="s">
        <v>5420</v>
      </c>
      <c r="GLF1" t="s">
        <v>5421</v>
      </c>
      <c r="GLG1" t="s">
        <v>5422</v>
      </c>
      <c r="GLH1" t="s">
        <v>5423</v>
      </c>
      <c r="GLI1" t="s">
        <v>5424</v>
      </c>
      <c r="GLJ1" t="s">
        <v>5425</v>
      </c>
      <c r="GLK1" t="s">
        <v>5426</v>
      </c>
      <c r="GLL1" t="s">
        <v>5427</v>
      </c>
      <c r="GLM1" t="s">
        <v>5428</v>
      </c>
      <c r="GLN1" t="s">
        <v>5429</v>
      </c>
      <c r="GLO1" t="s">
        <v>5430</v>
      </c>
      <c r="GLP1" t="s">
        <v>5431</v>
      </c>
      <c r="GLQ1" t="s">
        <v>5432</v>
      </c>
      <c r="GLR1" t="s">
        <v>5433</v>
      </c>
      <c r="GLS1" t="s">
        <v>5434</v>
      </c>
      <c r="GLT1" t="s">
        <v>5435</v>
      </c>
      <c r="GLU1" t="s">
        <v>5436</v>
      </c>
      <c r="GLV1" t="s">
        <v>5437</v>
      </c>
      <c r="GLW1" t="s">
        <v>5438</v>
      </c>
      <c r="GLX1" t="s">
        <v>5439</v>
      </c>
      <c r="GLY1" t="s">
        <v>5440</v>
      </c>
      <c r="GLZ1" t="s">
        <v>5441</v>
      </c>
      <c r="GMA1" t="s">
        <v>5442</v>
      </c>
      <c r="GMB1" t="s">
        <v>5443</v>
      </c>
      <c r="GMC1" t="s">
        <v>5444</v>
      </c>
      <c r="GMD1" t="s">
        <v>5445</v>
      </c>
      <c r="GME1" t="s">
        <v>5446</v>
      </c>
      <c r="GMF1" t="s">
        <v>5447</v>
      </c>
      <c r="GMG1" t="s">
        <v>5448</v>
      </c>
      <c r="GMH1" t="s">
        <v>5449</v>
      </c>
      <c r="GMI1" t="s">
        <v>5450</v>
      </c>
      <c r="GMJ1" t="s">
        <v>5451</v>
      </c>
      <c r="GMK1" t="s">
        <v>5452</v>
      </c>
      <c r="GML1" t="s">
        <v>5453</v>
      </c>
      <c r="GMM1" t="s">
        <v>5454</v>
      </c>
      <c r="GMN1" t="s">
        <v>5455</v>
      </c>
      <c r="GMO1" t="s">
        <v>5456</v>
      </c>
      <c r="GMP1" t="s">
        <v>5457</v>
      </c>
      <c r="GMQ1" t="s">
        <v>5458</v>
      </c>
      <c r="GMR1" t="s">
        <v>5459</v>
      </c>
      <c r="GMS1" t="s">
        <v>5460</v>
      </c>
      <c r="GMT1" t="s">
        <v>5461</v>
      </c>
      <c r="GMU1" t="s">
        <v>5462</v>
      </c>
      <c r="GMV1" t="s">
        <v>5463</v>
      </c>
      <c r="GMW1" t="s">
        <v>5464</v>
      </c>
      <c r="GMX1" t="s">
        <v>5465</v>
      </c>
      <c r="GMY1" t="s">
        <v>5466</v>
      </c>
      <c r="GMZ1" t="s">
        <v>5467</v>
      </c>
      <c r="GNA1" t="s">
        <v>5468</v>
      </c>
      <c r="GNB1" t="s">
        <v>5469</v>
      </c>
      <c r="GNC1" t="s">
        <v>5470</v>
      </c>
      <c r="GND1" t="s">
        <v>5471</v>
      </c>
      <c r="GNE1" t="s">
        <v>5472</v>
      </c>
      <c r="GNF1" t="s">
        <v>5473</v>
      </c>
      <c r="GNG1" t="s">
        <v>5474</v>
      </c>
      <c r="GNH1" t="s">
        <v>5475</v>
      </c>
      <c r="GNI1" t="s">
        <v>5476</v>
      </c>
      <c r="GNJ1" t="s">
        <v>5477</v>
      </c>
      <c r="GNK1" t="s">
        <v>5478</v>
      </c>
      <c r="GNL1" t="s">
        <v>5479</v>
      </c>
      <c r="GNM1" t="s">
        <v>5480</v>
      </c>
      <c r="GNN1" t="s">
        <v>5481</v>
      </c>
      <c r="GNO1" t="s">
        <v>5482</v>
      </c>
      <c r="GNP1" t="s">
        <v>5483</v>
      </c>
      <c r="GNQ1" t="s">
        <v>5484</v>
      </c>
      <c r="GNR1" t="s">
        <v>5485</v>
      </c>
      <c r="GNS1" t="s">
        <v>5486</v>
      </c>
      <c r="GNT1" t="s">
        <v>5487</v>
      </c>
      <c r="GNU1" t="s">
        <v>5488</v>
      </c>
      <c r="GNV1" t="s">
        <v>5489</v>
      </c>
      <c r="GNW1" t="s">
        <v>5490</v>
      </c>
      <c r="GNX1" t="s">
        <v>5491</v>
      </c>
      <c r="GNY1" t="s">
        <v>5492</v>
      </c>
      <c r="GNZ1" t="s">
        <v>5493</v>
      </c>
      <c r="GOA1" t="s">
        <v>5494</v>
      </c>
      <c r="GOB1" t="s">
        <v>5495</v>
      </c>
      <c r="GOC1" t="s">
        <v>5496</v>
      </c>
      <c r="GOD1" t="s">
        <v>5497</v>
      </c>
      <c r="GOE1" t="s">
        <v>5498</v>
      </c>
      <c r="GOF1" t="s">
        <v>5499</v>
      </c>
      <c r="GOG1" t="s">
        <v>5500</v>
      </c>
      <c r="GOH1" t="s">
        <v>5501</v>
      </c>
      <c r="GOI1" t="s">
        <v>5502</v>
      </c>
      <c r="GOJ1" t="s">
        <v>5503</v>
      </c>
      <c r="GOK1" t="s">
        <v>5504</v>
      </c>
      <c r="GOL1" t="s">
        <v>5505</v>
      </c>
      <c r="GOM1" t="s">
        <v>5506</v>
      </c>
      <c r="GON1" t="s">
        <v>5507</v>
      </c>
      <c r="GOO1" t="s">
        <v>5508</v>
      </c>
      <c r="GOP1" t="s">
        <v>5509</v>
      </c>
      <c r="GOQ1" t="s">
        <v>5510</v>
      </c>
      <c r="GOR1" t="s">
        <v>5511</v>
      </c>
      <c r="GOS1" t="s">
        <v>5512</v>
      </c>
      <c r="GOT1" t="s">
        <v>5513</v>
      </c>
      <c r="GOU1" t="s">
        <v>5514</v>
      </c>
      <c r="GOV1" t="s">
        <v>5515</v>
      </c>
      <c r="GOW1" t="s">
        <v>5516</v>
      </c>
      <c r="GOX1" t="s">
        <v>5517</v>
      </c>
      <c r="GOY1" t="s">
        <v>5518</v>
      </c>
      <c r="GOZ1" t="s">
        <v>5519</v>
      </c>
      <c r="GPA1" t="s">
        <v>5520</v>
      </c>
      <c r="GPB1" t="s">
        <v>5521</v>
      </c>
      <c r="GPC1" t="s">
        <v>5522</v>
      </c>
      <c r="GPD1" t="s">
        <v>5523</v>
      </c>
      <c r="GPE1" t="s">
        <v>5524</v>
      </c>
      <c r="GPF1" t="s">
        <v>5525</v>
      </c>
      <c r="GPG1" t="s">
        <v>5526</v>
      </c>
      <c r="GPH1" t="s">
        <v>5527</v>
      </c>
      <c r="GPI1" t="s">
        <v>5528</v>
      </c>
      <c r="GPJ1" t="s">
        <v>5529</v>
      </c>
      <c r="GPK1" t="s">
        <v>5530</v>
      </c>
      <c r="GPL1" t="s">
        <v>5531</v>
      </c>
      <c r="GPM1" t="s">
        <v>5532</v>
      </c>
      <c r="GPN1" t="s">
        <v>5533</v>
      </c>
      <c r="GPO1" t="s">
        <v>5534</v>
      </c>
      <c r="GPP1" t="s">
        <v>5535</v>
      </c>
      <c r="GPQ1" t="s">
        <v>5536</v>
      </c>
      <c r="GPR1" t="s">
        <v>5537</v>
      </c>
      <c r="GPS1" t="s">
        <v>5538</v>
      </c>
      <c r="GPT1" t="s">
        <v>5539</v>
      </c>
      <c r="GPU1" t="s">
        <v>5540</v>
      </c>
      <c r="GPV1" t="s">
        <v>5541</v>
      </c>
      <c r="GPW1" t="s">
        <v>5542</v>
      </c>
      <c r="GPX1" t="s">
        <v>5543</v>
      </c>
      <c r="GPY1" t="s">
        <v>5544</v>
      </c>
      <c r="GPZ1" t="s">
        <v>5545</v>
      </c>
      <c r="GQA1" t="s">
        <v>5546</v>
      </c>
      <c r="GQB1" t="s">
        <v>5547</v>
      </c>
      <c r="GQC1" t="s">
        <v>5548</v>
      </c>
      <c r="GQD1" t="s">
        <v>5549</v>
      </c>
      <c r="GQE1" t="s">
        <v>5550</v>
      </c>
      <c r="GQF1" t="s">
        <v>5551</v>
      </c>
      <c r="GQG1" t="s">
        <v>5552</v>
      </c>
      <c r="GQH1" t="s">
        <v>5553</v>
      </c>
      <c r="GQI1" t="s">
        <v>5554</v>
      </c>
      <c r="GQJ1" t="s">
        <v>5555</v>
      </c>
      <c r="GQK1" t="s">
        <v>5556</v>
      </c>
      <c r="GQL1" t="s">
        <v>5557</v>
      </c>
      <c r="GQM1" t="s">
        <v>5558</v>
      </c>
      <c r="GQN1" t="s">
        <v>5559</v>
      </c>
      <c r="GQO1" t="s">
        <v>5560</v>
      </c>
      <c r="GQP1" t="s">
        <v>5561</v>
      </c>
      <c r="GQQ1" t="s">
        <v>5562</v>
      </c>
      <c r="GQR1" t="s">
        <v>5563</v>
      </c>
      <c r="GQS1" t="s">
        <v>5564</v>
      </c>
      <c r="GQT1" t="s">
        <v>5565</v>
      </c>
      <c r="GQU1" t="s">
        <v>5566</v>
      </c>
      <c r="GQV1" t="s">
        <v>5567</v>
      </c>
      <c r="GQW1" t="s">
        <v>5568</v>
      </c>
      <c r="GQX1" t="s">
        <v>5569</v>
      </c>
      <c r="GQY1" t="s">
        <v>5570</v>
      </c>
      <c r="GQZ1" t="s">
        <v>5571</v>
      </c>
      <c r="GRA1" t="s">
        <v>5572</v>
      </c>
      <c r="GRB1" t="s">
        <v>5573</v>
      </c>
      <c r="GRC1" t="s">
        <v>5574</v>
      </c>
      <c r="GRD1" t="s">
        <v>5575</v>
      </c>
      <c r="GRE1" t="s">
        <v>5576</v>
      </c>
      <c r="GRF1" t="s">
        <v>5577</v>
      </c>
      <c r="GRG1" t="s">
        <v>5578</v>
      </c>
      <c r="GRH1" t="s">
        <v>5579</v>
      </c>
      <c r="GRI1" t="s">
        <v>5580</v>
      </c>
      <c r="GRJ1" t="s">
        <v>5581</v>
      </c>
      <c r="GRK1" t="s">
        <v>5582</v>
      </c>
      <c r="GRL1" t="s">
        <v>5583</v>
      </c>
      <c r="GRM1" t="s">
        <v>5584</v>
      </c>
      <c r="GRN1" t="s">
        <v>5585</v>
      </c>
      <c r="GRO1" t="s">
        <v>5586</v>
      </c>
      <c r="GRP1" t="s">
        <v>5587</v>
      </c>
      <c r="GRQ1" t="s">
        <v>5588</v>
      </c>
      <c r="GRR1" t="s">
        <v>5589</v>
      </c>
      <c r="GRS1" t="s">
        <v>5590</v>
      </c>
      <c r="GRT1" t="s">
        <v>5591</v>
      </c>
      <c r="GRU1" t="s">
        <v>5592</v>
      </c>
      <c r="GRV1" t="s">
        <v>5593</v>
      </c>
      <c r="GRW1" t="s">
        <v>5594</v>
      </c>
      <c r="GRX1" t="s">
        <v>5595</v>
      </c>
      <c r="GRY1" t="s">
        <v>5596</v>
      </c>
      <c r="GRZ1" t="s">
        <v>5597</v>
      </c>
      <c r="GSA1" t="s">
        <v>5598</v>
      </c>
      <c r="GSB1" t="s">
        <v>5599</v>
      </c>
      <c r="GSC1" t="s">
        <v>5600</v>
      </c>
      <c r="GSD1" t="s">
        <v>5601</v>
      </c>
      <c r="GSE1" t="s">
        <v>5602</v>
      </c>
      <c r="GSF1" t="s">
        <v>5603</v>
      </c>
      <c r="GSG1" t="s">
        <v>5604</v>
      </c>
      <c r="GSH1" t="s">
        <v>5605</v>
      </c>
      <c r="GSI1" t="s">
        <v>5606</v>
      </c>
      <c r="GSJ1" t="s">
        <v>5607</v>
      </c>
      <c r="GSK1" t="s">
        <v>5608</v>
      </c>
      <c r="GSL1" t="s">
        <v>5609</v>
      </c>
      <c r="GSM1" t="s">
        <v>5610</v>
      </c>
      <c r="GSN1" t="s">
        <v>5611</v>
      </c>
      <c r="GSO1" t="s">
        <v>5612</v>
      </c>
      <c r="GSP1" t="s">
        <v>5613</v>
      </c>
      <c r="GSQ1" t="s">
        <v>5614</v>
      </c>
      <c r="GSR1" t="s">
        <v>5615</v>
      </c>
      <c r="GSS1" t="s">
        <v>5616</v>
      </c>
      <c r="GST1" t="s">
        <v>5617</v>
      </c>
      <c r="GSU1" t="s">
        <v>5618</v>
      </c>
      <c r="GSV1" t="s">
        <v>5619</v>
      </c>
      <c r="GSW1" t="s">
        <v>5620</v>
      </c>
      <c r="GSX1" t="s">
        <v>5621</v>
      </c>
      <c r="GSY1" t="s">
        <v>5622</v>
      </c>
      <c r="GSZ1" t="s">
        <v>5623</v>
      </c>
      <c r="GTA1" t="s">
        <v>5624</v>
      </c>
      <c r="GTB1" t="s">
        <v>5625</v>
      </c>
      <c r="GTC1" t="s">
        <v>5626</v>
      </c>
      <c r="GTD1" t="s">
        <v>5627</v>
      </c>
      <c r="GTE1" t="s">
        <v>5628</v>
      </c>
      <c r="GTF1" t="s">
        <v>5629</v>
      </c>
      <c r="GTG1" t="s">
        <v>5630</v>
      </c>
      <c r="GTH1" t="s">
        <v>5631</v>
      </c>
      <c r="GTI1" t="s">
        <v>5632</v>
      </c>
      <c r="GTJ1" t="s">
        <v>5633</v>
      </c>
      <c r="GTK1" t="s">
        <v>5634</v>
      </c>
      <c r="GTL1" t="s">
        <v>5635</v>
      </c>
      <c r="GTM1" t="s">
        <v>5636</v>
      </c>
      <c r="GTN1" t="s">
        <v>5637</v>
      </c>
      <c r="GTO1" t="s">
        <v>5638</v>
      </c>
      <c r="GTP1" t="s">
        <v>5639</v>
      </c>
      <c r="GTQ1" t="s">
        <v>5640</v>
      </c>
      <c r="GTR1" t="s">
        <v>5641</v>
      </c>
      <c r="GTS1" t="s">
        <v>5642</v>
      </c>
      <c r="GTT1" t="s">
        <v>5643</v>
      </c>
      <c r="GTU1" t="s">
        <v>5644</v>
      </c>
      <c r="GTV1" t="s">
        <v>5645</v>
      </c>
      <c r="GTW1" t="s">
        <v>5646</v>
      </c>
      <c r="GTX1" t="s">
        <v>5647</v>
      </c>
      <c r="GTY1" t="s">
        <v>5648</v>
      </c>
      <c r="GTZ1" t="s">
        <v>5649</v>
      </c>
      <c r="GUA1" t="s">
        <v>5650</v>
      </c>
      <c r="GUB1" t="s">
        <v>5651</v>
      </c>
      <c r="GUC1" t="s">
        <v>5652</v>
      </c>
      <c r="GUD1" t="s">
        <v>5653</v>
      </c>
      <c r="GUE1" t="s">
        <v>5654</v>
      </c>
      <c r="GUF1" t="s">
        <v>5655</v>
      </c>
      <c r="GUG1" t="s">
        <v>5656</v>
      </c>
      <c r="GUH1" t="s">
        <v>5657</v>
      </c>
      <c r="GUI1" t="s">
        <v>5658</v>
      </c>
      <c r="GUJ1" t="s">
        <v>5659</v>
      </c>
      <c r="GUK1" t="s">
        <v>5660</v>
      </c>
      <c r="GUL1" t="s">
        <v>5661</v>
      </c>
      <c r="GUM1" t="s">
        <v>5662</v>
      </c>
      <c r="GUN1" t="s">
        <v>5663</v>
      </c>
      <c r="GUO1" t="s">
        <v>5664</v>
      </c>
      <c r="GUP1" t="s">
        <v>5665</v>
      </c>
      <c r="GUQ1" t="s">
        <v>5666</v>
      </c>
      <c r="GUR1" t="s">
        <v>5667</v>
      </c>
      <c r="GUS1" t="s">
        <v>5668</v>
      </c>
      <c r="GUT1" t="s">
        <v>5669</v>
      </c>
      <c r="GUU1" t="s">
        <v>5670</v>
      </c>
      <c r="GUV1" t="s">
        <v>5671</v>
      </c>
      <c r="GUW1" t="s">
        <v>5672</v>
      </c>
      <c r="GUX1" t="s">
        <v>5673</v>
      </c>
      <c r="GUY1" t="s">
        <v>5674</v>
      </c>
      <c r="GUZ1" t="s">
        <v>5675</v>
      </c>
      <c r="GVA1" t="s">
        <v>5676</v>
      </c>
      <c r="GVB1" t="s">
        <v>5677</v>
      </c>
      <c r="GVC1" t="s">
        <v>5678</v>
      </c>
      <c r="GVD1" t="s">
        <v>5679</v>
      </c>
      <c r="GVE1" t="s">
        <v>5680</v>
      </c>
      <c r="GVF1" t="s">
        <v>5681</v>
      </c>
      <c r="GVG1" t="s">
        <v>5682</v>
      </c>
      <c r="GVH1" t="s">
        <v>5683</v>
      </c>
      <c r="GVI1" t="s">
        <v>5684</v>
      </c>
      <c r="GVJ1" t="s">
        <v>5685</v>
      </c>
      <c r="GVK1" t="s">
        <v>5686</v>
      </c>
      <c r="GVL1" t="s">
        <v>5687</v>
      </c>
      <c r="GVM1" t="s">
        <v>5688</v>
      </c>
      <c r="GVN1" t="s">
        <v>5689</v>
      </c>
      <c r="GVO1" t="s">
        <v>5690</v>
      </c>
      <c r="GVP1" t="s">
        <v>5691</v>
      </c>
      <c r="GVQ1" t="s">
        <v>5692</v>
      </c>
      <c r="GVR1" t="s">
        <v>5693</v>
      </c>
      <c r="GVS1" t="s">
        <v>5694</v>
      </c>
      <c r="GVT1" t="s">
        <v>5695</v>
      </c>
      <c r="GVU1" t="s">
        <v>5696</v>
      </c>
      <c r="GVV1" t="s">
        <v>5697</v>
      </c>
      <c r="GVW1" t="s">
        <v>5698</v>
      </c>
      <c r="GVX1" t="s">
        <v>5699</v>
      </c>
      <c r="GVY1" t="s">
        <v>5700</v>
      </c>
      <c r="GVZ1" t="s">
        <v>5701</v>
      </c>
      <c r="GWA1" t="s">
        <v>5702</v>
      </c>
      <c r="GWB1" t="s">
        <v>5703</v>
      </c>
      <c r="GWC1" t="s">
        <v>5704</v>
      </c>
      <c r="GWD1" t="s">
        <v>5705</v>
      </c>
      <c r="GWE1" t="s">
        <v>5706</v>
      </c>
      <c r="GWF1" t="s">
        <v>5707</v>
      </c>
      <c r="GWG1" t="s">
        <v>5708</v>
      </c>
      <c r="GWH1" t="s">
        <v>5709</v>
      </c>
      <c r="GWI1" t="s">
        <v>5710</v>
      </c>
      <c r="GWJ1" t="s">
        <v>5711</v>
      </c>
      <c r="GWK1" t="s">
        <v>5712</v>
      </c>
      <c r="GWL1" t="s">
        <v>5713</v>
      </c>
      <c r="GWM1" t="s">
        <v>5714</v>
      </c>
      <c r="GWN1" t="s">
        <v>5715</v>
      </c>
      <c r="GWO1" t="s">
        <v>5716</v>
      </c>
      <c r="GWP1" t="s">
        <v>5717</v>
      </c>
      <c r="GWQ1" t="s">
        <v>5718</v>
      </c>
      <c r="GWR1" t="s">
        <v>5719</v>
      </c>
      <c r="GWS1" t="s">
        <v>5720</v>
      </c>
      <c r="GWT1" t="s">
        <v>5721</v>
      </c>
      <c r="GWU1" t="s">
        <v>5722</v>
      </c>
      <c r="GWV1" t="s">
        <v>5723</v>
      </c>
      <c r="GWW1" t="s">
        <v>5724</v>
      </c>
      <c r="GWX1" t="s">
        <v>5725</v>
      </c>
      <c r="GWY1" t="s">
        <v>5726</v>
      </c>
      <c r="GWZ1" t="s">
        <v>5727</v>
      </c>
      <c r="GXA1" t="s">
        <v>5728</v>
      </c>
      <c r="GXB1" t="s">
        <v>5729</v>
      </c>
      <c r="GXC1" t="s">
        <v>5730</v>
      </c>
      <c r="GXD1" t="s">
        <v>5731</v>
      </c>
      <c r="GXE1" t="s">
        <v>5732</v>
      </c>
      <c r="GXF1" t="s">
        <v>5733</v>
      </c>
      <c r="GXG1" t="s">
        <v>5734</v>
      </c>
      <c r="GXH1" t="s">
        <v>5735</v>
      </c>
      <c r="GXI1" t="s">
        <v>5736</v>
      </c>
      <c r="GXJ1" t="s">
        <v>5737</v>
      </c>
      <c r="GXK1" t="s">
        <v>5738</v>
      </c>
      <c r="GXL1" t="s">
        <v>5739</v>
      </c>
      <c r="GXM1" t="s">
        <v>5740</v>
      </c>
      <c r="GXN1" t="s">
        <v>5741</v>
      </c>
      <c r="GXO1" t="s">
        <v>5742</v>
      </c>
      <c r="GXP1" t="s">
        <v>5743</v>
      </c>
      <c r="GXQ1" t="s">
        <v>5744</v>
      </c>
      <c r="GXR1" t="s">
        <v>5745</v>
      </c>
      <c r="GXS1" t="s">
        <v>5746</v>
      </c>
      <c r="GXT1" t="s">
        <v>5747</v>
      </c>
      <c r="GXU1" t="s">
        <v>5748</v>
      </c>
      <c r="GXV1" t="s">
        <v>5749</v>
      </c>
      <c r="GXW1" t="s">
        <v>5750</v>
      </c>
      <c r="GXX1" t="s">
        <v>5751</v>
      </c>
      <c r="GXY1" t="s">
        <v>5752</v>
      </c>
      <c r="GXZ1" t="s">
        <v>5753</v>
      </c>
      <c r="GYA1" t="s">
        <v>5754</v>
      </c>
      <c r="GYB1" t="s">
        <v>5755</v>
      </c>
      <c r="GYC1" t="s">
        <v>5756</v>
      </c>
      <c r="GYD1" t="s">
        <v>5757</v>
      </c>
      <c r="GYE1" t="s">
        <v>5758</v>
      </c>
      <c r="GYF1" t="s">
        <v>5759</v>
      </c>
      <c r="GYG1" t="s">
        <v>5760</v>
      </c>
      <c r="GYH1" t="s">
        <v>5761</v>
      </c>
      <c r="GYI1" t="s">
        <v>5762</v>
      </c>
      <c r="GYJ1" t="s">
        <v>5763</v>
      </c>
      <c r="GYK1" t="s">
        <v>5764</v>
      </c>
      <c r="GYL1" t="s">
        <v>5765</v>
      </c>
      <c r="GYM1" t="s">
        <v>5766</v>
      </c>
      <c r="GYN1" t="s">
        <v>5767</v>
      </c>
      <c r="GYO1" t="s">
        <v>5768</v>
      </c>
      <c r="GYP1" t="s">
        <v>5769</v>
      </c>
      <c r="GYQ1" t="s">
        <v>5770</v>
      </c>
      <c r="GYR1" t="s">
        <v>5771</v>
      </c>
      <c r="GYS1" t="s">
        <v>5772</v>
      </c>
      <c r="GYT1" t="s">
        <v>5773</v>
      </c>
      <c r="GYU1" t="s">
        <v>5774</v>
      </c>
      <c r="GYV1" t="s">
        <v>5775</v>
      </c>
      <c r="GYW1" t="s">
        <v>5776</v>
      </c>
      <c r="GYX1" t="s">
        <v>5777</v>
      </c>
      <c r="GYY1" t="s">
        <v>5778</v>
      </c>
      <c r="GYZ1" t="s">
        <v>5779</v>
      </c>
      <c r="GZA1" t="s">
        <v>5780</v>
      </c>
      <c r="GZB1" t="s">
        <v>5781</v>
      </c>
      <c r="GZC1" t="s">
        <v>5782</v>
      </c>
      <c r="GZD1" t="s">
        <v>5783</v>
      </c>
      <c r="GZE1" t="s">
        <v>5784</v>
      </c>
      <c r="GZF1" t="s">
        <v>5785</v>
      </c>
      <c r="GZG1" t="s">
        <v>5786</v>
      </c>
      <c r="GZH1" t="s">
        <v>5787</v>
      </c>
      <c r="GZI1" t="s">
        <v>5788</v>
      </c>
      <c r="GZJ1" t="s">
        <v>5789</v>
      </c>
      <c r="GZK1" t="s">
        <v>5790</v>
      </c>
      <c r="GZL1" t="s">
        <v>5791</v>
      </c>
      <c r="GZM1" t="s">
        <v>5792</v>
      </c>
      <c r="GZN1" t="s">
        <v>5793</v>
      </c>
      <c r="GZO1" t="s">
        <v>5794</v>
      </c>
      <c r="GZP1" t="s">
        <v>5795</v>
      </c>
      <c r="GZQ1" t="s">
        <v>5796</v>
      </c>
      <c r="GZR1" t="s">
        <v>5797</v>
      </c>
      <c r="GZS1" t="s">
        <v>5798</v>
      </c>
      <c r="GZT1" t="s">
        <v>5799</v>
      </c>
      <c r="GZU1" t="s">
        <v>5800</v>
      </c>
      <c r="GZV1" t="s">
        <v>5801</v>
      </c>
      <c r="GZW1" t="s">
        <v>5802</v>
      </c>
      <c r="GZX1" t="s">
        <v>5803</v>
      </c>
      <c r="GZY1" t="s">
        <v>5804</v>
      </c>
      <c r="GZZ1" t="s">
        <v>5805</v>
      </c>
      <c r="HAA1" t="s">
        <v>5806</v>
      </c>
      <c r="HAB1" t="s">
        <v>5807</v>
      </c>
      <c r="HAC1" t="s">
        <v>5808</v>
      </c>
      <c r="HAD1" t="s">
        <v>5809</v>
      </c>
      <c r="HAE1" t="s">
        <v>5810</v>
      </c>
      <c r="HAF1" t="s">
        <v>5811</v>
      </c>
      <c r="HAG1" t="s">
        <v>5812</v>
      </c>
      <c r="HAH1" t="s">
        <v>5813</v>
      </c>
      <c r="HAI1" t="s">
        <v>5814</v>
      </c>
      <c r="HAJ1" t="s">
        <v>5815</v>
      </c>
      <c r="HAK1" t="s">
        <v>5816</v>
      </c>
      <c r="HAL1" t="s">
        <v>5817</v>
      </c>
      <c r="HAM1" t="s">
        <v>5818</v>
      </c>
      <c r="HAN1" t="s">
        <v>5819</v>
      </c>
      <c r="HAO1" t="s">
        <v>5820</v>
      </c>
      <c r="HAP1" t="s">
        <v>5821</v>
      </c>
      <c r="HAQ1" t="s">
        <v>5822</v>
      </c>
      <c r="HAR1" t="s">
        <v>5823</v>
      </c>
      <c r="HAS1" t="s">
        <v>5824</v>
      </c>
      <c r="HAT1" t="s">
        <v>5825</v>
      </c>
      <c r="HAU1" t="s">
        <v>5826</v>
      </c>
      <c r="HAV1" t="s">
        <v>5827</v>
      </c>
      <c r="HAW1" t="s">
        <v>5828</v>
      </c>
      <c r="HAX1" t="s">
        <v>5829</v>
      </c>
      <c r="HAY1" t="s">
        <v>5830</v>
      </c>
      <c r="HAZ1" t="s">
        <v>5831</v>
      </c>
      <c r="HBA1" t="s">
        <v>5832</v>
      </c>
      <c r="HBB1" t="s">
        <v>5833</v>
      </c>
      <c r="HBC1" t="s">
        <v>5834</v>
      </c>
      <c r="HBD1" t="s">
        <v>5835</v>
      </c>
      <c r="HBE1" t="s">
        <v>5836</v>
      </c>
      <c r="HBF1" t="s">
        <v>5837</v>
      </c>
      <c r="HBG1" t="s">
        <v>5838</v>
      </c>
      <c r="HBH1" t="s">
        <v>5839</v>
      </c>
      <c r="HBI1" t="s">
        <v>5840</v>
      </c>
      <c r="HBJ1" t="s">
        <v>5841</v>
      </c>
      <c r="HBK1" t="s">
        <v>5842</v>
      </c>
      <c r="HBL1" t="s">
        <v>5843</v>
      </c>
      <c r="HBM1" t="s">
        <v>5844</v>
      </c>
      <c r="HBN1" t="s">
        <v>5845</v>
      </c>
      <c r="HBO1" t="s">
        <v>5846</v>
      </c>
      <c r="HBP1" t="s">
        <v>5847</v>
      </c>
      <c r="HBQ1" t="s">
        <v>5848</v>
      </c>
      <c r="HBR1" t="s">
        <v>5849</v>
      </c>
      <c r="HBS1" t="s">
        <v>5850</v>
      </c>
      <c r="HBT1" t="s">
        <v>5851</v>
      </c>
      <c r="HBU1" t="s">
        <v>5852</v>
      </c>
      <c r="HBV1" t="s">
        <v>5853</v>
      </c>
      <c r="HBW1" t="s">
        <v>5854</v>
      </c>
      <c r="HBX1" t="s">
        <v>5855</v>
      </c>
      <c r="HBY1" t="s">
        <v>5856</v>
      </c>
      <c r="HBZ1" t="s">
        <v>5857</v>
      </c>
      <c r="HCA1" t="s">
        <v>5858</v>
      </c>
      <c r="HCB1" t="s">
        <v>5859</v>
      </c>
      <c r="HCC1" t="s">
        <v>5860</v>
      </c>
      <c r="HCD1" t="s">
        <v>5861</v>
      </c>
      <c r="HCE1" t="s">
        <v>5862</v>
      </c>
      <c r="HCF1" t="s">
        <v>5863</v>
      </c>
      <c r="HCG1" t="s">
        <v>5864</v>
      </c>
      <c r="HCH1" t="s">
        <v>5865</v>
      </c>
      <c r="HCI1" t="s">
        <v>5866</v>
      </c>
      <c r="HCJ1" t="s">
        <v>5867</v>
      </c>
      <c r="HCK1" t="s">
        <v>5868</v>
      </c>
      <c r="HCL1" t="s">
        <v>5869</v>
      </c>
      <c r="HCM1" t="s">
        <v>5870</v>
      </c>
      <c r="HCN1" t="s">
        <v>5871</v>
      </c>
      <c r="HCO1" t="s">
        <v>5872</v>
      </c>
      <c r="HCP1" t="s">
        <v>5873</v>
      </c>
      <c r="HCQ1" t="s">
        <v>5874</v>
      </c>
      <c r="HCR1" t="s">
        <v>5875</v>
      </c>
      <c r="HCS1" t="s">
        <v>5876</v>
      </c>
      <c r="HCT1" t="s">
        <v>5877</v>
      </c>
      <c r="HCU1" t="s">
        <v>5878</v>
      </c>
      <c r="HCV1" t="s">
        <v>5879</v>
      </c>
      <c r="HCW1" t="s">
        <v>5880</v>
      </c>
      <c r="HCX1" t="s">
        <v>5881</v>
      </c>
      <c r="HCY1" t="s">
        <v>5882</v>
      </c>
      <c r="HCZ1" t="s">
        <v>5883</v>
      </c>
      <c r="HDA1" t="s">
        <v>5884</v>
      </c>
      <c r="HDB1" t="s">
        <v>5885</v>
      </c>
      <c r="HDC1" t="s">
        <v>5886</v>
      </c>
      <c r="HDD1" t="s">
        <v>5887</v>
      </c>
      <c r="HDE1" t="s">
        <v>5888</v>
      </c>
      <c r="HDF1" t="s">
        <v>5889</v>
      </c>
      <c r="HDG1" t="s">
        <v>5890</v>
      </c>
      <c r="HDH1" t="s">
        <v>5891</v>
      </c>
      <c r="HDI1" t="s">
        <v>5892</v>
      </c>
      <c r="HDJ1" t="s">
        <v>5893</v>
      </c>
      <c r="HDK1" t="s">
        <v>5894</v>
      </c>
      <c r="HDL1" t="s">
        <v>5895</v>
      </c>
      <c r="HDM1" t="s">
        <v>5896</v>
      </c>
      <c r="HDN1" t="s">
        <v>5897</v>
      </c>
      <c r="HDO1" t="s">
        <v>5898</v>
      </c>
      <c r="HDP1" t="s">
        <v>5899</v>
      </c>
      <c r="HDQ1" t="s">
        <v>5900</v>
      </c>
      <c r="HDR1" t="s">
        <v>5901</v>
      </c>
      <c r="HDS1" t="s">
        <v>5902</v>
      </c>
      <c r="HDT1" t="s">
        <v>5903</v>
      </c>
      <c r="HDU1" t="s">
        <v>5904</v>
      </c>
      <c r="HDV1" t="s">
        <v>5905</v>
      </c>
      <c r="HDW1" t="s">
        <v>5906</v>
      </c>
      <c r="HDX1" t="s">
        <v>5907</v>
      </c>
      <c r="HDY1" t="s">
        <v>5908</v>
      </c>
      <c r="HDZ1" t="s">
        <v>5909</v>
      </c>
      <c r="HEA1" t="s">
        <v>5910</v>
      </c>
      <c r="HEB1" t="s">
        <v>5911</v>
      </c>
      <c r="HEC1" t="s">
        <v>5912</v>
      </c>
      <c r="HED1" t="s">
        <v>5913</v>
      </c>
      <c r="HEE1" t="s">
        <v>5914</v>
      </c>
      <c r="HEF1" t="s">
        <v>5915</v>
      </c>
      <c r="HEG1" t="s">
        <v>5916</v>
      </c>
      <c r="HEH1" t="s">
        <v>5917</v>
      </c>
      <c r="HEI1" t="s">
        <v>5918</v>
      </c>
      <c r="HEJ1" t="s">
        <v>5919</v>
      </c>
      <c r="HEK1" t="s">
        <v>5920</v>
      </c>
      <c r="HEL1" t="s">
        <v>5921</v>
      </c>
      <c r="HEM1" t="s">
        <v>5922</v>
      </c>
      <c r="HEN1" t="s">
        <v>5923</v>
      </c>
      <c r="HEO1" t="s">
        <v>5924</v>
      </c>
      <c r="HEP1" t="s">
        <v>5925</v>
      </c>
      <c r="HEQ1" t="s">
        <v>5926</v>
      </c>
      <c r="HER1" t="s">
        <v>5927</v>
      </c>
      <c r="HES1" t="s">
        <v>5928</v>
      </c>
      <c r="HET1" t="s">
        <v>5929</v>
      </c>
      <c r="HEU1" t="s">
        <v>5930</v>
      </c>
      <c r="HEV1" t="s">
        <v>5931</v>
      </c>
      <c r="HEW1" t="s">
        <v>5932</v>
      </c>
      <c r="HEX1" t="s">
        <v>5933</v>
      </c>
      <c r="HEY1" t="s">
        <v>5934</v>
      </c>
      <c r="HEZ1" t="s">
        <v>5935</v>
      </c>
      <c r="HFA1" t="s">
        <v>5936</v>
      </c>
      <c r="HFB1" t="s">
        <v>5937</v>
      </c>
      <c r="HFC1" t="s">
        <v>5938</v>
      </c>
      <c r="HFD1" t="s">
        <v>5939</v>
      </c>
      <c r="HFE1" t="s">
        <v>5940</v>
      </c>
      <c r="HFF1" t="s">
        <v>5941</v>
      </c>
      <c r="HFG1" t="s">
        <v>5942</v>
      </c>
      <c r="HFH1" t="s">
        <v>5943</v>
      </c>
      <c r="HFI1" t="s">
        <v>5944</v>
      </c>
      <c r="HFJ1" t="s">
        <v>5945</v>
      </c>
      <c r="HFK1" t="s">
        <v>5946</v>
      </c>
      <c r="HFL1" t="s">
        <v>5947</v>
      </c>
      <c r="HFM1" t="s">
        <v>5948</v>
      </c>
      <c r="HFN1" t="s">
        <v>5949</v>
      </c>
      <c r="HFO1" t="s">
        <v>5950</v>
      </c>
      <c r="HFP1" t="s">
        <v>5951</v>
      </c>
      <c r="HFQ1" t="s">
        <v>5952</v>
      </c>
      <c r="HFR1" t="s">
        <v>5953</v>
      </c>
      <c r="HFS1" t="s">
        <v>5954</v>
      </c>
      <c r="HFT1" t="s">
        <v>5955</v>
      </c>
      <c r="HFU1" t="s">
        <v>5956</v>
      </c>
      <c r="HFV1" t="s">
        <v>5957</v>
      </c>
      <c r="HFW1" t="s">
        <v>5958</v>
      </c>
      <c r="HFX1" t="s">
        <v>5959</v>
      </c>
      <c r="HFY1" t="s">
        <v>5960</v>
      </c>
      <c r="HFZ1" t="s">
        <v>5961</v>
      </c>
      <c r="HGA1" t="s">
        <v>5962</v>
      </c>
      <c r="HGB1" t="s">
        <v>5963</v>
      </c>
      <c r="HGC1" t="s">
        <v>5964</v>
      </c>
      <c r="HGD1" t="s">
        <v>5965</v>
      </c>
      <c r="HGE1" t="s">
        <v>5966</v>
      </c>
      <c r="HGF1" t="s">
        <v>5967</v>
      </c>
      <c r="HGG1" t="s">
        <v>5968</v>
      </c>
      <c r="HGH1" t="s">
        <v>5969</v>
      </c>
      <c r="HGI1" t="s">
        <v>5970</v>
      </c>
      <c r="HGJ1" t="s">
        <v>5971</v>
      </c>
      <c r="HGK1" t="s">
        <v>5972</v>
      </c>
      <c r="HGL1" t="s">
        <v>5973</v>
      </c>
      <c r="HGM1" t="s">
        <v>5974</v>
      </c>
      <c r="HGN1" t="s">
        <v>5975</v>
      </c>
      <c r="HGO1" t="s">
        <v>5976</v>
      </c>
      <c r="HGP1" t="s">
        <v>5977</v>
      </c>
      <c r="HGQ1" t="s">
        <v>5978</v>
      </c>
      <c r="HGR1" t="s">
        <v>5979</v>
      </c>
      <c r="HGS1" t="s">
        <v>5980</v>
      </c>
      <c r="HGT1" t="s">
        <v>5981</v>
      </c>
      <c r="HGU1" t="s">
        <v>5982</v>
      </c>
      <c r="HGV1" t="s">
        <v>5983</v>
      </c>
      <c r="HGW1" t="s">
        <v>5984</v>
      </c>
      <c r="HGX1" t="s">
        <v>5985</v>
      </c>
      <c r="HGY1" t="s">
        <v>5986</v>
      </c>
      <c r="HGZ1" t="s">
        <v>5987</v>
      </c>
      <c r="HHA1" t="s">
        <v>5988</v>
      </c>
      <c r="HHB1" t="s">
        <v>5989</v>
      </c>
      <c r="HHC1" t="s">
        <v>5990</v>
      </c>
      <c r="HHD1" t="s">
        <v>5991</v>
      </c>
      <c r="HHE1" t="s">
        <v>5992</v>
      </c>
      <c r="HHF1" t="s">
        <v>5993</v>
      </c>
      <c r="HHG1" t="s">
        <v>5994</v>
      </c>
      <c r="HHH1" t="s">
        <v>5995</v>
      </c>
      <c r="HHI1" t="s">
        <v>5996</v>
      </c>
      <c r="HHJ1" t="s">
        <v>5997</v>
      </c>
      <c r="HHK1" t="s">
        <v>5998</v>
      </c>
      <c r="HHL1" t="s">
        <v>5999</v>
      </c>
      <c r="HHM1" t="s">
        <v>6000</v>
      </c>
      <c r="HHN1" t="s">
        <v>6001</v>
      </c>
      <c r="HHO1" t="s">
        <v>6002</v>
      </c>
      <c r="HHP1" t="s">
        <v>6003</v>
      </c>
      <c r="HHQ1" t="s">
        <v>6004</v>
      </c>
      <c r="HHR1" t="s">
        <v>6005</v>
      </c>
      <c r="HHS1" t="s">
        <v>6006</v>
      </c>
      <c r="HHT1" t="s">
        <v>6007</v>
      </c>
      <c r="HHU1" t="s">
        <v>6008</v>
      </c>
      <c r="HHV1" t="s">
        <v>6009</v>
      </c>
      <c r="HHW1" t="s">
        <v>6010</v>
      </c>
      <c r="HHX1" t="s">
        <v>6011</v>
      </c>
      <c r="HHY1" t="s">
        <v>6012</v>
      </c>
      <c r="HHZ1" t="s">
        <v>6013</v>
      </c>
      <c r="HIA1" t="s">
        <v>6014</v>
      </c>
      <c r="HIB1" t="s">
        <v>6015</v>
      </c>
      <c r="HIC1" t="s">
        <v>6016</v>
      </c>
      <c r="HID1" t="s">
        <v>6017</v>
      </c>
      <c r="HIE1" t="s">
        <v>6018</v>
      </c>
      <c r="HIF1" t="s">
        <v>6019</v>
      </c>
      <c r="HIG1" t="s">
        <v>6020</v>
      </c>
      <c r="HIH1" t="s">
        <v>6021</v>
      </c>
      <c r="HII1" t="s">
        <v>6022</v>
      </c>
      <c r="HIJ1" t="s">
        <v>6023</v>
      </c>
      <c r="HIK1" t="s">
        <v>6024</v>
      </c>
      <c r="HIL1" t="s">
        <v>6025</v>
      </c>
      <c r="HIM1" t="s">
        <v>6026</v>
      </c>
      <c r="HIN1" t="s">
        <v>6027</v>
      </c>
      <c r="HIO1" t="s">
        <v>6028</v>
      </c>
      <c r="HIP1" t="s">
        <v>6029</v>
      </c>
      <c r="HIQ1" t="s">
        <v>6030</v>
      </c>
      <c r="HIR1" t="s">
        <v>6031</v>
      </c>
      <c r="HIS1" t="s">
        <v>6032</v>
      </c>
      <c r="HIT1" t="s">
        <v>6033</v>
      </c>
      <c r="HIU1" t="s">
        <v>6034</v>
      </c>
      <c r="HIV1" t="s">
        <v>6035</v>
      </c>
      <c r="HIW1" t="s">
        <v>6036</v>
      </c>
      <c r="HIX1" t="s">
        <v>6037</v>
      </c>
      <c r="HIY1" t="s">
        <v>6038</v>
      </c>
      <c r="HIZ1" t="s">
        <v>6039</v>
      </c>
      <c r="HJA1" t="s">
        <v>6040</v>
      </c>
      <c r="HJB1" t="s">
        <v>6041</v>
      </c>
      <c r="HJC1" t="s">
        <v>6042</v>
      </c>
      <c r="HJD1" t="s">
        <v>6043</v>
      </c>
      <c r="HJE1" t="s">
        <v>6044</v>
      </c>
      <c r="HJF1" t="s">
        <v>6045</v>
      </c>
      <c r="HJG1" t="s">
        <v>6046</v>
      </c>
      <c r="HJH1" t="s">
        <v>6047</v>
      </c>
      <c r="HJI1" t="s">
        <v>6048</v>
      </c>
      <c r="HJJ1" t="s">
        <v>6049</v>
      </c>
      <c r="HJK1" t="s">
        <v>6050</v>
      </c>
      <c r="HJL1" t="s">
        <v>6051</v>
      </c>
      <c r="HJM1" t="s">
        <v>6052</v>
      </c>
      <c r="HJN1" t="s">
        <v>6053</v>
      </c>
      <c r="HJO1" t="s">
        <v>6054</v>
      </c>
      <c r="HJP1" t="s">
        <v>6055</v>
      </c>
      <c r="HJQ1" t="s">
        <v>6056</v>
      </c>
      <c r="HJR1" t="s">
        <v>6057</v>
      </c>
      <c r="HJS1" t="s">
        <v>6058</v>
      </c>
      <c r="HJT1" t="s">
        <v>6059</v>
      </c>
      <c r="HJU1" t="s">
        <v>6060</v>
      </c>
      <c r="HJV1" t="s">
        <v>6061</v>
      </c>
      <c r="HJW1" t="s">
        <v>6062</v>
      </c>
      <c r="HJX1" t="s">
        <v>6063</v>
      </c>
      <c r="HJY1" t="s">
        <v>6064</v>
      </c>
      <c r="HJZ1" t="s">
        <v>6065</v>
      </c>
      <c r="HKA1" t="s">
        <v>6066</v>
      </c>
      <c r="HKB1" t="s">
        <v>6067</v>
      </c>
      <c r="HKC1" t="s">
        <v>6068</v>
      </c>
      <c r="HKD1" t="s">
        <v>6069</v>
      </c>
      <c r="HKE1" t="s">
        <v>6070</v>
      </c>
      <c r="HKF1" t="s">
        <v>6071</v>
      </c>
      <c r="HKG1" t="s">
        <v>6072</v>
      </c>
      <c r="HKH1" t="s">
        <v>6073</v>
      </c>
      <c r="HKI1" t="s">
        <v>6074</v>
      </c>
      <c r="HKJ1" t="s">
        <v>6075</v>
      </c>
      <c r="HKK1" t="s">
        <v>6076</v>
      </c>
      <c r="HKL1" t="s">
        <v>6077</v>
      </c>
      <c r="HKM1" t="s">
        <v>6078</v>
      </c>
      <c r="HKN1" t="s">
        <v>6079</v>
      </c>
      <c r="HKO1" t="s">
        <v>6080</v>
      </c>
      <c r="HKP1" t="s">
        <v>6081</v>
      </c>
      <c r="HKQ1" t="s">
        <v>6082</v>
      </c>
      <c r="HKR1" t="s">
        <v>6083</v>
      </c>
      <c r="HKS1" t="s">
        <v>6084</v>
      </c>
      <c r="HKT1" t="s">
        <v>6085</v>
      </c>
      <c r="HKU1" t="s">
        <v>6086</v>
      </c>
      <c r="HKV1" t="s">
        <v>6087</v>
      </c>
      <c r="HKW1" t="s">
        <v>6088</v>
      </c>
      <c r="HKX1" t="s">
        <v>6089</v>
      </c>
      <c r="HKY1" t="s">
        <v>6090</v>
      </c>
      <c r="HKZ1" t="s">
        <v>6091</v>
      </c>
      <c r="HLA1" t="s">
        <v>6092</v>
      </c>
      <c r="HLB1" t="s">
        <v>6093</v>
      </c>
      <c r="HLC1" t="s">
        <v>6094</v>
      </c>
      <c r="HLD1" t="s">
        <v>6095</v>
      </c>
      <c r="HLE1" t="s">
        <v>6096</v>
      </c>
      <c r="HLF1" t="s">
        <v>6097</v>
      </c>
      <c r="HLG1" t="s">
        <v>6098</v>
      </c>
      <c r="HLH1" t="s">
        <v>6099</v>
      </c>
      <c r="HLI1" t="s">
        <v>6100</v>
      </c>
      <c r="HLJ1" t="s">
        <v>6101</v>
      </c>
      <c r="HLK1" t="s">
        <v>6102</v>
      </c>
      <c r="HLL1" t="s">
        <v>6103</v>
      </c>
      <c r="HLM1" t="s">
        <v>6104</v>
      </c>
      <c r="HLN1" t="s">
        <v>6105</v>
      </c>
      <c r="HLO1" t="s">
        <v>6106</v>
      </c>
      <c r="HLP1" t="s">
        <v>6107</v>
      </c>
      <c r="HLQ1" t="s">
        <v>6108</v>
      </c>
      <c r="HLR1" t="s">
        <v>6109</v>
      </c>
      <c r="HLS1" t="s">
        <v>6110</v>
      </c>
      <c r="HLT1" t="s">
        <v>6111</v>
      </c>
      <c r="HLU1" t="s">
        <v>6112</v>
      </c>
      <c r="HLV1" t="s">
        <v>6113</v>
      </c>
      <c r="HLW1" t="s">
        <v>6114</v>
      </c>
      <c r="HLX1" t="s">
        <v>6115</v>
      </c>
      <c r="HLY1" t="s">
        <v>6116</v>
      </c>
      <c r="HLZ1" t="s">
        <v>6117</v>
      </c>
      <c r="HMA1" t="s">
        <v>6118</v>
      </c>
      <c r="HMB1" t="s">
        <v>6119</v>
      </c>
      <c r="HMC1" t="s">
        <v>6120</v>
      </c>
      <c r="HMD1" t="s">
        <v>6121</v>
      </c>
      <c r="HME1" t="s">
        <v>6122</v>
      </c>
      <c r="HMF1" t="s">
        <v>6123</v>
      </c>
      <c r="HMG1" t="s">
        <v>6124</v>
      </c>
      <c r="HMH1" t="s">
        <v>6125</v>
      </c>
      <c r="HMI1" t="s">
        <v>6126</v>
      </c>
      <c r="HMJ1" t="s">
        <v>6127</v>
      </c>
      <c r="HMK1" t="s">
        <v>6128</v>
      </c>
      <c r="HML1" t="s">
        <v>6129</v>
      </c>
      <c r="HMM1" t="s">
        <v>6130</v>
      </c>
      <c r="HMN1" t="s">
        <v>6131</v>
      </c>
      <c r="HMO1" t="s">
        <v>6132</v>
      </c>
      <c r="HMP1" t="s">
        <v>6133</v>
      </c>
      <c r="HMQ1" t="s">
        <v>6134</v>
      </c>
      <c r="HMR1" t="s">
        <v>6135</v>
      </c>
      <c r="HMS1" t="s">
        <v>6136</v>
      </c>
      <c r="HMT1" t="s">
        <v>6137</v>
      </c>
      <c r="HMU1" t="s">
        <v>6138</v>
      </c>
      <c r="HMV1" t="s">
        <v>6139</v>
      </c>
      <c r="HMW1" t="s">
        <v>6140</v>
      </c>
      <c r="HMX1" t="s">
        <v>6141</v>
      </c>
      <c r="HMY1" t="s">
        <v>6142</v>
      </c>
      <c r="HMZ1" t="s">
        <v>6143</v>
      </c>
      <c r="HNA1" t="s">
        <v>6144</v>
      </c>
      <c r="HNB1" t="s">
        <v>6145</v>
      </c>
      <c r="HNC1" t="s">
        <v>6146</v>
      </c>
      <c r="HND1" t="s">
        <v>6147</v>
      </c>
      <c r="HNE1" t="s">
        <v>6148</v>
      </c>
      <c r="HNF1" t="s">
        <v>6149</v>
      </c>
      <c r="HNG1" t="s">
        <v>6150</v>
      </c>
      <c r="HNH1" t="s">
        <v>6151</v>
      </c>
      <c r="HNI1" t="s">
        <v>6152</v>
      </c>
      <c r="HNJ1" t="s">
        <v>6153</v>
      </c>
      <c r="HNK1" t="s">
        <v>6154</v>
      </c>
      <c r="HNL1" t="s">
        <v>6155</v>
      </c>
      <c r="HNM1" t="s">
        <v>6156</v>
      </c>
      <c r="HNN1" t="s">
        <v>6157</v>
      </c>
      <c r="HNO1" t="s">
        <v>6158</v>
      </c>
      <c r="HNP1" t="s">
        <v>6159</v>
      </c>
      <c r="HNQ1" t="s">
        <v>6160</v>
      </c>
      <c r="HNR1" t="s">
        <v>6161</v>
      </c>
      <c r="HNS1" t="s">
        <v>6162</v>
      </c>
      <c r="HNT1" t="s">
        <v>6163</v>
      </c>
      <c r="HNU1" t="s">
        <v>6164</v>
      </c>
      <c r="HNV1" t="s">
        <v>6165</v>
      </c>
      <c r="HNW1" t="s">
        <v>6166</v>
      </c>
      <c r="HNX1" t="s">
        <v>6167</v>
      </c>
      <c r="HNY1" t="s">
        <v>6168</v>
      </c>
      <c r="HNZ1" t="s">
        <v>6169</v>
      </c>
      <c r="HOA1" t="s">
        <v>6170</v>
      </c>
      <c r="HOB1" t="s">
        <v>6171</v>
      </c>
      <c r="HOC1" t="s">
        <v>6172</v>
      </c>
      <c r="HOD1" t="s">
        <v>6173</v>
      </c>
      <c r="HOE1" t="s">
        <v>6174</v>
      </c>
      <c r="HOF1" t="s">
        <v>6175</v>
      </c>
      <c r="HOG1" t="s">
        <v>6176</v>
      </c>
      <c r="HOH1" t="s">
        <v>6177</v>
      </c>
      <c r="HOI1" t="s">
        <v>6178</v>
      </c>
      <c r="HOJ1" t="s">
        <v>6179</v>
      </c>
      <c r="HOK1" t="s">
        <v>6180</v>
      </c>
      <c r="HOL1" t="s">
        <v>6181</v>
      </c>
      <c r="HOM1" t="s">
        <v>6182</v>
      </c>
      <c r="HON1" t="s">
        <v>6183</v>
      </c>
      <c r="HOO1" t="s">
        <v>6184</v>
      </c>
      <c r="HOP1" t="s">
        <v>6185</v>
      </c>
      <c r="HOQ1" t="s">
        <v>6186</v>
      </c>
      <c r="HOR1" t="s">
        <v>6187</v>
      </c>
      <c r="HOS1" t="s">
        <v>6188</v>
      </c>
      <c r="HOT1" t="s">
        <v>6189</v>
      </c>
      <c r="HOU1" t="s">
        <v>6190</v>
      </c>
      <c r="HOV1" t="s">
        <v>6191</v>
      </c>
      <c r="HOW1" t="s">
        <v>6192</v>
      </c>
      <c r="HOX1" t="s">
        <v>6193</v>
      </c>
      <c r="HOY1" t="s">
        <v>6194</v>
      </c>
      <c r="HOZ1" t="s">
        <v>6195</v>
      </c>
      <c r="HPA1" t="s">
        <v>6196</v>
      </c>
      <c r="HPB1" t="s">
        <v>6197</v>
      </c>
      <c r="HPC1" t="s">
        <v>6198</v>
      </c>
      <c r="HPD1" t="s">
        <v>6199</v>
      </c>
      <c r="HPE1" t="s">
        <v>6200</v>
      </c>
      <c r="HPF1" t="s">
        <v>6201</v>
      </c>
      <c r="HPG1" t="s">
        <v>6202</v>
      </c>
      <c r="HPH1" t="s">
        <v>6203</v>
      </c>
      <c r="HPI1" t="s">
        <v>6204</v>
      </c>
      <c r="HPJ1" t="s">
        <v>6205</v>
      </c>
      <c r="HPK1" t="s">
        <v>6206</v>
      </c>
      <c r="HPL1" t="s">
        <v>6207</v>
      </c>
      <c r="HPM1" t="s">
        <v>6208</v>
      </c>
      <c r="HPN1" t="s">
        <v>6209</v>
      </c>
      <c r="HPO1" t="s">
        <v>6210</v>
      </c>
      <c r="HPP1" t="s">
        <v>6211</v>
      </c>
      <c r="HPQ1" t="s">
        <v>6212</v>
      </c>
      <c r="HPR1" t="s">
        <v>6213</v>
      </c>
      <c r="HPS1" t="s">
        <v>6214</v>
      </c>
      <c r="HPT1" t="s">
        <v>6215</v>
      </c>
      <c r="HPU1" t="s">
        <v>6216</v>
      </c>
      <c r="HPV1" t="s">
        <v>6217</v>
      </c>
      <c r="HPW1" t="s">
        <v>6218</v>
      </c>
      <c r="HPX1" t="s">
        <v>6219</v>
      </c>
      <c r="HPY1" t="s">
        <v>6220</v>
      </c>
      <c r="HPZ1" t="s">
        <v>6221</v>
      </c>
      <c r="HQA1" t="s">
        <v>6222</v>
      </c>
      <c r="HQB1" t="s">
        <v>6223</v>
      </c>
      <c r="HQC1" t="s">
        <v>6224</v>
      </c>
      <c r="HQD1" t="s">
        <v>6225</v>
      </c>
      <c r="HQE1" t="s">
        <v>6226</v>
      </c>
      <c r="HQF1" t="s">
        <v>6227</v>
      </c>
      <c r="HQG1" t="s">
        <v>6228</v>
      </c>
      <c r="HQH1" t="s">
        <v>6229</v>
      </c>
      <c r="HQI1" t="s">
        <v>6230</v>
      </c>
      <c r="HQJ1" t="s">
        <v>6231</v>
      </c>
      <c r="HQK1" t="s">
        <v>6232</v>
      </c>
      <c r="HQL1" t="s">
        <v>6233</v>
      </c>
      <c r="HQM1" t="s">
        <v>6234</v>
      </c>
      <c r="HQN1" t="s">
        <v>6235</v>
      </c>
      <c r="HQO1" t="s">
        <v>6236</v>
      </c>
      <c r="HQP1" t="s">
        <v>6237</v>
      </c>
      <c r="HQQ1" t="s">
        <v>6238</v>
      </c>
      <c r="HQR1" t="s">
        <v>6239</v>
      </c>
      <c r="HQS1" t="s">
        <v>6240</v>
      </c>
      <c r="HQT1" t="s">
        <v>6241</v>
      </c>
      <c r="HQU1" t="s">
        <v>6242</v>
      </c>
      <c r="HQV1" t="s">
        <v>6243</v>
      </c>
      <c r="HQW1" t="s">
        <v>6244</v>
      </c>
      <c r="HQX1" t="s">
        <v>6245</v>
      </c>
      <c r="HQY1" t="s">
        <v>6246</v>
      </c>
      <c r="HQZ1" t="s">
        <v>6247</v>
      </c>
      <c r="HRA1" t="s">
        <v>6248</v>
      </c>
      <c r="HRB1" t="s">
        <v>6249</v>
      </c>
      <c r="HRC1" t="s">
        <v>6250</v>
      </c>
      <c r="HRD1" t="s">
        <v>6251</v>
      </c>
      <c r="HRE1" t="s">
        <v>6252</v>
      </c>
      <c r="HRF1" t="s">
        <v>6253</v>
      </c>
      <c r="HRG1" t="s">
        <v>6254</v>
      </c>
      <c r="HRH1" t="s">
        <v>6255</v>
      </c>
      <c r="HRI1" t="s">
        <v>6256</v>
      </c>
      <c r="HRJ1" t="s">
        <v>6257</v>
      </c>
      <c r="HRK1" t="s">
        <v>6258</v>
      </c>
      <c r="HRL1" t="s">
        <v>6259</v>
      </c>
      <c r="HRM1" t="s">
        <v>6260</v>
      </c>
      <c r="HRN1" t="s">
        <v>6261</v>
      </c>
      <c r="HRO1" t="s">
        <v>6262</v>
      </c>
      <c r="HRP1" t="s">
        <v>6263</v>
      </c>
      <c r="HRQ1" t="s">
        <v>6264</v>
      </c>
      <c r="HRR1" t="s">
        <v>6265</v>
      </c>
      <c r="HRS1" t="s">
        <v>6266</v>
      </c>
      <c r="HRT1" t="s">
        <v>6267</v>
      </c>
      <c r="HRU1" t="s">
        <v>6268</v>
      </c>
      <c r="HRV1" t="s">
        <v>6269</v>
      </c>
      <c r="HRW1" t="s">
        <v>6270</v>
      </c>
      <c r="HRX1" t="s">
        <v>6271</v>
      </c>
      <c r="HRY1" t="s">
        <v>6272</v>
      </c>
      <c r="HRZ1" t="s">
        <v>6273</v>
      </c>
      <c r="HSA1" t="s">
        <v>6274</v>
      </c>
      <c r="HSB1" t="s">
        <v>6275</v>
      </c>
      <c r="HSC1" t="s">
        <v>6276</v>
      </c>
      <c r="HSD1" t="s">
        <v>6277</v>
      </c>
      <c r="HSE1" t="s">
        <v>6278</v>
      </c>
      <c r="HSF1" t="s">
        <v>6279</v>
      </c>
      <c r="HSG1" t="s">
        <v>6280</v>
      </c>
      <c r="HSH1" t="s">
        <v>6281</v>
      </c>
      <c r="HSI1" t="s">
        <v>6282</v>
      </c>
      <c r="HSJ1" t="s">
        <v>6283</v>
      </c>
      <c r="HSK1" t="s">
        <v>6284</v>
      </c>
      <c r="HSL1" t="s">
        <v>6285</v>
      </c>
      <c r="HSM1" t="s">
        <v>6286</v>
      </c>
      <c r="HSN1" t="s">
        <v>6287</v>
      </c>
      <c r="HSO1" t="s">
        <v>6288</v>
      </c>
      <c r="HSP1" t="s">
        <v>6289</v>
      </c>
      <c r="HSQ1" t="s">
        <v>6290</v>
      </c>
      <c r="HSR1" t="s">
        <v>6291</v>
      </c>
      <c r="HSS1" t="s">
        <v>6292</v>
      </c>
      <c r="HST1" t="s">
        <v>6293</v>
      </c>
      <c r="HSU1" t="s">
        <v>6294</v>
      </c>
      <c r="HSV1" t="s">
        <v>6295</v>
      </c>
      <c r="HSW1" t="s">
        <v>6296</v>
      </c>
      <c r="HSX1" t="s">
        <v>6297</v>
      </c>
      <c r="HSY1" t="s">
        <v>6298</v>
      </c>
      <c r="HSZ1" t="s">
        <v>6299</v>
      </c>
      <c r="HTA1" t="s">
        <v>6300</v>
      </c>
      <c r="HTB1" t="s">
        <v>6301</v>
      </c>
      <c r="HTC1" t="s">
        <v>6302</v>
      </c>
      <c r="HTD1" t="s">
        <v>6303</v>
      </c>
      <c r="HTE1" t="s">
        <v>6304</v>
      </c>
      <c r="HTF1" t="s">
        <v>6305</v>
      </c>
      <c r="HTG1" t="s">
        <v>6306</v>
      </c>
      <c r="HTH1" t="s">
        <v>6307</v>
      </c>
      <c r="HTI1" t="s">
        <v>6308</v>
      </c>
      <c r="HTJ1" t="s">
        <v>6309</v>
      </c>
      <c r="HTK1" t="s">
        <v>6310</v>
      </c>
      <c r="HTL1" t="s">
        <v>6311</v>
      </c>
      <c r="HTM1" t="s">
        <v>6312</v>
      </c>
      <c r="HTN1" t="s">
        <v>6313</v>
      </c>
      <c r="HTO1" t="s">
        <v>6314</v>
      </c>
      <c r="HTP1" t="s">
        <v>6315</v>
      </c>
      <c r="HTQ1" t="s">
        <v>6316</v>
      </c>
      <c r="HTR1" t="s">
        <v>6317</v>
      </c>
      <c r="HTS1" t="s">
        <v>6318</v>
      </c>
      <c r="HTT1" t="s">
        <v>6319</v>
      </c>
      <c r="HTU1" t="s">
        <v>6320</v>
      </c>
      <c r="HTV1" t="s">
        <v>6321</v>
      </c>
      <c r="HTW1" t="s">
        <v>6322</v>
      </c>
      <c r="HTX1" t="s">
        <v>6323</v>
      </c>
      <c r="HTY1" t="s">
        <v>6324</v>
      </c>
      <c r="HTZ1" t="s">
        <v>6325</v>
      </c>
      <c r="HUA1" t="s">
        <v>6326</v>
      </c>
      <c r="HUB1" t="s">
        <v>6327</v>
      </c>
      <c r="HUC1" t="s">
        <v>6328</v>
      </c>
      <c r="HUD1" t="s">
        <v>6329</v>
      </c>
      <c r="HUE1" t="s">
        <v>6330</v>
      </c>
      <c r="HUF1" t="s">
        <v>6331</v>
      </c>
      <c r="HUG1" t="s">
        <v>6332</v>
      </c>
      <c r="HUH1" t="s">
        <v>6333</v>
      </c>
      <c r="HUI1" t="s">
        <v>6334</v>
      </c>
      <c r="HUJ1" t="s">
        <v>6335</v>
      </c>
      <c r="HUK1" t="s">
        <v>6336</v>
      </c>
      <c r="HUL1" t="s">
        <v>6337</v>
      </c>
      <c r="HUM1" t="s">
        <v>6338</v>
      </c>
      <c r="HUN1" t="s">
        <v>6339</v>
      </c>
      <c r="HUO1" t="s">
        <v>6340</v>
      </c>
      <c r="HUP1" t="s">
        <v>6341</v>
      </c>
      <c r="HUQ1" t="s">
        <v>6342</v>
      </c>
      <c r="HUR1" t="s">
        <v>6343</v>
      </c>
      <c r="HUS1" t="s">
        <v>6344</v>
      </c>
      <c r="HUT1" t="s">
        <v>6345</v>
      </c>
      <c r="HUU1" t="s">
        <v>6346</v>
      </c>
      <c r="HUV1" t="s">
        <v>6347</v>
      </c>
      <c r="HUW1" t="s">
        <v>6348</v>
      </c>
      <c r="HUX1" t="s">
        <v>6349</v>
      </c>
      <c r="HUY1" t="s">
        <v>6350</v>
      </c>
      <c r="HUZ1" t="s">
        <v>6351</v>
      </c>
      <c r="HVA1" t="s">
        <v>6352</v>
      </c>
      <c r="HVB1" t="s">
        <v>6353</v>
      </c>
      <c r="HVC1" t="s">
        <v>6354</v>
      </c>
      <c r="HVD1" t="s">
        <v>6355</v>
      </c>
      <c r="HVE1" t="s">
        <v>6356</v>
      </c>
      <c r="HVF1" t="s">
        <v>6357</v>
      </c>
      <c r="HVG1" t="s">
        <v>6358</v>
      </c>
      <c r="HVH1" t="s">
        <v>6359</v>
      </c>
      <c r="HVI1" t="s">
        <v>6360</v>
      </c>
      <c r="HVJ1" t="s">
        <v>6361</v>
      </c>
      <c r="HVK1" t="s">
        <v>6362</v>
      </c>
      <c r="HVL1" t="s">
        <v>6363</v>
      </c>
      <c r="HVM1" t="s">
        <v>6364</v>
      </c>
      <c r="HVN1" t="s">
        <v>6365</v>
      </c>
      <c r="HVO1" t="s">
        <v>6366</v>
      </c>
      <c r="HVP1" t="s">
        <v>6367</v>
      </c>
      <c r="HVQ1" t="s">
        <v>6368</v>
      </c>
      <c r="HVR1" t="s">
        <v>6369</v>
      </c>
      <c r="HVS1" t="s">
        <v>6370</v>
      </c>
      <c r="HVT1" t="s">
        <v>6371</v>
      </c>
      <c r="HVU1" t="s">
        <v>6372</v>
      </c>
      <c r="HVV1" t="s">
        <v>6373</v>
      </c>
      <c r="HVW1" t="s">
        <v>6374</v>
      </c>
      <c r="HVX1" t="s">
        <v>6375</v>
      </c>
      <c r="HVY1" t="s">
        <v>6376</v>
      </c>
      <c r="HVZ1" t="s">
        <v>6377</v>
      </c>
      <c r="HWA1" t="s">
        <v>6378</v>
      </c>
      <c r="HWB1" t="s">
        <v>6379</v>
      </c>
      <c r="HWC1" t="s">
        <v>6380</v>
      </c>
      <c r="HWD1" t="s">
        <v>6381</v>
      </c>
      <c r="HWE1" t="s">
        <v>6382</v>
      </c>
      <c r="HWF1" t="s">
        <v>6383</v>
      </c>
      <c r="HWG1" t="s">
        <v>6384</v>
      </c>
      <c r="HWH1" t="s">
        <v>6385</v>
      </c>
      <c r="HWI1" t="s">
        <v>6386</v>
      </c>
      <c r="HWJ1" t="s">
        <v>6387</v>
      </c>
      <c r="HWK1" t="s">
        <v>6388</v>
      </c>
      <c r="HWL1" t="s">
        <v>6389</v>
      </c>
      <c r="HWM1" t="s">
        <v>6390</v>
      </c>
      <c r="HWN1" t="s">
        <v>6391</v>
      </c>
      <c r="HWO1" t="s">
        <v>6392</v>
      </c>
      <c r="HWP1" t="s">
        <v>6393</v>
      </c>
      <c r="HWQ1" t="s">
        <v>6394</v>
      </c>
      <c r="HWR1" t="s">
        <v>6395</v>
      </c>
      <c r="HWS1" t="s">
        <v>6396</v>
      </c>
      <c r="HWT1" t="s">
        <v>6397</v>
      </c>
      <c r="HWU1" t="s">
        <v>6398</v>
      </c>
      <c r="HWV1" t="s">
        <v>6399</v>
      </c>
      <c r="HWW1" t="s">
        <v>6400</v>
      </c>
      <c r="HWX1" t="s">
        <v>6401</v>
      </c>
      <c r="HWY1" t="s">
        <v>6402</v>
      </c>
      <c r="HWZ1" t="s">
        <v>6403</v>
      </c>
      <c r="HXA1" t="s">
        <v>6404</v>
      </c>
      <c r="HXB1" t="s">
        <v>6405</v>
      </c>
      <c r="HXC1" t="s">
        <v>6406</v>
      </c>
      <c r="HXD1" t="s">
        <v>6407</v>
      </c>
      <c r="HXE1" t="s">
        <v>6408</v>
      </c>
      <c r="HXF1" t="s">
        <v>6409</v>
      </c>
      <c r="HXG1" t="s">
        <v>6410</v>
      </c>
      <c r="HXH1" t="s">
        <v>6411</v>
      </c>
      <c r="HXI1" t="s">
        <v>6412</v>
      </c>
      <c r="HXJ1" t="s">
        <v>6413</v>
      </c>
      <c r="HXK1" t="s">
        <v>6414</v>
      </c>
      <c r="HXL1" t="s">
        <v>6415</v>
      </c>
      <c r="HXM1" t="s">
        <v>6416</v>
      </c>
      <c r="HXN1" t="s">
        <v>6417</v>
      </c>
      <c r="HXO1" t="s">
        <v>6418</v>
      </c>
      <c r="HXP1" t="s">
        <v>6419</v>
      </c>
      <c r="HXQ1" t="s">
        <v>6420</v>
      </c>
      <c r="HXR1" t="s">
        <v>6421</v>
      </c>
      <c r="HXS1" t="s">
        <v>6422</v>
      </c>
      <c r="HXT1" t="s">
        <v>6423</v>
      </c>
      <c r="HXU1" t="s">
        <v>6424</v>
      </c>
      <c r="HXV1" t="s">
        <v>6425</v>
      </c>
      <c r="HXW1" t="s">
        <v>6426</v>
      </c>
      <c r="HXX1" t="s">
        <v>6427</v>
      </c>
      <c r="HXY1" t="s">
        <v>6428</v>
      </c>
      <c r="HXZ1" t="s">
        <v>6429</v>
      </c>
      <c r="HYA1" t="s">
        <v>6430</v>
      </c>
      <c r="HYB1" t="s">
        <v>6431</v>
      </c>
      <c r="HYC1" t="s">
        <v>6432</v>
      </c>
      <c r="HYD1" t="s">
        <v>6433</v>
      </c>
      <c r="HYE1" t="s">
        <v>6434</v>
      </c>
      <c r="HYF1" t="s">
        <v>6435</v>
      </c>
      <c r="HYG1" t="s">
        <v>6436</v>
      </c>
      <c r="HYH1" t="s">
        <v>6437</v>
      </c>
      <c r="HYI1" t="s">
        <v>6438</v>
      </c>
      <c r="HYJ1" t="s">
        <v>6439</v>
      </c>
      <c r="HYK1" t="s">
        <v>6440</v>
      </c>
      <c r="HYL1" t="s">
        <v>6441</v>
      </c>
      <c r="HYM1" t="s">
        <v>6442</v>
      </c>
      <c r="HYN1" t="s">
        <v>6443</v>
      </c>
      <c r="HYO1" t="s">
        <v>6444</v>
      </c>
      <c r="HYP1" t="s">
        <v>6445</v>
      </c>
      <c r="HYQ1" t="s">
        <v>6446</v>
      </c>
      <c r="HYR1" t="s">
        <v>6447</v>
      </c>
      <c r="HYS1" t="s">
        <v>6448</v>
      </c>
      <c r="HYT1" t="s">
        <v>6449</v>
      </c>
      <c r="HYU1" t="s">
        <v>6450</v>
      </c>
      <c r="HYV1" t="s">
        <v>6451</v>
      </c>
      <c r="HYW1" t="s">
        <v>6452</v>
      </c>
      <c r="HYX1" t="s">
        <v>6453</v>
      </c>
      <c r="HYY1" t="s">
        <v>6454</v>
      </c>
      <c r="HYZ1" t="s">
        <v>6455</v>
      </c>
      <c r="HZA1" t="s">
        <v>6456</v>
      </c>
      <c r="HZB1" t="s">
        <v>6457</v>
      </c>
      <c r="HZC1" t="s">
        <v>6458</v>
      </c>
      <c r="HZD1" t="s">
        <v>6459</v>
      </c>
      <c r="HZE1" t="s">
        <v>6460</v>
      </c>
      <c r="HZF1" t="s">
        <v>6461</v>
      </c>
      <c r="HZG1" t="s">
        <v>6462</v>
      </c>
      <c r="HZH1" t="s">
        <v>6463</v>
      </c>
      <c r="HZI1" t="s">
        <v>6464</v>
      </c>
      <c r="HZJ1" t="s">
        <v>6465</v>
      </c>
      <c r="HZK1" t="s">
        <v>6466</v>
      </c>
      <c r="HZL1" t="s">
        <v>6467</v>
      </c>
      <c r="HZM1" t="s">
        <v>6468</v>
      </c>
      <c r="HZN1" t="s">
        <v>6469</v>
      </c>
      <c r="HZO1" t="s">
        <v>6470</v>
      </c>
      <c r="HZP1" t="s">
        <v>6471</v>
      </c>
      <c r="HZQ1" t="s">
        <v>6472</v>
      </c>
      <c r="HZR1" t="s">
        <v>6473</v>
      </c>
      <c r="HZS1" t="s">
        <v>6474</v>
      </c>
      <c r="HZT1" t="s">
        <v>6475</v>
      </c>
      <c r="HZU1" t="s">
        <v>6476</v>
      </c>
      <c r="HZV1" t="s">
        <v>6477</v>
      </c>
      <c r="HZW1" t="s">
        <v>6478</v>
      </c>
      <c r="HZX1" t="s">
        <v>6479</v>
      </c>
      <c r="HZY1" t="s">
        <v>6480</v>
      </c>
      <c r="HZZ1" t="s">
        <v>6481</v>
      </c>
      <c r="IAA1" t="s">
        <v>6482</v>
      </c>
      <c r="IAB1" t="s">
        <v>6483</v>
      </c>
      <c r="IAC1" t="s">
        <v>6484</v>
      </c>
      <c r="IAD1" t="s">
        <v>6485</v>
      </c>
      <c r="IAE1" t="s">
        <v>6486</v>
      </c>
      <c r="IAF1" t="s">
        <v>6487</v>
      </c>
      <c r="IAG1" t="s">
        <v>6488</v>
      </c>
      <c r="IAH1" t="s">
        <v>6489</v>
      </c>
      <c r="IAI1" t="s">
        <v>6490</v>
      </c>
      <c r="IAJ1" t="s">
        <v>6491</v>
      </c>
      <c r="IAK1" t="s">
        <v>6492</v>
      </c>
      <c r="IAL1" t="s">
        <v>6493</v>
      </c>
      <c r="IAM1" t="s">
        <v>6494</v>
      </c>
      <c r="IAN1" t="s">
        <v>6495</v>
      </c>
      <c r="IAO1" t="s">
        <v>6496</v>
      </c>
      <c r="IAP1" t="s">
        <v>6497</v>
      </c>
      <c r="IAQ1" t="s">
        <v>6498</v>
      </c>
      <c r="IAR1" t="s">
        <v>6499</v>
      </c>
      <c r="IAS1" t="s">
        <v>6500</v>
      </c>
      <c r="IAT1" t="s">
        <v>6501</v>
      </c>
      <c r="IAU1" t="s">
        <v>6502</v>
      </c>
      <c r="IAV1" t="s">
        <v>6503</v>
      </c>
      <c r="IAW1" t="s">
        <v>6504</v>
      </c>
      <c r="IAX1" t="s">
        <v>6505</v>
      </c>
      <c r="IAY1" t="s">
        <v>6506</v>
      </c>
      <c r="IAZ1" t="s">
        <v>6507</v>
      </c>
      <c r="IBA1" t="s">
        <v>6508</v>
      </c>
      <c r="IBB1" t="s">
        <v>6509</v>
      </c>
      <c r="IBC1" t="s">
        <v>6510</v>
      </c>
      <c r="IBD1" t="s">
        <v>6511</v>
      </c>
      <c r="IBE1" t="s">
        <v>6512</v>
      </c>
      <c r="IBF1" t="s">
        <v>6513</v>
      </c>
      <c r="IBG1" t="s">
        <v>6514</v>
      </c>
      <c r="IBH1" t="s">
        <v>6515</v>
      </c>
      <c r="IBI1" t="s">
        <v>6516</v>
      </c>
      <c r="IBJ1" t="s">
        <v>6517</v>
      </c>
      <c r="IBK1" t="s">
        <v>6518</v>
      </c>
      <c r="IBL1" t="s">
        <v>6519</v>
      </c>
      <c r="IBM1" t="s">
        <v>6520</v>
      </c>
      <c r="IBN1" t="s">
        <v>6521</v>
      </c>
      <c r="IBO1" t="s">
        <v>6522</v>
      </c>
      <c r="IBP1" t="s">
        <v>6523</v>
      </c>
      <c r="IBQ1" t="s">
        <v>6524</v>
      </c>
      <c r="IBR1" t="s">
        <v>6525</v>
      </c>
      <c r="IBS1" t="s">
        <v>6526</v>
      </c>
      <c r="IBT1" t="s">
        <v>6527</v>
      </c>
      <c r="IBU1" t="s">
        <v>6528</v>
      </c>
      <c r="IBV1" t="s">
        <v>6529</v>
      </c>
      <c r="IBW1" t="s">
        <v>6530</v>
      </c>
      <c r="IBX1" t="s">
        <v>6531</v>
      </c>
      <c r="IBY1" t="s">
        <v>6532</v>
      </c>
      <c r="IBZ1" t="s">
        <v>6533</v>
      </c>
      <c r="ICA1" t="s">
        <v>6534</v>
      </c>
      <c r="ICB1" t="s">
        <v>6535</v>
      </c>
      <c r="ICC1" t="s">
        <v>6536</v>
      </c>
      <c r="ICD1" t="s">
        <v>6537</v>
      </c>
      <c r="ICE1" t="s">
        <v>6538</v>
      </c>
      <c r="ICF1" t="s">
        <v>6539</v>
      </c>
      <c r="ICG1" t="s">
        <v>6540</v>
      </c>
      <c r="ICH1" t="s">
        <v>6541</v>
      </c>
      <c r="ICI1" t="s">
        <v>6542</v>
      </c>
      <c r="ICJ1" t="s">
        <v>6543</v>
      </c>
      <c r="ICK1" t="s">
        <v>6544</v>
      </c>
      <c r="ICL1" t="s">
        <v>6545</v>
      </c>
      <c r="ICM1" t="s">
        <v>6546</v>
      </c>
      <c r="ICN1" t="s">
        <v>6547</v>
      </c>
      <c r="ICO1" t="s">
        <v>6548</v>
      </c>
      <c r="ICP1" t="s">
        <v>6549</v>
      </c>
      <c r="ICQ1" t="s">
        <v>6550</v>
      </c>
      <c r="ICR1" t="s">
        <v>6551</v>
      </c>
      <c r="ICS1" t="s">
        <v>6552</v>
      </c>
      <c r="ICT1" t="s">
        <v>6553</v>
      </c>
      <c r="ICU1" t="s">
        <v>6554</v>
      </c>
      <c r="ICV1" t="s">
        <v>6555</v>
      </c>
      <c r="ICW1" t="s">
        <v>6556</v>
      </c>
      <c r="ICX1" t="s">
        <v>6557</v>
      </c>
      <c r="ICY1" t="s">
        <v>6558</v>
      </c>
      <c r="ICZ1" t="s">
        <v>6559</v>
      </c>
      <c r="IDA1" t="s">
        <v>6560</v>
      </c>
      <c r="IDB1" t="s">
        <v>6561</v>
      </c>
      <c r="IDC1" t="s">
        <v>6562</v>
      </c>
      <c r="IDD1" t="s">
        <v>6563</v>
      </c>
      <c r="IDE1" t="s">
        <v>6564</v>
      </c>
      <c r="IDF1" t="s">
        <v>6565</v>
      </c>
      <c r="IDG1" t="s">
        <v>6566</v>
      </c>
      <c r="IDH1" t="s">
        <v>6567</v>
      </c>
      <c r="IDI1" t="s">
        <v>6568</v>
      </c>
      <c r="IDJ1" t="s">
        <v>6569</v>
      </c>
      <c r="IDK1" t="s">
        <v>6570</v>
      </c>
      <c r="IDL1" t="s">
        <v>6571</v>
      </c>
      <c r="IDM1" t="s">
        <v>6572</v>
      </c>
      <c r="IDN1" t="s">
        <v>6573</v>
      </c>
      <c r="IDO1" t="s">
        <v>6574</v>
      </c>
      <c r="IDP1" t="s">
        <v>6575</v>
      </c>
      <c r="IDQ1" t="s">
        <v>6576</v>
      </c>
      <c r="IDR1" t="s">
        <v>6577</v>
      </c>
      <c r="IDS1" t="s">
        <v>6578</v>
      </c>
      <c r="IDT1" t="s">
        <v>6579</v>
      </c>
      <c r="IDU1" t="s">
        <v>6580</v>
      </c>
      <c r="IDV1" t="s">
        <v>6581</v>
      </c>
      <c r="IDW1" t="s">
        <v>6582</v>
      </c>
      <c r="IDX1" t="s">
        <v>6583</v>
      </c>
      <c r="IDY1" t="s">
        <v>6584</v>
      </c>
      <c r="IDZ1" t="s">
        <v>6585</v>
      </c>
      <c r="IEA1" t="s">
        <v>6586</v>
      </c>
      <c r="IEB1" t="s">
        <v>6587</v>
      </c>
      <c r="IEC1" t="s">
        <v>6588</v>
      </c>
      <c r="IED1" t="s">
        <v>6589</v>
      </c>
      <c r="IEE1" t="s">
        <v>6590</v>
      </c>
      <c r="IEF1" t="s">
        <v>6591</v>
      </c>
      <c r="IEG1" t="s">
        <v>6592</v>
      </c>
      <c r="IEH1" t="s">
        <v>6593</v>
      </c>
      <c r="IEI1" t="s">
        <v>6594</v>
      </c>
      <c r="IEJ1" t="s">
        <v>6595</v>
      </c>
      <c r="IEK1" t="s">
        <v>6596</v>
      </c>
      <c r="IEL1" t="s">
        <v>6597</v>
      </c>
      <c r="IEM1" t="s">
        <v>6598</v>
      </c>
      <c r="IEN1" t="s">
        <v>6599</v>
      </c>
      <c r="IEO1" t="s">
        <v>6600</v>
      </c>
      <c r="IEP1" t="s">
        <v>6601</v>
      </c>
      <c r="IEQ1" t="s">
        <v>6602</v>
      </c>
      <c r="IER1" t="s">
        <v>6603</v>
      </c>
      <c r="IES1" t="s">
        <v>6604</v>
      </c>
      <c r="IET1" t="s">
        <v>6605</v>
      </c>
      <c r="IEU1" t="s">
        <v>6606</v>
      </c>
      <c r="IEV1" t="s">
        <v>6607</v>
      </c>
      <c r="IEW1" t="s">
        <v>6608</v>
      </c>
      <c r="IEX1" t="s">
        <v>6609</v>
      </c>
      <c r="IEY1" t="s">
        <v>6610</v>
      </c>
      <c r="IEZ1" t="s">
        <v>6611</v>
      </c>
      <c r="IFA1" t="s">
        <v>6612</v>
      </c>
      <c r="IFB1" t="s">
        <v>6613</v>
      </c>
      <c r="IFC1" t="s">
        <v>6614</v>
      </c>
      <c r="IFD1" t="s">
        <v>6615</v>
      </c>
      <c r="IFE1" t="s">
        <v>6616</v>
      </c>
      <c r="IFF1" t="s">
        <v>6617</v>
      </c>
      <c r="IFG1" t="s">
        <v>6618</v>
      </c>
      <c r="IFH1" t="s">
        <v>6619</v>
      </c>
      <c r="IFI1" t="s">
        <v>6620</v>
      </c>
      <c r="IFJ1" t="s">
        <v>6621</v>
      </c>
      <c r="IFK1" t="s">
        <v>6622</v>
      </c>
      <c r="IFL1" t="s">
        <v>6623</v>
      </c>
      <c r="IFM1" t="s">
        <v>6624</v>
      </c>
      <c r="IFN1" t="s">
        <v>6625</v>
      </c>
      <c r="IFO1" t="s">
        <v>6626</v>
      </c>
      <c r="IFP1" t="s">
        <v>6627</v>
      </c>
      <c r="IFQ1" t="s">
        <v>6628</v>
      </c>
      <c r="IFR1" t="s">
        <v>6629</v>
      </c>
      <c r="IFS1" t="s">
        <v>6630</v>
      </c>
      <c r="IFT1" t="s">
        <v>6631</v>
      </c>
      <c r="IFU1" t="s">
        <v>6632</v>
      </c>
      <c r="IFV1" t="s">
        <v>6633</v>
      </c>
      <c r="IFW1" t="s">
        <v>6634</v>
      </c>
      <c r="IFX1" t="s">
        <v>6635</v>
      </c>
      <c r="IFY1" t="s">
        <v>6636</v>
      </c>
      <c r="IFZ1" t="s">
        <v>6637</v>
      </c>
      <c r="IGA1" t="s">
        <v>6638</v>
      </c>
      <c r="IGB1" t="s">
        <v>6639</v>
      </c>
      <c r="IGC1" t="s">
        <v>6640</v>
      </c>
      <c r="IGD1" t="s">
        <v>6641</v>
      </c>
      <c r="IGE1" t="s">
        <v>6642</v>
      </c>
      <c r="IGF1" t="s">
        <v>6643</v>
      </c>
      <c r="IGG1" t="s">
        <v>6644</v>
      </c>
      <c r="IGH1" t="s">
        <v>6645</v>
      </c>
      <c r="IGI1" t="s">
        <v>6646</v>
      </c>
      <c r="IGJ1" t="s">
        <v>6647</v>
      </c>
      <c r="IGK1" t="s">
        <v>6648</v>
      </c>
      <c r="IGL1" t="s">
        <v>6649</v>
      </c>
      <c r="IGM1" t="s">
        <v>6650</v>
      </c>
      <c r="IGN1" t="s">
        <v>6651</v>
      </c>
      <c r="IGO1" t="s">
        <v>6652</v>
      </c>
      <c r="IGP1" t="s">
        <v>6653</v>
      </c>
      <c r="IGQ1" t="s">
        <v>6654</v>
      </c>
      <c r="IGR1" t="s">
        <v>6655</v>
      </c>
      <c r="IGS1" t="s">
        <v>6656</v>
      </c>
      <c r="IGT1" t="s">
        <v>6657</v>
      </c>
      <c r="IGU1" t="s">
        <v>6658</v>
      </c>
      <c r="IGV1" t="s">
        <v>6659</v>
      </c>
      <c r="IGW1" t="s">
        <v>6660</v>
      </c>
      <c r="IGX1" t="s">
        <v>6661</v>
      </c>
      <c r="IGY1" t="s">
        <v>6662</v>
      </c>
      <c r="IGZ1" t="s">
        <v>6663</v>
      </c>
      <c r="IHA1" t="s">
        <v>6664</v>
      </c>
      <c r="IHB1" t="s">
        <v>6665</v>
      </c>
      <c r="IHC1" t="s">
        <v>6666</v>
      </c>
      <c r="IHD1" t="s">
        <v>6667</v>
      </c>
      <c r="IHE1" t="s">
        <v>6668</v>
      </c>
      <c r="IHF1" t="s">
        <v>6669</v>
      </c>
      <c r="IHG1" t="s">
        <v>6670</v>
      </c>
      <c r="IHH1" t="s">
        <v>6671</v>
      </c>
      <c r="IHI1" t="s">
        <v>6672</v>
      </c>
      <c r="IHJ1" t="s">
        <v>6673</v>
      </c>
      <c r="IHK1" t="s">
        <v>6674</v>
      </c>
      <c r="IHL1" t="s">
        <v>6675</v>
      </c>
      <c r="IHM1" t="s">
        <v>6676</v>
      </c>
      <c r="IHN1" t="s">
        <v>6677</v>
      </c>
      <c r="IHO1" t="s">
        <v>6678</v>
      </c>
      <c r="IHP1" t="s">
        <v>6679</v>
      </c>
      <c r="IHQ1" t="s">
        <v>6680</v>
      </c>
      <c r="IHR1" t="s">
        <v>6681</v>
      </c>
      <c r="IHS1" t="s">
        <v>6682</v>
      </c>
      <c r="IHT1" t="s">
        <v>6683</v>
      </c>
      <c r="IHU1" t="s">
        <v>6684</v>
      </c>
      <c r="IHV1" t="s">
        <v>6685</v>
      </c>
      <c r="IHW1" t="s">
        <v>6686</v>
      </c>
      <c r="IHX1" t="s">
        <v>6687</v>
      </c>
      <c r="IHY1" t="s">
        <v>6688</v>
      </c>
      <c r="IHZ1" t="s">
        <v>6689</v>
      </c>
      <c r="IIA1" t="s">
        <v>6690</v>
      </c>
      <c r="IIB1" t="s">
        <v>6691</v>
      </c>
      <c r="IIC1" t="s">
        <v>6692</v>
      </c>
      <c r="IID1" t="s">
        <v>6693</v>
      </c>
      <c r="IIE1" t="s">
        <v>6694</v>
      </c>
      <c r="IIF1" t="s">
        <v>6695</v>
      </c>
      <c r="IIG1" t="s">
        <v>6696</v>
      </c>
      <c r="IIH1" t="s">
        <v>6697</v>
      </c>
      <c r="III1" t="s">
        <v>6698</v>
      </c>
      <c r="IIJ1" t="s">
        <v>6699</v>
      </c>
      <c r="IIK1" t="s">
        <v>6700</v>
      </c>
      <c r="IIL1" t="s">
        <v>6701</v>
      </c>
      <c r="IIM1" t="s">
        <v>6702</v>
      </c>
      <c r="IIN1" t="s">
        <v>6703</v>
      </c>
      <c r="IIO1" t="s">
        <v>6704</v>
      </c>
      <c r="IIP1" t="s">
        <v>6705</v>
      </c>
      <c r="IIQ1" t="s">
        <v>6706</v>
      </c>
      <c r="IIR1" t="s">
        <v>6707</v>
      </c>
      <c r="IIS1" t="s">
        <v>6708</v>
      </c>
      <c r="IIT1" t="s">
        <v>6709</v>
      </c>
      <c r="IIU1" t="s">
        <v>6710</v>
      </c>
      <c r="IIV1" t="s">
        <v>6711</v>
      </c>
      <c r="IIW1" t="s">
        <v>6712</v>
      </c>
      <c r="IIX1" t="s">
        <v>6713</v>
      </c>
      <c r="IIY1" t="s">
        <v>6714</v>
      </c>
      <c r="IIZ1" t="s">
        <v>6715</v>
      </c>
      <c r="IJA1" t="s">
        <v>6716</v>
      </c>
      <c r="IJB1" t="s">
        <v>6717</v>
      </c>
      <c r="IJC1" t="s">
        <v>6718</v>
      </c>
      <c r="IJD1" t="s">
        <v>6719</v>
      </c>
      <c r="IJE1" t="s">
        <v>6720</v>
      </c>
      <c r="IJF1" t="s">
        <v>6721</v>
      </c>
      <c r="IJG1" t="s">
        <v>6722</v>
      </c>
      <c r="IJH1" t="s">
        <v>6723</v>
      </c>
      <c r="IJI1" t="s">
        <v>6724</v>
      </c>
      <c r="IJJ1" t="s">
        <v>6725</v>
      </c>
      <c r="IJK1" t="s">
        <v>6726</v>
      </c>
      <c r="IJL1" t="s">
        <v>6727</v>
      </c>
      <c r="IJM1" t="s">
        <v>6728</v>
      </c>
      <c r="IJN1" t="s">
        <v>6729</v>
      </c>
      <c r="IJO1" t="s">
        <v>6730</v>
      </c>
      <c r="IJP1" t="s">
        <v>6731</v>
      </c>
      <c r="IJQ1" t="s">
        <v>6732</v>
      </c>
      <c r="IJR1" t="s">
        <v>6733</v>
      </c>
      <c r="IJS1" t="s">
        <v>6734</v>
      </c>
      <c r="IJT1" t="s">
        <v>6735</v>
      </c>
      <c r="IJU1" t="s">
        <v>6736</v>
      </c>
      <c r="IJV1" t="s">
        <v>6737</v>
      </c>
      <c r="IJW1" t="s">
        <v>6738</v>
      </c>
      <c r="IJX1" t="s">
        <v>6739</v>
      </c>
      <c r="IJY1" t="s">
        <v>6740</v>
      </c>
      <c r="IJZ1" t="s">
        <v>6741</v>
      </c>
      <c r="IKA1" t="s">
        <v>6742</v>
      </c>
      <c r="IKB1" t="s">
        <v>6743</v>
      </c>
      <c r="IKC1" t="s">
        <v>6744</v>
      </c>
      <c r="IKD1" t="s">
        <v>6745</v>
      </c>
      <c r="IKE1" t="s">
        <v>6746</v>
      </c>
      <c r="IKF1" t="s">
        <v>6747</v>
      </c>
      <c r="IKG1" t="s">
        <v>6748</v>
      </c>
      <c r="IKH1" t="s">
        <v>6749</v>
      </c>
      <c r="IKI1" t="s">
        <v>6750</v>
      </c>
      <c r="IKJ1" t="s">
        <v>6751</v>
      </c>
      <c r="IKK1" t="s">
        <v>6752</v>
      </c>
      <c r="IKL1" t="s">
        <v>6753</v>
      </c>
      <c r="IKM1" t="s">
        <v>6754</v>
      </c>
      <c r="IKN1" t="s">
        <v>6755</v>
      </c>
      <c r="IKO1" t="s">
        <v>6756</v>
      </c>
      <c r="IKP1" t="s">
        <v>6757</v>
      </c>
      <c r="IKQ1" t="s">
        <v>6758</v>
      </c>
      <c r="IKR1" t="s">
        <v>6759</v>
      </c>
      <c r="IKS1" t="s">
        <v>6760</v>
      </c>
      <c r="IKT1" t="s">
        <v>6761</v>
      </c>
      <c r="IKU1" t="s">
        <v>6762</v>
      </c>
      <c r="IKV1" t="s">
        <v>6763</v>
      </c>
      <c r="IKW1" t="s">
        <v>6764</v>
      </c>
      <c r="IKX1" t="s">
        <v>6765</v>
      </c>
      <c r="IKY1" t="s">
        <v>6766</v>
      </c>
      <c r="IKZ1" t="s">
        <v>6767</v>
      </c>
      <c r="ILA1" t="s">
        <v>6768</v>
      </c>
      <c r="ILB1" t="s">
        <v>6769</v>
      </c>
      <c r="ILC1" t="s">
        <v>6770</v>
      </c>
      <c r="ILD1" t="s">
        <v>6771</v>
      </c>
      <c r="ILE1" t="s">
        <v>6772</v>
      </c>
      <c r="ILF1" t="s">
        <v>6773</v>
      </c>
      <c r="ILG1" t="s">
        <v>6774</v>
      </c>
      <c r="ILH1" t="s">
        <v>6775</v>
      </c>
      <c r="ILI1" t="s">
        <v>6776</v>
      </c>
      <c r="ILJ1" t="s">
        <v>6777</v>
      </c>
      <c r="ILK1" t="s">
        <v>6778</v>
      </c>
      <c r="ILL1" t="s">
        <v>6779</v>
      </c>
      <c r="ILM1" t="s">
        <v>6780</v>
      </c>
      <c r="ILN1" t="s">
        <v>6781</v>
      </c>
      <c r="ILO1" t="s">
        <v>6782</v>
      </c>
      <c r="ILP1" t="s">
        <v>6783</v>
      </c>
      <c r="ILQ1" t="s">
        <v>6784</v>
      </c>
      <c r="ILR1" t="s">
        <v>6785</v>
      </c>
      <c r="ILS1" t="s">
        <v>6786</v>
      </c>
      <c r="ILT1" t="s">
        <v>6787</v>
      </c>
      <c r="ILU1" t="s">
        <v>6788</v>
      </c>
      <c r="ILV1" t="s">
        <v>6789</v>
      </c>
      <c r="ILW1" t="s">
        <v>6790</v>
      </c>
      <c r="ILX1" t="s">
        <v>6791</v>
      </c>
      <c r="ILY1" t="s">
        <v>6792</v>
      </c>
      <c r="ILZ1" t="s">
        <v>6793</v>
      </c>
      <c r="IMA1" t="s">
        <v>6794</v>
      </c>
      <c r="IMB1" t="s">
        <v>6795</v>
      </c>
      <c r="IMC1" t="s">
        <v>6796</v>
      </c>
      <c r="IMD1" t="s">
        <v>6797</v>
      </c>
      <c r="IME1" t="s">
        <v>6798</v>
      </c>
      <c r="IMF1" t="s">
        <v>6799</v>
      </c>
      <c r="IMG1" t="s">
        <v>6800</v>
      </c>
      <c r="IMH1" t="s">
        <v>6801</v>
      </c>
      <c r="IMI1" t="s">
        <v>6802</v>
      </c>
      <c r="IMJ1" t="s">
        <v>6803</v>
      </c>
      <c r="IMK1" t="s">
        <v>6804</v>
      </c>
      <c r="IML1" t="s">
        <v>6805</v>
      </c>
      <c r="IMM1" t="s">
        <v>6806</v>
      </c>
      <c r="IMN1" t="s">
        <v>6807</v>
      </c>
      <c r="IMO1" t="s">
        <v>6808</v>
      </c>
      <c r="IMP1" t="s">
        <v>6809</v>
      </c>
      <c r="IMQ1" t="s">
        <v>6810</v>
      </c>
      <c r="IMR1" t="s">
        <v>6811</v>
      </c>
      <c r="IMS1" t="s">
        <v>6812</v>
      </c>
      <c r="IMT1" t="s">
        <v>6813</v>
      </c>
      <c r="IMU1" t="s">
        <v>6814</v>
      </c>
      <c r="IMV1" t="s">
        <v>6815</v>
      </c>
      <c r="IMW1" t="s">
        <v>6816</v>
      </c>
      <c r="IMX1" t="s">
        <v>6817</v>
      </c>
      <c r="IMY1" t="s">
        <v>6818</v>
      </c>
      <c r="IMZ1" t="s">
        <v>6819</v>
      </c>
      <c r="INA1" t="s">
        <v>6820</v>
      </c>
      <c r="INB1" t="s">
        <v>6821</v>
      </c>
      <c r="INC1" t="s">
        <v>6822</v>
      </c>
      <c r="IND1" t="s">
        <v>6823</v>
      </c>
      <c r="INE1" t="s">
        <v>6824</v>
      </c>
      <c r="INF1" t="s">
        <v>6825</v>
      </c>
      <c r="ING1" t="s">
        <v>6826</v>
      </c>
      <c r="INH1" t="s">
        <v>6827</v>
      </c>
      <c r="INI1" t="s">
        <v>6828</v>
      </c>
      <c r="INJ1" t="s">
        <v>6829</v>
      </c>
      <c r="INK1" t="s">
        <v>6830</v>
      </c>
      <c r="INL1" t="s">
        <v>6831</v>
      </c>
      <c r="INM1" t="s">
        <v>6832</v>
      </c>
      <c r="INN1" t="s">
        <v>6833</v>
      </c>
      <c r="INO1" t="s">
        <v>6834</v>
      </c>
      <c r="INP1" t="s">
        <v>6835</v>
      </c>
      <c r="INQ1" t="s">
        <v>6836</v>
      </c>
      <c r="INR1" t="s">
        <v>6837</v>
      </c>
      <c r="INS1" t="s">
        <v>6838</v>
      </c>
      <c r="INT1" t="s">
        <v>6839</v>
      </c>
      <c r="INU1" t="s">
        <v>6840</v>
      </c>
      <c r="INV1" t="s">
        <v>6841</v>
      </c>
      <c r="INW1" t="s">
        <v>6842</v>
      </c>
      <c r="INX1" t="s">
        <v>6843</v>
      </c>
      <c r="INY1" t="s">
        <v>6844</v>
      </c>
      <c r="INZ1" t="s">
        <v>6845</v>
      </c>
      <c r="IOA1" t="s">
        <v>6846</v>
      </c>
      <c r="IOB1" t="s">
        <v>6847</v>
      </c>
      <c r="IOC1" t="s">
        <v>6848</v>
      </c>
      <c r="IOD1" t="s">
        <v>6849</v>
      </c>
      <c r="IOE1" t="s">
        <v>6850</v>
      </c>
      <c r="IOF1" t="s">
        <v>6851</v>
      </c>
      <c r="IOG1" t="s">
        <v>6852</v>
      </c>
      <c r="IOH1" t="s">
        <v>6853</v>
      </c>
      <c r="IOI1" t="s">
        <v>6854</v>
      </c>
      <c r="IOJ1" t="s">
        <v>6855</v>
      </c>
      <c r="IOK1" t="s">
        <v>6856</v>
      </c>
      <c r="IOL1" t="s">
        <v>6857</v>
      </c>
      <c r="IOM1" t="s">
        <v>6858</v>
      </c>
      <c r="ION1" t="s">
        <v>6859</v>
      </c>
      <c r="IOO1" t="s">
        <v>6860</v>
      </c>
      <c r="IOP1" t="s">
        <v>6861</v>
      </c>
      <c r="IOQ1" t="s">
        <v>6862</v>
      </c>
      <c r="IOR1" t="s">
        <v>6863</v>
      </c>
      <c r="IOS1" t="s">
        <v>6864</v>
      </c>
      <c r="IOT1" t="s">
        <v>6865</v>
      </c>
      <c r="IOU1" t="s">
        <v>6866</v>
      </c>
      <c r="IOV1" t="s">
        <v>6867</v>
      </c>
      <c r="IOW1" t="s">
        <v>6868</v>
      </c>
      <c r="IOX1" t="s">
        <v>6869</v>
      </c>
      <c r="IOY1" t="s">
        <v>6870</v>
      </c>
      <c r="IOZ1" t="s">
        <v>6871</v>
      </c>
      <c r="IPA1" t="s">
        <v>6872</v>
      </c>
      <c r="IPB1" t="s">
        <v>6873</v>
      </c>
      <c r="IPC1" t="s">
        <v>6874</v>
      </c>
      <c r="IPD1" t="s">
        <v>6875</v>
      </c>
      <c r="IPE1" t="s">
        <v>6876</v>
      </c>
      <c r="IPF1" t="s">
        <v>6877</v>
      </c>
      <c r="IPG1" t="s">
        <v>6878</v>
      </c>
      <c r="IPH1" t="s">
        <v>6879</v>
      </c>
      <c r="IPI1" t="s">
        <v>6880</v>
      </c>
      <c r="IPJ1" t="s">
        <v>6881</v>
      </c>
      <c r="IPK1" t="s">
        <v>6882</v>
      </c>
      <c r="IPL1" t="s">
        <v>6883</v>
      </c>
      <c r="IPM1" t="s">
        <v>6884</v>
      </c>
      <c r="IPN1" t="s">
        <v>6885</v>
      </c>
      <c r="IPO1" t="s">
        <v>6886</v>
      </c>
      <c r="IPP1" t="s">
        <v>6887</v>
      </c>
      <c r="IPQ1" t="s">
        <v>6888</v>
      </c>
      <c r="IPR1" t="s">
        <v>6889</v>
      </c>
      <c r="IPS1" t="s">
        <v>6890</v>
      </c>
      <c r="IPT1" t="s">
        <v>6891</v>
      </c>
      <c r="IPU1" t="s">
        <v>6892</v>
      </c>
      <c r="IPV1" t="s">
        <v>6893</v>
      </c>
      <c r="IPW1" t="s">
        <v>6894</v>
      </c>
      <c r="IPX1" t="s">
        <v>6895</v>
      </c>
      <c r="IPY1" t="s">
        <v>6896</v>
      </c>
      <c r="IPZ1" t="s">
        <v>6897</v>
      </c>
      <c r="IQA1" t="s">
        <v>6898</v>
      </c>
      <c r="IQB1" t="s">
        <v>6899</v>
      </c>
      <c r="IQC1" t="s">
        <v>6900</v>
      </c>
      <c r="IQD1" t="s">
        <v>6901</v>
      </c>
      <c r="IQE1" t="s">
        <v>6902</v>
      </c>
      <c r="IQF1" t="s">
        <v>6903</v>
      </c>
      <c r="IQG1" t="s">
        <v>6904</v>
      </c>
      <c r="IQH1" t="s">
        <v>6905</v>
      </c>
      <c r="IQI1" t="s">
        <v>6906</v>
      </c>
      <c r="IQJ1" t="s">
        <v>6907</v>
      </c>
      <c r="IQK1" t="s">
        <v>6908</v>
      </c>
      <c r="IQL1" t="s">
        <v>6909</v>
      </c>
      <c r="IQM1" t="s">
        <v>6910</v>
      </c>
      <c r="IQN1" t="s">
        <v>6911</v>
      </c>
      <c r="IQO1" t="s">
        <v>6912</v>
      </c>
      <c r="IQP1" t="s">
        <v>6913</v>
      </c>
      <c r="IQQ1" t="s">
        <v>6914</v>
      </c>
      <c r="IQR1" t="s">
        <v>6915</v>
      </c>
      <c r="IQS1" t="s">
        <v>6916</v>
      </c>
      <c r="IQT1" t="s">
        <v>6917</v>
      </c>
      <c r="IQU1" t="s">
        <v>6918</v>
      </c>
      <c r="IQV1" t="s">
        <v>6919</v>
      </c>
      <c r="IQW1" t="s">
        <v>6920</v>
      </c>
      <c r="IQX1" t="s">
        <v>6921</v>
      </c>
      <c r="IQY1" t="s">
        <v>6922</v>
      </c>
      <c r="IQZ1" t="s">
        <v>6923</v>
      </c>
      <c r="IRA1" t="s">
        <v>6924</v>
      </c>
      <c r="IRB1" t="s">
        <v>6925</v>
      </c>
      <c r="IRC1" t="s">
        <v>6926</v>
      </c>
      <c r="IRD1" t="s">
        <v>6927</v>
      </c>
      <c r="IRE1" t="s">
        <v>6928</v>
      </c>
      <c r="IRF1" t="s">
        <v>6929</v>
      </c>
      <c r="IRG1" t="s">
        <v>6930</v>
      </c>
      <c r="IRH1" t="s">
        <v>6931</v>
      </c>
      <c r="IRI1" t="s">
        <v>6932</v>
      </c>
      <c r="IRJ1" t="s">
        <v>6933</v>
      </c>
      <c r="IRK1" t="s">
        <v>6934</v>
      </c>
      <c r="IRL1" t="s">
        <v>6935</v>
      </c>
      <c r="IRM1" t="s">
        <v>6936</v>
      </c>
      <c r="IRN1" t="s">
        <v>6937</v>
      </c>
      <c r="IRO1" t="s">
        <v>6938</v>
      </c>
      <c r="IRP1" t="s">
        <v>6939</v>
      </c>
      <c r="IRQ1" t="s">
        <v>6940</v>
      </c>
      <c r="IRR1" t="s">
        <v>6941</v>
      </c>
      <c r="IRS1" t="s">
        <v>6942</v>
      </c>
      <c r="IRT1" t="s">
        <v>6943</v>
      </c>
      <c r="IRU1" t="s">
        <v>6944</v>
      </c>
      <c r="IRV1" t="s">
        <v>6945</v>
      </c>
      <c r="IRW1" t="s">
        <v>6946</v>
      </c>
      <c r="IRX1" t="s">
        <v>6947</v>
      </c>
      <c r="IRY1" t="s">
        <v>6948</v>
      </c>
      <c r="IRZ1" t="s">
        <v>6949</v>
      </c>
      <c r="ISA1" t="s">
        <v>6950</v>
      </c>
      <c r="ISB1" t="s">
        <v>6951</v>
      </c>
      <c r="ISC1" t="s">
        <v>6952</v>
      </c>
      <c r="ISD1" t="s">
        <v>6953</v>
      </c>
      <c r="ISE1" t="s">
        <v>6954</v>
      </c>
      <c r="ISF1" t="s">
        <v>6955</v>
      </c>
      <c r="ISG1" t="s">
        <v>6956</v>
      </c>
      <c r="ISH1" t="s">
        <v>6957</v>
      </c>
      <c r="ISI1" t="s">
        <v>6958</v>
      </c>
      <c r="ISJ1" t="s">
        <v>6959</v>
      </c>
      <c r="ISK1" t="s">
        <v>6960</v>
      </c>
      <c r="ISL1" t="s">
        <v>6961</v>
      </c>
      <c r="ISM1" t="s">
        <v>6962</v>
      </c>
      <c r="ISN1" t="s">
        <v>6963</v>
      </c>
      <c r="ISO1" t="s">
        <v>6964</v>
      </c>
      <c r="ISP1" t="s">
        <v>6965</v>
      </c>
      <c r="ISQ1" t="s">
        <v>6966</v>
      </c>
      <c r="ISR1" t="s">
        <v>6967</v>
      </c>
      <c r="ISS1" t="s">
        <v>6968</v>
      </c>
      <c r="IST1" t="s">
        <v>6969</v>
      </c>
      <c r="ISU1" t="s">
        <v>6970</v>
      </c>
      <c r="ISV1" t="s">
        <v>6971</v>
      </c>
      <c r="ISW1" t="s">
        <v>6972</v>
      </c>
      <c r="ISX1" t="s">
        <v>6973</v>
      </c>
      <c r="ISY1" t="s">
        <v>6974</v>
      </c>
      <c r="ISZ1" t="s">
        <v>6975</v>
      </c>
      <c r="ITA1" t="s">
        <v>6976</v>
      </c>
      <c r="ITB1" t="s">
        <v>6977</v>
      </c>
      <c r="ITC1" t="s">
        <v>6978</v>
      </c>
      <c r="ITD1" t="s">
        <v>6979</v>
      </c>
      <c r="ITE1" t="s">
        <v>6980</v>
      </c>
      <c r="ITF1" t="s">
        <v>6981</v>
      </c>
      <c r="ITG1" t="s">
        <v>6982</v>
      </c>
      <c r="ITH1" t="s">
        <v>6983</v>
      </c>
      <c r="ITI1" t="s">
        <v>6984</v>
      </c>
      <c r="ITJ1" t="s">
        <v>6985</v>
      </c>
      <c r="ITK1" t="s">
        <v>6986</v>
      </c>
      <c r="ITL1" t="s">
        <v>6987</v>
      </c>
      <c r="ITM1" t="s">
        <v>6988</v>
      </c>
      <c r="ITN1" t="s">
        <v>6989</v>
      </c>
      <c r="ITO1" t="s">
        <v>6990</v>
      </c>
      <c r="ITP1" t="s">
        <v>6991</v>
      </c>
      <c r="ITQ1" t="s">
        <v>6992</v>
      </c>
      <c r="ITR1" t="s">
        <v>6993</v>
      </c>
      <c r="ITS1" t="s">
        <v>6994</v>
      </c>
      <c r="ITT1" t="s">
        <v>6995</v>
      </c>
      <c r="ITU1" t="s">
        <v>6996</v>
      </c>
      <c r="ITV1" t="s">
        <v>6997</v>
      </c>
      <c r="ITW1" t="s">
        <v>6998</v>
      </c>
      <c r="ITX1" t="s">
        <v>6999</v>
      </c>
      <c r="ITY1" t="s">
        <v>7000</v>
      </c>
      <c r="ITZ1" t="s">
        <v>7001</v>
      </c>
      <c r="IUA1" t="s">
        <v>7002</v>
      </c>
      <c r="IUB1" t="s">
        <v>7003</v>
      </c>
      <c r="IUC1" t="s">
        <v>7004</v>
      </c>
      <c r="IUD1" t="s">
        <v>7005</v>
      </c>
      <c r="IUE1" t="s">
        <v>7006</v>
      </c>
      <c r="IUF1" t="s">
        <v>7007</v>
      </c>
      <c r="IUG1" t="s">
        <v>7008</v>
      </c>
      <c r="IUH1" t="s">
        <v>7009</v>
      </c>
      <c r="IUI1" t="s">
        <v>7010</v>
      </c>
      <c r="IUJ1" t="s">
        <v>7011</v>
      </c>
      <c r="IUK1" t="s">
        <v>7012</v>
      </c>
      <c r="IUL1" t="s">
        <v>7013</v>
      </c>
      <c r="IUM1" t="s">
        <v>7014</v>
      </c>
      <c r="IUN1" t="s">
        <v>7015</v>
      </c>
      <c r="IUO1" t="s">
        <v>7016</v>
      </c>
      <c r="IUP1" t="s">
        <v>7017</v>
      </c>
      <c r="IUQ1" t="s">
        <v>7018</v>
      </c>
      <c r="IUR1" t="s">
        <v>7019</v>
      </c>
      <c r="IUS1" t="s">
        <v>7020</v>
      </c>
      <c r="IUT1" t="s">
        <v>7021</v>
      </c>
      <c r="IUU1" t="s">
        <v>7022</v>
      </c>
      <c r="IUV1" t="s">
        <v>7023</v>
      </c>
      <c r="IUW1" t="s">
        <v>7024</v>
      </c>
      <c r="IUX1" t="s">
        <v>7025</v>
      </c>
      <c r="IUY1" t="s">
        <v>7026</v>
      </c>
      <c r="IUZ1" t="s">
        <v>7027</v>
      </c>
      <c r="IVA1" t="s">
        <v>7028</v>
      </c>
      <c r="IVB1" t="s">
        <v>7029</v>
      </c>
      <c r="IVC1" t="s">
        <v>7030</v>
      </c>
      <c r="IVD1" t="s">
        <v>7031</v>
      </c>
      <c r="IVE1" t="s">
        <v>7032</v>
      </c>
      <c r="IVF1" t="s">
        <v>7033</v>
      </c>
      <c r="IVG1" t="s">
        <v>7034</v>
      </c>
      <c r="IVH1" t="s">
        <v>7035</v>
      </c>
      <c r="IVI1" t="s">
        <v>7036</v>
      </c>
      <c r="IVJ1" t="s">
        <v>7037</v>
      </c>
      <c r="IVK1" t="s">
        <v>7038</v>
      </c>
      <c r="IVL1" t="s">
        <v>7039</v>
      </c>
      <c r="IVM1" t="s">
        <v>7040</v>
      </c>
      <c r="IVN1" t="s">
        <v>7041</v>
      </c>
      <c r="IVO1" t="s">
        <v>7042</v>
      </c>
      <c r="IVP1" t="s">
        <v>7043</v>
      </c>
      <c r="IVQ1" t="s">
        <v>7044</v>
      </c>
      <c r="IVR1" t="s">
        <v>7045</v>
      </c>
      <c r="IVS1" t="s">
        <v>7046</v>
      </c>
      <c r="IVT1" t="s">
        <v>7047</v>
      </c>
      <c r="IVU1" t="s">
        <v>7048</v>
      </c>
      <c r="IVV1" t="s">
        <v>7049</v>
      </c>
      <c r="IVW1" t="s">
        <v>7050</v>
      </c>
      <c r="IVX1" t="s">
        <v>7051</v>
      </c>
      <c r="IVY1" t="s">
        <v>7052</v>
      </c>
      <c r="IVZ1" t="s">
        <v>7053</v>
      </c>
      <c r="IWA1" t="s">
        <v>7054</v>
      </c>
      <c r="IWB1" t="s">
        <v>7055</v>
      </c>
      <c r="IWC1" t="s">
        <v>7056</v>
      </c>
      <c r="IWD1" t="s">
        <v>7057</v>
      </c>
      <c r="IWE1" t="s">
        <v>7058</v>
      </c>
      <c r="IWF1" t="s">
        <v>7059</v>
      </c>
      <c r="IWG1" t="s">
        <v>7060</v>
      </c>
      <c r="IWH1" t="s">
        <v>7061</v>
      </c>
      <c r="IWI1" t="s">
        <v>7062</v>
      </c>
      <c r="IWJ1" t="s">
        <v>7063</v>
      </c>
      <c r="IWK1" t="s">
        <v>7064</v>
      </c>
      <c r="IWL1" t="s">
        <v>7065</v>
      </c>
      <c r="IWM1" t="s">
        <v>7066</v>
      </c>
      <c r="IWN1" t="s">
        <v>7067</v>
      </c>
      <c r="IWO1" t="s">
        <v>7068</v>
      </c>
      <c r="IWP1" t="s">
        <v>7069</v>
      </c>
      <c r="IWQ1" t="s">
        <v>7070</v>
      </c>
      <c r="IWR1" t="s">
        <v>7071</v>
      </c>
      <c r="IWS1" t="s">
        <v>7072</v>
      </c>
      <c r="IWT1" t="s">
        <v>7073</v>
      </c>
      <c r="IWU1" t="s">
        <v>7074</v>
      </c>
      <c r="IWV1" t="s">
        <v>7075</v>
      </c>
      <c r="IWW1" t="s">
        <v>7076</v>
      </c>
      <c r="IWX1" t="s">
        <v>7077</v>
      </c>
      <c r="IWY1" t="s">
        <v>7078</v>
      </c>
      <c r="IWZ1" t="s">
        <v>7079</v>
      </c>
      <c r="IXA1" t="s">
        <v>7080</v>
      </c>
      <c r="IXB1" t="s">
        <v>7081</v>
      </c>
      <c r="IXC1" t="s">
        <v>7082</v>
      </c>
      <c r="IXD1" t="s">
        <v>7083</v>
      </c>
      <c r="IXE1" t="s">
        <v>7084</v>
      </c>
      <c r="IXF1" t="s">
        <v>7085</v>
      </c>
      <c r="IXG1" t="s">
        <v>7086</v>
      </c>
      <c r="IXH1" t="s">
        <v>7087</v>
      </c>
      <c r="IXI1" t="s">
        <v>7088</v>
      </c>
      <c r="IXJ1" t="s">
        <v>7089</v>
      </c>
      <c r="IXK1" t="s">
        <v>7090</v>
      </c>
      <c r="IXL1" t="s">
        <v>7091</v>
      </c>
      <c r="IXM1" t="s">
        <v>7092</v>
      </c>
      <c r="IXN1" t="s">
        <v>7093</v>
      </c>
      <c r="IXO1" t="s">
        <v>7094</v>
      </c>
      <c r="IXP1" t="s">
        <v>7095</v>
      </c>
      <c r="IXQ1" t="s">
        <v>7096</v>
      </c>
      <c r="IXR1" t="s">
        <v>7097</v>
      </c>
      <c r="IXS1" t="s">
        <v>7098</v>
      </c>
      <c r="IXT1" t="s">
        <v>7099</v>
      </c>
      <c r="IXU1" t="s">
        <v>7100</v>
      </c>
      <c r="IXV1" t="s">
        <v>7101</v>
      </c>
      <c r="IXW1" t="s">
        <v>7102</v>
      </c>
      <c r="IXX1" t="s">
        <v>7103</v>
      </c>
      <c r="IXY1" t="s">
        <v>7104</v>
      </c>
      <c r="IXZ1" t="s">
        <v>7105</v>
      </c>
      <c r="IYA1" t="s">
        <v>7106</v>
      </c>
      <c r="IYB1" t="s">
        <v>7107</v>
      </c>
      <c r="IYC1" t="s">
        <v>7108</v>
      </c>
      <c r="IYD1" t="s">
        <v>7109</v>
      </c>
      <c r="IYE1" t="s">
        <v>7110</v>
      </c>
      <c r="IYF1" t="s">
        <v>7111</v>
      </c>
      <c r="IYG1" t="s">
        <v>7112</v>
      </c>
      <c r="IYH1" t="s">
        <v>7113</v>
      </c>
      <c r="IYI1" t="s">
        <v>7114</v>
      </c>
      <c r="IYJ1" t="s">
        <v>7115</v>
      </c>
      <c r="IYK1" t="s">
        <v>7116</v>
      </c>
      <c r="IYL1" t="s">
        <v>7117</v>
      </c>
      <c r="IYM1" t="s">
        <v>7118</v>
      </c>
      <c r="IYN1" t="s">
        <v>7119</v>
      </c>
      <c r="IYO1" t="s">
        <v>7120</v>
      </c>
      <c r="IYP1" t="s">
        <v>7121</v>
      </c>
      <c r="IYQ1" t="s">
        <v>7122</v>
      </c>
      <c r="IYR1" t="s">
        <v>7123</v>
      </c>
      <c r="IYS1" t="s">
        <v>7124</v>
      </c>
      <c r="IYT1" t="s">
        <v>7125</v>
      </c>
      <c r="IYU1" t="s">
        <v>7126</v>
      </c>
      <c r="IYV1" t="s">
        <v>7127</v>
      </c>
      <c r="IYW1" t="s">
        <v>7128</v>
      </c>
      <c r="IYX1" t="s">
        <v>7129</v>
      </c>
      <c r="IYY1" t="s">
        <v>7130</v>
      </c>
      <c r="IYZ1" t="s">
        <v>7131</v>
      </c>
      <c r="IZA1" t="s">
        <v>7132</v>
      </c>
      <c r="IZB1" t="s">
        <v>7133</v>
      </c>
      <c r="IZC1" t="s">
        <v>7134</v>
      </c>
      <c r="IZD1" t="s">
        <v>7135</v>
      </c>
      <c r="IZE1" t="s">
        <v>7136</v>
      </c>
      <c r="IZF1" t="s">
        <v>7137</v>
      </c>
      <c r="IZG1" t="s">
        <v>7138</v>
      </c>
      <c r="IZH1" t="s">
        <v>7139</v>
      </c>
      <c r="IZI1" t="s">
        <v>7140</v>
      </c>
      <c r="IZJ1" t="s">
        <v>7141</v>
      </c>
      <c r="IZK1" t="s">
        <v>7142</v>
      </c>
      <c r="IZL1" t="s">
        <v>7143</v>
      </c>
      <c r="IZM1" t="s">
        <v>7144</v>
      </c>
      <c r="IZN1" t="s">
        <v>7145</v>
      </c>
      <c r="IZO1" t="s">
        <v>7146</v>
      </c>
      <c r="IZP1" t="s">
        <v>7147</v>
      </c>
      <c r="IZQ1" t="s">
        <v>7148</v>
      </c>
      <c r="IZR1" t="s">
        <v>7149</v>
      </c>
      <c r="IZS1" t="s">
        <v>7150</v>
      </c>
      <c r="IZT1" t="s">
        <v>7151</v>
      </c>
      <c r="IZU1" t="s">
        <v>7152</v>
      </c>
      <c r="IZV1" t="s">
        <v>7153</v>
      </c>
      <c r="IZW1" t="s">
        <v>7154</v>
      </c>
      <c r="IZX1" t="s">
        <v>7155</v>
      </c>
      <c r="IZY1" t="s">
        <v>7156</v>
      </c>
      <c r="IZZ1" t="s">
        <v>7157</v>
      </c>
      <c r="JAA1" t="s">
        <v>7158</v>
      </c>
      <c r="JAB1" t="s">
        <v>7159</v>
      </c>
      <c r="JAC1" t="s">
        <v>7160</v>
      </c>
      <c r="JAD1" t="s">
        <v>7161</v>
      </c>
      <c r="JAE1" t="s">
        <v>7162</v>
      </c>
      <c r="JAF1" t="s">
        <v>7163</v>
      </c>
      <c r="JAG1" t="s">
        <v>7164</v>
      </c>
      <c r="JAH1" t="s">
        <v>7165</v>
      </c>
      <c r="JAI1" t="s">
        <v>7166</v>
      </c>
      <c r="JAJ1" t="s">
        <v>7167</v>
      </c>
      <c r="JAK1" t="s">
        <v>7168</v>
      </c>
      <c r="JAL1" t="s">
        <v>7169</v>
      </c>
      <c r="JAM1" t="s">
        <v>7170</v>
      </c>
      <c r="JAN1" t="s">
        <v>7171</v>
      </c>
      <c r="JAO1" t="s">
        <v>7172</v>
      </c>
      <c r="JAP1" t="s">
        <v>7173</v>
      </c>
      <c r="JAQ1" t="s">
        <v>7174</v>
      </c>
      <c r="JAR1" t="s">
        <v>7175</v>
      </c>
      <c r="JAS1" t="s">
        <v>7176</v>
      </c>
      <c r="JAT1" t="s">
        <v>7177</v>
      </c>
      <c r="JAU1" t="s">
        <v>7178</v>
      </c>
      <c r="JAV1" t="s">
        <v>7179</v>
      </c>
      <c r="JAW1" t="s">
        <v>7180</v>
      </c>
      <c r="JAX1" t="s">
        <v>7181</v>
      </c>
      <c r="JAY1" t="s">
        <v>7182</v>
      </c>
      <c r="JAZ1" t="s">
        <v>7183</v>
      </c>
      <c r="JBA1" t="s">
        <v>7184</v>
      </c>
      <c r="JBB1" t="s">
        <v>7185</v>
      </c>
      <c r="JBC1" t="s">
        <v>7186</v>
      </c>
      <c r="JBD1" t="s">
        <v>7187</v>
      </c>
      <c r="JBE1" t="s">
        <v>7188</v>
      </c>
      <c r="JBF1" t="s">
        <v>7189</v>
      </c>
      <c r="JBG1" t="s">
        <v>7190</v>
      </c>
      <c r="JBH1" t="s">
        <v>7191</v>
      </c>
      <c r="JBI1" t="s">
        <v>7192</v>
      </c>
      <c r="JBJ1" t="s">
        <v>7193</v>
      </c>
      <c r="JBK1" t="s">
        <v>7194</v>
      </c>
      <c r="JBL1" t="s">
        <v>7195</v>
      </c>
      <c r="JBM1" t="s">
        <v>7196</v>
      </c>
      <c r="JBN1" t="s">
        <v>7197</v>
      </c>
      <c r="JBO1" t="s">
        <v>7198</v>
      </c>
      <c r="JBP1" t="s">
        <v>7199</v>
      </c>
      <c r="JBQ1" t="s">
        <v>7200</v>
      </c>
      <c r="JBR1" t="s">
        <v>7201</v>
      </c>
      <c r="JBS1" t="s">
        <v>7202</v>
      </c>
      <c r="JBT1" t="s">
        <v>7203</v>
      </c>
      <c r="JBU1" t="s">
        <v>7204</v>
      </c>
      <c r="JBV1" t="s">
        <v>7205</v>
      </c>
      <c r="JBW1" t="s">
        <v>7206</v>
      </c>
      <c r="JBX1" t="s">
        <v>7207</v>
      </c>
      <c r="JBY1" t="s">
        <v>7208</v>
      </c>
      <c r="JBZ1" t="s">
        <v>7209</v>
      </c>
      <c r="JCA1" t="s">
        <v>7210</v>
      </c>
      <c r="JCB1" t="s">
        <v>7211</v>
      </c>
      <c r="JCC1" t="s">
        <v>7212</v>
      </c>
      <c r="JCD1" t="s">
        <v>7213</v>
      </c>
      <c r="JCE1" t="s">
        <v>7214</v>
      </c>
      <c r="JCF1" t="s">
        <v>7215</v>
      </c>
      <c r="JCG1" t="s">
        <v>7216</v>
      </c>
      <c r="JCH1" t="s">
        <v>7217</v>
      </c>
      <c r="JCI1" t="s">
        <v>7218</v>
      </c>
      <c r="JCJ1" t="s">
        <v>7219</v>
      </c>
      <c r="JCK1" t="s">
        <v>7220</v>
      </c>
      <c r="JCL1" t="s">
        <v>7221</v>
      </c>
      <c r="JCM1" t="s">
        <v>7222</v>
      </c>
      <c r="JCN1" t="s">
        <v>7223</v>
      </c>
      <c r="JCO1" t="s">
        <v>7224</v>
      </c>
      <c r="JCP1" t="s">
        <v>7225</v>
      </c>
      <c r="JCQ1" t="s">
        <v>7226</v>
      </c>
      <c r="JCR1" t="s">
        <v>7227</v>
      </c>
      <c r="JCS1" t="s">
        <v>7228</v>
      </c>
      <c r="JCT1" t="s">
        <v>7229</v>
      </c>
      <c r="JCU1" t="s">
        <v>7230</v>
      </c>
      <c r="JCV1" t="s">
        <v>7231</v>
      </c>
      <c r="JCW1" t="s">
        <v>7232</v>
      </c>
      <c r="JCX1" t="s">
        <v>7233</v>
      </c>
      <c r="JCY1" t="s">
        <v>7234</v>
      </c>
      <c r="JCZ1" t="s">
        <v>7235</v>
      </c>
      <c r="JDA1" t="s">
        <v>7236</v>
      </c>
      <c r="JDB1" t="s">
        <v>7237</v>
      </c>
      <c r="JDC1" t="s">
        <v>7238</v>
      </c>
      <c r="JDD1" t="s">
        <v>7239</v>
      </c>
      <c r="JDE1" t="s">
        <v>7240</v>
      </c>
      <c r="JDF1" t="s">
        <v>7241</v>
      </c>
      <c r="JDG1" t="s">
        <v>7242</v>
      </c>
      <c r="JDH1" t="s">
        <v>7243</v>
      </c>
      <c r="JDI1" t="s">
        <v>7244</v>
      </c>
      <c r="JDJ1" t="s">
        <v>7245</v>
      </c>
      <c r="JDK1" t="s">
        <v>7246</v>
      </c>
      <c r="JDL1" t="s">
        <v>7247</v>
      </c>
      <c r="JDM1" t="s">
        <v>7248</v>
      </c>
      <c r="JDN1" t="s">
        <v>7249</v>
      </c>
      <c r="JDO1" t="s">
        <v>7250</v>
      </c>
      <c r="JDP1" t="s">
        <v>7251</v>
      </c>
      <c r="JDQ1" t="s">
        <v>7252</v>
      </c>
      <c r="JDR1" t="s">
        <v>7253</v>
      </c>
      <c r="JDS1" t="s">
        <v>7254</v>
      </c>
      <c r="JDT1" t="s">
        <v>7255</v>
      </c>
      <c r="JDU1" t="s">
        <v>7256</v>
      </c>
      <c r="JDV1" t="s">
        <v>7257</v>
      </c>
      <c r="JDW1" t="s">
        <v>7258</v>
      </c>
      <c r="JDX1" t="s">
        <v>7259</v>
      </c>
      <c r="JDY1" t="s">
        <v>7260</v>
      </c>
      <c r="JDZ1" t="s">
        <v>7261</v>
      </c>
      <c r="JEA1" t="s">
        <v>7262</v>
      </c>
      <c r="JEB1" t="s">
        <v>7263</v>
      </c>
      <c r="JEC1" t="s">
        <v>7264</v>
      </c>
      <c r="JED1" t="s">
        <v>7265</v>
      </c>
      <c r="JEE1" t="s">
        <v>7266</v>
      </c>
      <c r="JEF1" t="s">
        <v>7267</v>
      </c>
      <c r="JEG1" t="s">
        <v>7268</v>
      </c>
      <c r="JEH1" t="s">
        <v>7269</v>
      </c>
      <c r="JEI1" t="s">
        <v>7270</v>
      </c>
      <c r="JEJ1" t="s">
        <v>7271</v>
      </c>
      <c r="JEK1" t="s">
        <v>7272</v>
      </c>
      <c r="JEL1" t="s">
        <v>7273</v>
      </c>
      <c r="JEM1" t="s">
        <v>7274</v>
      </c>
      <c r="JEN1" t="s">
        <v>7275</v>
      </c>
      <c r="JEO1" t="s">
        <v>7276</v>
      </c>
      <c r="JEP1" t="s">
        <v>7277</v>
      </c>
      <c r="JEQ1" t="s">
        <v>7278</v>
      </c>
      <c r="JER1" t="s">
        <v>7279</v>
      </c>
      <c r="JES1" t="s">
        <v>7280</v>
      </c>
      <c r="JET1" t="s">
        <v>7281</v>
      </c>
      <c r="JEU1" t="s">
        <v>7282</v>
      </c>
      <c r="JEV1" t="s">
        <v>7283</v>
      </c>
      <c r="JEW1" t="s">
        <v>7284</v>
      </c>
      <c r="JEX1" t="s">
        <v>7285</v>
      </c>
      <c r="JEY1" t="s">
        <v>7286</v>
      </c>
      <c r="JEZ1" t="s">
        <v>7287</v>
      </c>
      <c r="JFA1" t="s">
        <v>7288</v>
      </c>
      <c r="JFB1" t="s">
        <v>7289</v>
      </c>
      <c r="JFC1" t="s">
        <v>7290</v>
      </c>
      <c r="JFD1" t="s">
        <v>7291</v>
      </c>
      <c r="JFE1" t="s">
        <v>7292</v>
      </c>
      <c r="JFF1" t="s">
        <v>7293</v>
      </c>
      <c r="JFG1" t="s">
        <v>7294</v>
      </c>
      <c r="JFH1" t="s">
        <v>7295</v>
      </c>
      <c r="JFI1" t="s">
        <v>7296</v>
      </c>
      <c r="JFJ1" t="s">
        <v>7297</v>
      </c>
      <c r="JFK1" t="s">
        <v>7298</v>
      </c>
      <c r="JFL1" t="s">
        <v>7299</v>
      </c>
      <c r="JFM1" t="s">
        <v>7300</v>
      </c>
      <c r="JFN1" t="s">
        <v>7301</v>
      </c>
      <c r="JFO1" t="s">
        <v>7302</v>
      </c>
      <c r="JFP1" t="s">
        <v>7303</v>
      </c>
      <c r="JFQ1" t="s">
        <v>7304</v>
      </c>
      <c r="JFR1" t="s">
        <v>7305</v>
      </c>
      <c r="JFS1" t="s">
        <v>7306</v>
      </c>
      <c r="JFT1" t="s">
        <v>7307</v>
      </c>
      <c r="JFU1" t="s">
        <v>7308</v>
      </c>
      <c r="JFV1" t="s">
        <v>7309</v>
      </c>
      <c r="JFW1" t="s">
        <v>7310</v>
      </c>
      <c r="JFX1" t="s">
        <v>7311</v>
      </c>
      <c r="JFY1" t="s">
        <v>7312</v>
      </c>
      <c r="JFZ1" t="s">
        <v>7313</v>
      </c>
      <c r="JGA1" t="s">
        <v>7314</v>
      </c>
      <c r="JGB1" t="s">
        <v>7315</v>
      </c>
      <c r="JGC1" t="s">
        <v>7316</v>
      </c>
      <c r="JGD1" t="s">
        <v>7317</v>
      </c>
      <c r="JGE1" t="s">
        <v>7318</v>
      </c>
      <c r="JGF1" t="s">
        <v>7319</v>
      </c>
      <c r="JGG1" t="s">
        <v>7320</v>
      </c>
      <c r="JGH1" t="s">
        <v>7321</v>
      </c>
      <c r="JGI1" t="s">
        <v>7322</v>
      </c>
      <c r="JGJ1" t="s">
        <v>7323</v>
      </c>
      <c r="JGK1" t="s">
        <v>7324</v>
      </c>
      <c r="JGL1" t="s">
        <v>7325</v>
      </c>
      <c r="JGM1" t="s">
        <v>7326</v>
      </c>
      <c r="JGN1" t="s">
        <v>7327</v>
      </c>
      <c r="JGO1" t="s">
        <v>7328</v>
      </c>
      <c r="JGP1" t="s">
        <v>7329</v>
      </c>
      <c r="JGQ1" t="s">
        <v>7330</v>
      </c>
      <c r="JGR1" t="s">
        <v>7331</v>
      </c>
      <c r="JGS1" t="s">
        <v>7332</v>
      </c>
      <c r="JGT1" t="s">
        <v>7333</v>
      </c>
      <c r="JGU1" t="s">
        <v>7334</v>
      </c>
      <c r="JGV1" t="s">
        <v>7335</v>
      </c>
      <c r="JGW1" t="s">
        <v>7336</v>
      </c>
      <c r="JGX1" t="s">
        <v>7337</v>
      </c>
      <c r="JGY1" t="s">
        <v>7338</v>
      </c>
      <c r="JGZ1" t="s">
        <v>7339</v>
      </c>
      <c r="JHA1" t="s">
        <v>7340</v>
      </c>
      <c r="JHB1" t="s">
        <v>7341</v>
      </c>
      <c r="JHC1" t="s">
        <v>7342</v>
      </c>
      <c r="JHD1" t="s">
        <v>7343</v>
      </c>
      <c r="JHE1" t="s">
        <v>7344</v>
      </c>
      <c r="JHF1" t="s">
        <v>7345</v>
      </c>
      <c r="JHG1" t="s">
        <v>7346</v>
      </c>
      <c r="JHH1" t="s">
        <v>7347</v>
      </c>
      <c r="JHI1" t="s">
        <v>7348</v>
      </c>
      <c r="JHJ1" t="s">
        <v>7349</v>
      </c>
      <c r="JHK1" t="s">
        <v>7350</v>
      </c>
      <c r="JHL1" t="s">
        <v>7351</v>
      </c>
      <c r="JHM1" t="s">
        <v>7352</v>
      </c>
      <c r="JHN1" t="s">
        <v>7353</v>
      </c>
      <c r="JHO1" t="s">
        <v>7354</v>
      </c>
      <c r="JHP1" t="s">
        <v>7355</v>
      </c>
      <c r="JHQ1" t="s">
        <v>7356</v>
      </c>
      <c r="JHR1" t="s">
        <v>7357</v>
      </c>
      <c r="JHS1" t="s">
        <v>7358</v>
      </c>
      <c r="JHT1" t="s">
        <v>7359</v>
      </c>
      <c r="JHU1" t="s">
        <v>7360</v>
      </c>
      <c r="JHV1" t="s">
        <v>7361</v>
      </c>
      <c r="JHW1" t="s">
        <v>7362</v>
      </c>
      <c r="JHX1" t="s">
        <v>7363</v>
      </c>
      <c r="JHY1" t="s">
        <v>7364</v>
      </c>
      <c r="JHZ1" t="s">
        <v>7365</v>
      </c>
      <c r="JIA1" t="s">
        <v>7366</v>
      </c>
      <c r="JIB1" t="s">
        <v>7367</v>
      </c>
      <c r="JIC1" t="s">
        <v>7368</v>
      </c>
      <c r="JID1" t="s">
        <v>7369</v>
      </c>
      <c r="JIE1" t="s">
        <v>7370</v>
      </c>
      <c r="JIF1" t="s">
        <v>7371</v>
      </c>
      <c r="JIG1" t="s">
        <v>7372</v>
      </c>
      <c r="JIH1" t="s">
        <v>7373</v>
      </c>
      <c r="JII1" t="s">
        <v>7374</v>
      </c>
      <c r="JIJ1" t="s">
        <v>7375</v>
      </c>
      <c r="JIK1" t="s">
        <v>7376</v>
      </c>
      <c r="JIL1" t="s">
        <v>7377</v>
      </c>
      <c r="JIM1" t="s">
        <v>7378</v>
      </c>
      <c r="JIN1" t="s">
        <v>7379</v>
      </c>
      <c r="JIO1" t="s">
        <v>7380</v>
      </c>
      <c r="JIP1" t="s">
        <v>7381</v>
      </c>
      <c r="JIQ1" t="s">
        <v>7382</v>
      </c>
      <c r="JIR1" t="s">
        <v>7383</v>
      </c>
      <c r="JIS1" t="s">
        <v>7384</v>
      </c>
      <c r="JIT1" t="s">
        <v>7385</v>
      </c>
      <c r="JIU1" t="s">
        <v>7386</v>
      </c>
      <c r="JIV1" t="s">
        <v>7387</v>
      </c>
      <c r="JIW1" t="s">
        <v>7388</v>
      </c>
      <c r="JIX1" t="s">
        <v>7389</v>
      </c>
      <c r="JIY1" t="s">
        <v>7390</v>
      </c>
      <c r="JIZ1" t="s">
        <v>7391</v>
      </c>
      <c r="JJA1" t="s">
        <v>7392</v>
      </c>
      <c r="JJB1" t="s">
        <v>7393</v>
      </c>
      <c r="JJC1" t="s">
        <v>7394</v>
      </c>
      <c r="JJD1" t="s">
        <v>7395</v>
      </c>
      <c r="JJE1" t="s">
        <v>7396</v>
      </c>
      <c r="JJF1" t="s">
        <v>7397</v>
      </c>
      <c r="JJG1" t="s">
        <v>7398</v>
      </c>
      <c r="JJH1" t="s">
        <v>7399</v>
      </c>
      <c r="JJI1" t="s">
        <v>7400</v>
      </c>
      <c r="JJJ1" t="s">
        <v>7401</v>
      </c>
      <c r="JJK1" t="s">
        <v>7402</v>
      </c>
      <c r="JJL1" t="s">
        <v>7403</v>
      </c>
      <c r="JJM1" t="s">
        <v>7404</v>
      </c>
      <c r="JJN1" t="s">
        <v>7405</v>
      </c>
      <c r="JJO1" t="s">
        <v>7406</v>
      </c>
      <c r="JJP1" t="s">
        <v>7407</v>
      </c>
      <c r="JJQ1" t="s">
        <v>7408</v>
      </c>
      <c r="JJR1" t="s">
        <v>7409</v>
      </c>
      <c r="JJS1" t="s">
        <v>7410</v>
      </c>
      <c r="JJT1" t="s">
        <v>7411</v>
      </c>
      <c r="JJU1" t="s">
        <v>7412</v>
      </c>
      <c r="JJV1" t="s">
        <v>7413</v>
      </c>
      <c r="JJW1" t="s">
        <v>7414</v>
      </c>
      <c r="JJX1" t="s">
        <v>7415</v>
      </c>
      <c r="JJY1" t="s">
        <v>7416</v>
      </c>
      <c r="JJZ1" t="s">
        <v>7417</v>
      </c>
      <c r="JKA1" t="s">
        <v>7418</v>
      </c>
      <c r="JKB1" t="s">
        <v>7419</v>
      </c>
      <c r="JKC1" t="s">
        <v>7420</v>
      </c>
      <c r="JKD1" t="s">
        <v>7421</v>
      </c>
      <c r="JKE1" t="s">
        <v>7422</v>
      </c>
      <c r="JKF1" t="s">
        <v>7423</v>
      </c>
      <c r="JKG1" t="s">
        <v>7424</v>
      </c>
      <c r="JKH1" t="s">
        <v>7425</v>
      </c>
      <c r="JKI1" t="s">
        <v>7426</v>
      </c>
      <c r="JKJ1" t="s">
        <v>7427</v>
      </c>
      <c r="JKK1" t="s">
        <v>7428</v>
      </c>
      <c r="JKL1" t="s">
        <v>7429</v>
      </c>
      <c r="JKM1" t="s">
        <v>7430</v>
      </c>
      <c r="JKN1" t="s">
        <v>7431</v>
      </c>
      <c r="JKO1" t="s">
        <v>7432</v>
      </c>
      <c r="JKP1" t="s">
        <v>7433</v>
      </c>
      <c r="JKQ1" t="s">
        <v>7434</v>
      </c>
      <c r="JKR1" t="s">
        <v>7435</v>
      </c>
      <c r="JKS1" t="s">
        <v>7436</v>
      </c>
      <c r="JKT1" t="s">
        <v>7437</v>
      </c>
      <c r="JKU1" t="s">
        <v>7438</v>
      </c>
      <c r="JKV1" t="s">
        <v>7439</v>
      </c>
      <c r="JKW1" t="s">
        <v>7440</v>
      </c>
      <c r="JKX1" t="s">
        <v>7441</v>
      </c>
      <c r="JKY1" t="s">
        <v>7442</v>
      </c>
      <c r="JKZ1" t="s">
        <v>7443</v>
      </c>
      <c r="JLA1" t="s">
        <v>7444</v>
      </c>
      <c r="JLB1" t="s">
        <v>7445</v>
      </c>
      <c r="JLC1" t="s">
        <v>7446</v>
      </c>
      <c r="JLD1" t="s">
        <v>7447</v>
      </c>
      <c r="JLE1" t="s">
        <v>7448</v>
      </c>
      <c r="JLF1" t="s">
        <v>7449</v>
      </c>
      <c r="JLG1" t="s">
        <v>7450</v>
      </c>
      <c r="JLH1" t="s">
        <v>7451</v>
      </c>
      <c r="JLI1" t="s">
        <v>7452</v>
      </c>
      <c r="JLJ1" t="s">
        <v>7453</v>
      </c>
      <c r="JLK1" t="s">
        <v>7454</v>
      </c>
      <c r="JLL1" t="s">
        <v>7455</v>
      </c>
      <c r="JLM1" t="s">
        <v>7456</v>
      </c>
      <c r="JLN1" t="s">
        <v>7457</v>
      </c>
      <c r="JLO1" t="s">
        <v>7458</v>
      </c>
      <c r="JLP1" t="s">
        <v>7459</v>
      </c>
      <c r="JLQ1" t="s">
        <v>7460</v>
      </c>
      <c r="JLR1" t="s">
        <v>7461</v>
      </c>
      <c r="JLS1" t="s">
        <v>7462</v>
      </c>
      <c r="JLT1" t="s">
        <v>7463</v>
      </c>
      <c r="JLU1" t="s">
        <v>7464</v>
      </c>
      <c r="JLV1" t="s">
        <v>7465</v>
      </c>
      <c r="JLW1" t="s">
        <v>7466</v>
      </c>
      <c r="JLX1" t="s">
        <v>7467</v>
      </c>
      <c r="JLY1" t="s">
        <v>7468</v>
      </c>
      <c r="JLZ1" t="s">
        <v>7469</v>
      </c>
      <c r="JMA1" t="s">
        <v>7470</v>
      </c>
      <c r="JMB1" t="s">
        <v>7471</v>
      </c>
      <c r="JMC1" t="s">
        <v>7472</v>
      </c>
      <c r="JMD1" t="s">
        <v>7473</v>
      </c>
      <c r="JME1" t="s">
        <v>7474</v>
      </c>
      <c r="JMF1" t="s">
        <v>7475</v>
      </c>
      <c r="JMG1" t="s">
        <v>7476</v>
      </c>
      <c r="JMH1" t="s">
        <v>7477</v>
      </c>
      <c r="JMI1" t="s">
        <v>7478</v>
      </c>
      <c r="JMJ1" t="s">
        <v>7479</v>
      </c>
      <c r="JMK1" t="s">
        <v>7480</v>
      </c>
      <c r="JML1" t="s">
        <v>7481</v>
      </c>
      <c r="JMM1" t="s">
        <v>7482</v>
      </c>
      <c r="JMN1" t="s">
        <v>7483</v>
      </c>
      <c r="JMO1" t="s">
        <v>7484</v>
      </c>
      <c r="JMP1" t="s">
        <v>7485</v>
      </c>
      <c r="JMQ1" t="s">
        <v>7486</v>
      </c>
      <c r="JMR1" t="s">
        <v>7487</v>
      </c>
      <c r="JMS1" t="s">
        <v>7488</v>
      </c>
      <c r="JMT1" t="s">
        <v>7489</v>
      </c>
      <c r="JMU1" t="s">
        <v>7490</v>
      </c>
      <c r="JMV1" t="s">
        <v>7491</v>
      </c>
      <c r="JMW1" t="s">
        <v>7492</v>
      </c>
      <c r="JMX1" t="s">
        <v>7493</v>
      </c>
      <c r="JMY1" t="s">
        <v>7494</v>
      </c>
      <c r="JMZ1" t="s">
        <v>7495</v>
      </c>
      <c r="JNA1" t="s">
        <v>7496</v>
      </c>
      <c r="JNB1" t="s">
        <v>7497</v>
      </c>
      <c r="JNC1" t="s">
        <v>7498</v>
      </c>
      <c r="JND1" t="s">
        <v>7499</v>
      </c>
      <c r="JNE1" t="s">
        <v>7500</v>
      </c>
      <c r="JNF1" t="s">
        <v>7501</v>
      </c>
      <c r="JNG1" t="s">
        <v>7502</v>
      </c>
      <c r="JNH1" t="s">
        <v>7503</v>
      </c>
      <c r="JNI1" t="s">
        <v>7504</v>
      </c>
      <c r="JNJ1" t="s">
        <v>7505</v>
      </c>
      <c r="JNK1" t="s">
        <v>7506</v>
      </c>
      <c r="JNL1" t="s">
        <v>7507</v>
      </c>
      <c r="JNM1" t="s">
        <v>7508</v>
      </c>
      <c r="JNN1" t="s">
        <v>7509</v>
      </c>
      <c r="JNO1" t="s">
        <v>7510</v>
      </c>
      <c r="JNP1" t="s">
        <v>7511</v>
      </c>
      <c r="JNQ1" t="s">
        <v>7512</v>
      </c>
      <c r="JNR1" t="s">
        <v>7513</v>
      </c>
      <c r="JNS1" t="s">
        <v>7514</v>
      </c>
      <c r="JNT1" t="s">
        <v>7515</v>
      </c>
      <c r="JNU1" t="s">
        <v>7516</v>
      </c>
      <c r="JNV1" t="s">
        <v>7517</v>
      </c>
      <c r="JNW1" t="s">
        <v>7518</v>
      </c>
      <c r="JNX1" t="s">
        <v>7519</v>
      </c>
      <c r="JNY1" t="s">
        <v>7520</v>
      </c>
      <c r="JNZ1" t="s">
        <v>7521</v>
      </c>
      <c r="JOA1" t="s">
        <v>7522</v>
      </c>
      <c r="JOB1" t="s">
        <v>7523</v>
      </c>
      <c r="JOC1" t="s">
        <v>7524</v>
      </c>
      <c r="JOD1" t="s">
        <v>7525</v>
      </c>
      <c r="JOE1" t="s">
        <v>7526</v>
      </c>
      <c r="JOF1" t="s">
        <v>7527</v>
      </c>
      <c r="JOG1" t="s">
        <v>7528</v>
      </c>
      <c r="JOH1" t="s">
        <v>7529</v>
      </c>
      <c r="JOI1" t="s">
        <v>7530</v>
      </c>
      <c r="JOJ1" t="s">
        <v>7531</v>
      </c>
      <c r="JOK1" t="s">
        <v>7532</v>
      </c>
      <c r="JOL1" t="s">
        <v>7533</v>
      </c>
      <c r="JOM1" t="s">
        <v>7534</v>
      </c>
      <c r="JON1" t="s">
        <v>7535</v>
      </c>
      <c r="JOO1" t="s">
        <v>7536</v>
      </c>
      <c r="JOP1" t="s">
        <v>7537</v>
      </c>
      <c r="JOQ1" t="s">
        <v>7538</v>
      </c>
      <c r="JOR1" t="s">
        <v>7539</v>
      </c>
      <c r="JOS1" t="s">
        <v>7540</v>
      </c>
      <c r="JOT1" t="s">
        <v>7541</v>
      </c>
      <c r="JOU1" t="s">
        <v>7542</v>
      </c>
      <c r="JOV1" t="s">
        <v>7543</v>
      </c>
      <c r="JOW1" t="s">
        <v>7544</v>
      </c>
      <c r="JOX1" t="s">
        <v>7545</v>
      </c>
      <c r="JOY1" t="s">
        <v>7546</v>
      </c>
      <c r="JOZ1" t="s">
        <v>7547</v>
      </c>
      <c r="JPA1" t="s">
        <v>7548</v>
      </c>
      <c r="JPB1" t="s">
        <v>7549</v>
      </c>
      <c r="JPC1" t="s">
        <v>7550</v>
      </c>
      <c r="JPD1" t="s">
        <v>7551</v>
      </c>
      <c r="JPE1" t="s">
        <v>7552</v>
      </c>
      <c r="JPF1" t="s">
        <v>7553</v>
      </c>
      <c r="JPG1" t="s">
        <v>7554</v>
      </c>
      <c r="JPH1" t="s">
        <v>7555</v>
      </c>
      <c r="JPI1" t="s">
        <v>7556</v>
      </c>
      <c r="JPJ1" t="s">
        <v>7557</v>
      </c>
      <c r="JPK1" t="s">
        <v>7558</v>
      </c>
      <c r="JPL1" t="s">
        <v>7559</v>
      </c>
      <c r="JPM1" t="s">
        <v>7560</v>
      </c>
      <c r="JPN1" t="s">
        <v>7561</v>
      </c>
      <c r="JPO1" t="s">
        <v>7562</v>
      </c>
      <c r="JPP1" t="s">
        <v>7563</v>
      </c>
      <c r="JPQ1" t="s">
        <v>7564</v>
      </c>
      <c r="JPR1" t="s">
        <v>7565</v>
      </c>
      <c r="JPS1" t="s">
        <v>7566</v>
      </c>
      <c r="JPT1" t="s">
        <v>7567</v>
      </c>
      <c r="JPU1" t="s">
        <v>7568</v>
      </c>
      <c r="JPV1" t="s">
        <v>7569</v>
      </c>
      <c r="JPW1" t="s">
        <v>7570</v>
      </c>
      <c r="JPX1" t="s">
        <v>7571</v>
      </c>
      <c r="JPY1" t="s">
        <v>7572</v>
      </c>
      <c r="JPZ1" t="s">
        <v>7573</v>
      </c>
      <c r="JQA1" t="s">
        <v>7574</v>
      </c>
      <c r="JQB1" t="s">
        <v>7575</v>
      </c>
      <c r="JQC1" t="s">
        <v>7576</v>
      </c>
      <c r="JQD1" t="s">
        <v>7577</v>
      </c>
      <c r="JQE1" t="s">
        <v>7578</v>
      </c>
      <c r="JQF1" t="s">
        <v>7579</v>
      </c>
      <c r="JQG1" t="s">
        <v>7580</v>
      </c>
      <c r="JQH1" t="s">
        <v>7581</v>
      </c>
      <c r="JQI1" t="s">
        <v>7582</v>
      </c>
      <c r="JQJ1" t="s">
        <v>7583</v>
      </c>
      <c r="JQK1" t="s">
        <v>7584</v>
      </c>
      <c r="JQL1" t="s">
        <v>7585</v>
      </c>
      <c r="JQM1" t="s">
        <v>7586</v>
      </c>
      <c r="JQN1" t="s">
        <v>7587</v>
      </c>
      <c r="JQO1" t="s">
        <v>7588</v>
      </c>
      <c r="JQP1" t="s">
        <v>7589</v>
      </c>
      <c r="JQQ1" t="s">
        <v>7590</v>
      </c>
      <c r="JQR1" t="s">
        <v>7591</v>
      </c>
      <c r="JQS1" t="s">
        <v>7592</v>
      </c>
      <c r="JQT1" t="s">
        <v>7593</v>
      </c>
      <c r="JQU1" t="s">
        <v>7594</v>
      </c>
      <c r="JQV1" t="s">
        <v>7595</v>
      </c>
      <c r="JQW1" t="s">
        <v>7596</v>
      </c>
      <c r="JQX1" t="s">
        <v>7597</v>
      </c>
      <c r="JQY1" t="s">
        <v>7598</v>
      </c>
      <c r="JQZ1" t="s">
        <v>7599</v>
      </c>
      <c r="JRA1" t="s">
        <v>7600</v>
      </c>
      <c r="JRB1" t="s">
        <v>7601</v>
      </c>
      <c r="JRC1" t="s">
        <v>7602</v>
      </c>
      <c r="JRD1" t="s">
        <v>7603</v>
      </c>
      <c r="JRE1" t="s">
        <v>7604</v>
      </c>
      <c r="JRF1" t="s">
        <v>7605</v>
      </c>
      <c r="JRG1" t="s">
        <v>7606</v>
      </c>
      <c r="JRH1" t="s">
        <v>7607</v>
      </c>
      <c r="JRI1" t="s">
        <v>7608</v>
      </c>
      <c r="JRJ1" t="s">
        <v>7609</v>
      </c>
      <c r="JRK1" t="s">
        <v>7610</v>
      </c>
      <c r="JRL1" t="s">
        <v>7611</v>
      </c>
      <c r="JRM1" t="s">
        <v>7612</v>
      </c>
      <c r="JRN1" t="s">
        <v>7613</v>
      </c>
      <c r="JRO1" t="s">
        <v>7614</v>
      </c>
      <c r="JRP1" t="s">
        <v>7615</v>
      </c>
      <c r="JRQ1" t="s">
        <v>7616</v>
      </c>
      <c r="JRR1" t="s">
        <v>7617</v>
      </c>
      <c r="JRS1" t="s">
        <v>7618</v>
      </c>
      <c r="JRT1" t="s">
        <v>7619</v>
      </c>
      <c r="JRU1" t="s">
        <v>7620</v>
      </c>
      <c r="JRV1" t="s">
        <v>7621</v>
      </c>
      <c r="JRW1" t="s">
        <v>7622</v>
      </c>
      <c r="JRX1" t="s">
        <v>7623</v>
      </c>
      <c r="JRY1" t="s">
        <v>7624</v>
      </c>
      <c r="JRZ1" t="s">
        <v>7625</v>
      </c>
      <c r="JSA1" t="s">
        <v>7626</v>
      </c>
      <c r="JSB1" t="s">
        <v>7627</v>
      </c>
      <c r="JSC1" t="s">
        <v>7628</v>
      </c>
      <c r="JSD1" t="s">
        <v>7629</v>
      </c>
      <c r="JSE1" t="s">
        <v>7630</v>
      </c>
      <c r="JSF1" t="s">
        <v>7631</v>
      </c>
      <c r="JSG1" t="s">
        <v>7632</v>
      </c>
      <c r="JSH1" t="s">
        <v>7633</v>
      </c>
      <c r="JSI1" t="s">
        <v>7634</v>
      </c>
      <c r="JSJ1" t="s">
        <v>7635</v>
      </c>
      <c r="JSK1" t="s">
        <v>7636</v>
      </c>
      <c r="JSL1" t="s">
        <v>7637</v>
      </c>
      <c r="JSM1" t="s">
        <v>7638</v>
      </c>
      <c r="JSN1" t="s">
        <v>7639</v>
      </c>
      <c r="JSO1" t="s">
        <v>7640</v>
      </c>
      <c r="JSP1" t="s">
        <v>7641</v>
      </c>
      <c r="JSQ1" t="s">
        <v>7642</v>
      </c>
      <c r="JSR1" t="s">
        <v>7643</v>
      </c>
      <c r="JSS1" t="s">
        <v>7644</v>
      </c>
      <c r="JST1" t="s">
        <v>7645</v>
      </c>
      <c r="JSU1" t="s">
        <v>7646</v>
      </c>
      <c r="JSV1" t="s">
        <v>7647</v>
      </c>
      <c r="JSW1" t="s">
        <v>7648</v>
      </c>
      <c r="JSX1" t="s">
        <v>7649</v>
      </c>
      <c r="JSY1" t="s">
        <v>7650</v>
      </c>
      <c r="JSZ1" t="s">
        <v>7651</v>
      </c>
      <c r="JTA1" t="s">
        <v>7652</v>
      </c>
      <c r="JTB1" t="s">
        <v>7653</v>
      </c>
      <c r="JTC1" t="s">
        <v>7654</v>
      </c>
      <c r="JTD1" t="s">
        <v>7655</v>
      </c>
      <c r="JTE1" t="s">
        <v>7656</v>
      </c>
      <c r="JTF1" t="s">
        <v>7657</v>
      </c>
      <c r="JTG1" t="s">
        <v>7658</v>
      </c>
      <c r="JTH1" t="s">
        <v>7659</v>
      </c>
      <c r="JTI1" t="s">
        <v>7660</v>
      </c>
      <c r="JTJ1" t="s">
        <v>7661</v>
      </c>
      <c r="JTK1" t="s">
        <v>7662</v>
      </c>
      <c r="JTL1" t="s">
        <v>7663</v>
      </c>
      <c r="JTM1" t="s">
        <v>7664</v>
      </c>
      <c r="JTN1" t="s">
        <v>7665</v>
      </c>
      <c r="JTO1" t="s">
        <v>7666</v>
      </c>
      <c r="JTP1" t="s">
        <v>7667</v>
      </c>
      <c r="JTQ1" t="s">
        <v>7668</v>
      </c>
      <c r="JTR1" t="s">
        <v>7669</v>
      </c>
      <c r="JTS1" t="s">
        <v>7670</v>
      </c>
      <c r="JTT1" t="s">
        <v>7671</v>
      </c>
      <c r="JTU1" t="s">
        <v>7672</v>
      </c>
      <c r="JTV1" t="s">
        <v>7673</v>
      </c>
      <c r="JTW1" t="s">
        <v>7674</v>
      </c>
      <c r="JTX1" t="s">
        <v>7675</v>
      </c>
      <c r="JTY1" t="s">
        <v>7676</v>
      </c>
      <c r="JTZ1" t="s">
        <v>7677</v>
      </c>
      <c r="JUA1" t="s">
        <v>7678</v>
      </c>
      <c r="JUB1" t="s">
        <v>7679</v>
      </c>
      <c r="JUC1" t="s">
        <v>7680</v>
      </c>
      <c r="JUD1" t="s">
        <v>7681</v>
      </c>
      <c r="JUE1" t="s">
        <v>7682</v>
      </c>
      <c r="JUF1" t="s">
        <v>7683</v>
      </c>
      <c r="JUG1" t="s">
        <v>7684</v>
      </c>
      <c r="JUH1" t="s">
        <v>7685</v>
      </c>
      <c r="JUI1" t="s">
        <v>7686</v>
      </c>
      <c r="JUJ1" t="s">
        <v>7687</v>
      </c>
      <c r="JUK1" t="s">
        <v>7688</v>
      </c>
      <c r="JUL1" t="s">
        <v>7689</v>
      </c>
      <c r="JUM1" t="s">
        <v>7690</v>
      </c>
      <c r="JUN1" t="s">
        <v>7691</v>
      </c>
      <c r="JUO1" t="s">
        <v>7692</v>
      </c>
      <c r="JUP1" t="s">
        <v>7693</v>
      </c>
      <c r="JUQ1" t="s">
        <v>7694</v>
      </c>
      <c r="JUR1" t="s">
        <v>7695</v>
      </c>
      <c r="JUS1" t="s">
        <v>7696</v>
      </c>
      <c r="JUT1" t="s">
        <v>7697</v>
      </c>
      <c r="JUU1" t="s">
        <v>7698</v>
      </c>
      <c r="JUV1" t="s">
        <v>7699</v>
      </c>
      <c r="JUW1" t="s">
        <v>7700</v>
      </c>
      <c r="JUX1" t="s">
        <v>7701</v>
      </c>
      <c r="JUY1" t="s">
        <v>7702</v>
      </c>
      <c r="JUZ1" t="s">
        <v>7703</v>
      </c>
      <c r="JVA1" t="s">
        <v>7704</v>
      </c>
      <c r="JVB1" t="s">
        <v>7705</v>
      </c>
      <c r="JVC1" t="s">
        <v>7706</v>
      </c>
      <c r="JVD1" t="s">
        <v>7707</v>
      </c>
      <c r="JVE1" t="s">
        <v>7708</v>
      </c>
      <c r="JVF1" t="s">
        <v>7709</v>
      </c>
      <c r="JVG1" t="s">
        <v>7710</v>
      </c>
      <c r="JVH1" t="s">
        <v>7711</v>
      </c>
      <c r="JVI1" t="s">
        <v>7712</v>
      </c>
      <c r="JVJ1" t="s">
        <v>7713</v>
      </c>
      <c r="JVK1" t="s">
        <v>7714</v>
      </c>
      <c r="JVL1" t="s">
        <v>7715</v>
      </c>
      <c r="JVM1" t="s">
        <v>7716</v>
      </c>
      <c r="JVN1" t="s">
        <v>7717</v>
      </c>
      <c r="JVO1" t="s">
        <v>7718</v>
      </c>
      <c r="JVP1" t="s">
        <v>7719</v>
      </c>
      <c r="JVQ1" t="s">
        <v>7720</v>
      </c>
      <c r="JVR1" t="s">
        <v>7721</v>
      </c>
      <c r="JVS1" t="s">
        <v>7722</v>
      </c>
      <c r="JVT1" t="s">
        <v>7723</v>
      </c>
      <c r="JVU1" t="s">
        <v>7724</v>
      </c>
      <c r="JVV1" t="s">
        <v>7725</v>
      </c>
      <c r="JVW1" t="s">
        <v>7726</v>
      </c>
      <c r="JVX1" t="s">
        <v>7727</v>
      </c>
      <c r="JVY1" t="s">
        <v>7728</v>
      </c>
      <c r="JVZ1" t="s">
        <v>7729</v>
      </c>
      <c r="JWA1" t="s">
        <v>7730</v>
      </c>
      <c r="JWB1" t="s">
        <v>7731</v>
      </c>
      <c r="JWC1" t="s">
        <v>7732</v>
      </c>
      <c r="JWD1" t="s">
        <v>7733</v>
      </c>
      <c r="JWE1" t="s">
        <v>7734</v>
      </c>
      <c r="JWF1" t="s">
        <v>7735</v>
      </c>
      <c r="JWG1" t="s">
        <v>7736</v>
      </c>
      <c r="JWH1" t="s">
        <v>7737</v>
      </c>
      <c r="JWI1" t="s">
        <v>7738</v>
      </c>
      <c r="JWJ1" t="s">
        <v>7739</v>
      </c>
      <c r="JWK1" t="s">
        <v>7740</v>
      </c>
      <c r="JWL1" t="s">
        <v>7741</v>
      </c>
      <c r="JWM1" t="s">
        <v>7742</v>
      </c>
      <c r="JWN1" t="s">
        <v>7743</v>
      </c>
      <c r="JWO1" t="s">
        <v>7744</v>
      </c>
      <c r="JWP1" t="s">
        <v>7745</v>
      </c>
      <c r="JWQ1" t="s">
        <v>7746</v>
      </c>
      <c r="JWR1" t="s">
        <v>7747</v>
      </c>
      <c r="JWS1" t="s">
        <v>7748</v>
      </c>
      <c r="JWT1" t="s">
        <v>7749</v>
      </c>
      <c r="JWU1" t="s">
        <v>7750</v>
      </c>
      <c r="JWV1" t="s">
        <v>7751</v>
      </c>
      <c r="JWW1" t="s">
        <v>7752</v>
      </c>
      <c r="JWX1" t="s">
        <v>7753</v>
      </c>
      <c r="JWY1" t="s">
        <v>7754</v>
      </c>
      <c r="JWZ1" t="s">
        <v>7755</v>
      </c>
      <c r="JXA1" t="s">
        <v>7756</v>
      </c>
      <c r="JXB1" t="s">
        <v>7757</v>
      </c>
      <c r="JXC1" t="s">
        <v>7758</v>
      </c>
      <c r="JXD1" t="s">
        <v>7759</v>
      </c>
      <c r="JXE1" t="s">
        <v>7760</v>
      </c>
      <c r="JXF1" t="s">
        <v>7761</v>
      </c>
      <c r="JXG1" t="s">
        <v>7762</v>
      </c>
      <c r="JXH1" t="s">
        <v>7763</v>
      </c>
      <c r="JXI1" t="s">
        <v>7764</v>
      </c>
      <c r="JXJ1" t="s">
        <v>7765</v>
      </c>
      <c r="JXK1" t="s">
        <v>7766</v>
      </c>
      <c r="JXL1" t="s">
        <v>7767</v>
      </c>
      <c r="JXM1" t="s">
        <v>7768</v>
      </c>
      <c r="JXN1" t="s">
        <v>7769</v>
      </c>
      <c r="JXO1" t="s">
        <v>7770</v>
      </c>
      <c r="JXP1" t="s">
        <v>7771</v>
      </c>
      <c r="JXQ1" t="s">
        <v>7772</v>
      </c>
      <c r="JXR1" t="s">
        <v>7773</v>
      </c>
      <c r="JXS1" t="s">
        <v>7774</v>
      </c>
      <c r="JXT1" t="s">
        <v>7775</v>
      </c>
      <c r="JXU1" t="s">
        <v>7776</v>
      </c>
      <c r="JXV1" t="s">
        <v>7777</v>
      </c>
      <c r="JXW1" t="s">
        <v>7778</v>
      </c>
      <c r="JXX1" t="s">
        <v>7779</v>
      </c>
      <c r="JXY1" t="s">
        <v>7780</v>
      </c>
      <c r="JXZ1" t="s">
        <v>7781</v>
      </c>
      <c r="JYA1" t="s">
        <v>7782</v>
      </c>
      <c r="JYB1" t="s">
        <v>7783</v>
      </c>
      <c r="JYC1" t="s">
        <v>7784</v>
      </c>
      <c r="JYD1" t="s">
        <v>7785</v>
      </c>
      <c r="JYE1" t="s">
        <v>7786</v>
      </c>
      <c r="JYF1" t="s">
        <v>7787</v>
      </c>
      <c r="JYG1" t="s">
        <v>7788</v>
      </c>
      <c r="JYH1" t="s">
        <v>7789</v>
      </c>
      <c r="JYI1" t="s">
        <v>7790</v>
      </c>
      <c r="JYJ1" t="s">
        <v>7791</v>
      </c>
      <c r="JYK1" t="s">
        <v>7792</v>
      </c>
      <c r="JYL1" t="s">
        <v>7793</v>
      </c>
      <c r="JYM1" t="s">
        <v>7794</v>
      </c>
      <c r="JYN1" t="s">
        <v>7795</v>
      </c>
      <c r="JYO1" t="s">
        <v>7796</v>
      </c>
      <c r="JYP1" t="s">
        <v>7797</v>
      </c>
      <c r="JYQ1" t="s">
        <v>7798</v>
      </c>
      <c r="JYR1" t="s">
        <v>7799</v>
      </c>
      <c r="JYS1" t="s">
        <v>7800</v>
      </c>
      <c r="JYT1" t="s">
        <v>7801</v>
      </c>
      <c r="JYU1" t="s">
        <v>7802</v>
      </c>
      <c r="JYV1" t="s">
        <v>7803</v>
      </c>
      <c r="JYW1" t="s">
        <v>7804</v>
      </c>
      <c r="JYX1" t="s">
        <v>7805</v>
      </c>
      <c r="JYY1" t="s">
        <v>7806</v>
      </c>
      <c r="JYZ1" t="s">
        <v>7807</v>
      </c>
      <c r="JZA1" t="s">
        <v>7808</v>
      </c>
      <c r="JZB1" t="s">
        <v>7809</v>
      </c>
      <c r="JZC1" t="s">
        <v>7810</v>
      </c>
      <c r="JZD1" t="s">
        <v>7811</v>
      </c>
      <c r="JZE1" t="s">
        <v>7812</v>
      </c>
      <c r="JZF1" t="s">
        <v>7813</v>
      </c>
      <c r="JZG1" t="s">
        <v>7814</v>
      </c>
      <c r="JZH1" t="s">
        <v>7815</v>
      </c>
      <c r="JZI1" t="s">
        <v>7816</v>
      </c>
      <c r="JZJ1" t="s">
        <v>7817</v>
      </c>
      <c r="JZK1" t="s">
        <v>7818</v>
      </c>
      <c r="JZL1" t="s">
        <v>7819</v>
      </c>
      <c r="JZM1" t="s">
        <v>7820</v>
      </c>
      <c r="JZN1" t="s">
        <v>7821</v>
      </c>
      <c r="JZO1" t="s">
        <v>7822</v>
      </c>
      <c r="JZP1" t="s">
        <v>7823</v>
      </c>
      <c r="JZQ1" t="s">
        <v>7824</v>
      </c>
      <c r="JZR1" t="s">
        <v>7825</v>
      </c>
      <c r="JZS1" t="s">
        <v>7826</v>
      </c>
      <c r="JZT1" t="s">
        <v>7827</v>
      </c>
      <c r="JZU1" t="s">
        <v>7828</v>
      </c>
      <c r="JZV1" t="s">
        <v>7829</v>
      </c>
      <c r="JZW1" t="s">
        <v>7830</v>
      </c>
      <c r="JZX1" t="s">
        <v>7831</v>
      </c>
      <c r="JZY1" t="s">
        <v>7832</v>
      </c>
      <c r="JZZ1" t="s">
        <v>7833</v>
      </c>
      <c r="KAA1" t="s">
        <v>7834</v>
      </c>
      <c r="KAB1" t="s">
        <v>7835</v>
      </c>
      <c r="KAC1" t="s">
        <v>7836</v>
      </c>
      <c r="KAD1" t="s">
        <v>7837</v>
      </c>
      <c r="KAE1" t="s">
        <v>7838</v>
      </c>
      <c r="KAF1" t="s">
        <v>7839</v>
      </c>
      <c r="KAG1" t="s">
        <v>7840</v>
      </c>
      <c r="KAH1" t="s">
        <v>7841</v>
      </c>
      <c r="KAI1" t="s">
        <v>7842</v>
      </c>
      <c r="KAJ1" t="s">
        <v>7843</v>
      </c>
      <c r="KAK1" t="s">
        <v>7844</v>
      </c>
      <c r="KAL1" t="s">
        <v>7845</v>
      </c>
      <c r="KAM1" t="s">
        <v>7846</v>
      </c>
      <c r="KAN1" t="s">
        <v>7847</v>
      </c>
      <c r="KAO1" t="s">
        <v>7848</v>
      </c>
      <c r="KAP1" t="s">
        <v>7849</v>
      </c>
      <c r="KAQ1" t="s">
        <v>7850</v>
      </c>
      <c r="KAR1" t="s">
        <v>7851</v>
      </c>
      <c r="KAS1" t="s">
        <v>7852</v>
      </c>
      <c r="KAT1" t="s">
        <v>7853</v>
      </c>
      <c r="KAU1" t="s">
        <v>7854</v>
      </c>
      <c r="KAV1" t="s">
        <v>7855</v>
      </c>
      <c r="KAW1" t="s">
        <v>7856</v>
      </c>
      <c r="KAX1" t="s">
        <v>7857</v>
      </c>
      <c r="KAY1" t="s">
        <v>7858</v>
      </c>
      <c r="KAZ1" t="s">
        <v>7859</v>
      </c>
      <c r="KBA1" t="s">
        <v>7860</v>
      </c>
      <c r="KBB1" t="s">
        <v>7861</v>
      </c>
      <c r="KBC1" t="s">
        <v>7862</v>
      </c>
      <c r="KBD1" t="s">
        <v>7863</v>
      </c>
      <c r="KBE1" t="s">
        <v>7864</v>
      </c>
      <c r="KBF1" t="s">
        <v>7865</v>
      </c>
      <c r="KBG1" t="s">
        <v>7866</v>
      </c>
      <c r="KBH1" t="s">
        <v>7867</v>
      </c>
      <c r="KBI1" t="s">
        <v>7868</v>
      </c>
      <c r="KBJ1" t="s">
        <v>7869</v>
      </c>
      <c r="KBK1" t="s">
        <v>7870</v>
      </c>
      <c r="KBL1" t="s">
        <v>7871</v>
      </c>
      <c r="KBM1" t="s">
        <v>7872</v>
      </c>
      <c r="KBN1" t="s">
        <v>7873</v>
      </c>
      <c r="KBO1" t="s">
        <v>7874</v>
      </c>
      <c r="KBP1" t="s">
        <v>7875</v>
      </c>
      <c r="KBQ1" t="s">
        <v>7876</v>
      </c>
      <c r="KBR1" t="s">
        <v>7877</v>
      </c>
      <c r="KBS1" t="s">
        <v>7878</v>
      </c>
      <c r="KBT1" t="s">
        <v>7879</v>
      </c>
      <c r="KBU1" t="s">
        <v>7880</v>
      </c>
      <c r="KBV1" t="s">
        <v>7881</v>
      </c>
      <c r="KBW1" t="s">
        <v>7882</v>
      </c>
      <c r="KBX1" t="s">
        <v>7883</v>
      </c>
      <c r="KBY1" t="s">
        <v>7884</v>
      </c>
      <c r="KBZ1" t="s">
        <v>7885</v>
      </c>
      <c r="KCA1" t="s">
        <v>7886</v>
      </c>
      <c r="KCB1" t="s">
        <v>7887</v>
      </c>
      <c r="KCC1" t="s">
        <v>7888</v>
      </c>
      <c r="KCD1" t="s">
        <v>7889</v>
      </c>
      <c r="KCE1" t="s">
        <v>7890</v>
      </c>
      <c r="KCF1" t="s">
        <v>7891</v>
      </c>
      <c r="KCG1" t="s">
        <v>7892</v>
      </c>
      <c r="KCH1" t="s">
        <v>7893</v>
      </c>
      <c r="KCI1" t="s">
        <v>7894</v>
      </c>
      <c r="KCJ1" t="s">
        <v>7895</v>
      </c>
      <c r="KCK1" t="s">
        <v>7896</v>
      </c>
      <c r="KCL1" t="s">
        <v>7897</v>
      </c>
      <c r="KCM1" t="s">
        <v>7898</v>
      </c>
      <c r="KCN1" t="s">
        <v>7899</v>
      </c>
      <c r="KCO1" t="s">
        <v>7900</v>
      </c>
      <c r="KCP1" t="s">
        <v>7901</v>
      </c>
      <c r="KCQ1" t="s">
        <v>7902</v>
      </c>
      <c r="KCR1" t="s">
        <v>7903</v>
      </c>
      <c r="KCS1" t="s">
        <v>7904</v>
      </c>
      <c r="KCT1" t="s">
        <v>7905</v>
      </c>
      <c r="KCU1" t="s">
        <v>7906</v>
      </c>
      <c r="KCV1" t="s">
        <v>7907</v>
      </c>
      <c r="KCW1" t="s">
        <v>7908</v>
      </c>
      <c r="KCX1" t="s">
        <v>7909</v>
      </c>
      <c r="KCY1" t="s">
        <v>7910</v>
      </c>
      <c r="KCZ1" t="s">
        <v>7911</v>
      </c>
      <c r="KDA1" t="s">
        <v>7912</v>
      </c>
      <c r="KDB1" t="s">
        <v>7913</v>
      </c>
      <c r="KDC1" t="s">
        <v>7914</v>
      </c>
      <c r="KDD1" t="s">
        <v>7915</v>
      </c>
      <c r="KDE1" t="s">
        <v>7916</v>
      </c>
      <c r="KDF1" t="s">
        <v>7917</v>
      </c>
      <c r="KDG1" t="s">
        <v>7918</v>
      </c>
      <c r="KDH1" t="s">
        <v>7919</v>
      </c>
      <c r="KDI1" t="s">
        <v>7920</v>
      </c>
      <c r="KDJ1" t="s">
        <v>7921</v>
      </c>
      <c r="KDK1" t="s">
        <v>7922</v>
      </c>
      <c r="KDL1" t="s">
        <v>7923</v>
      </c>
      <c r="KDM1" t="s">
        <v>7924</v>
      </c>
      <c r="KDN1" t="s">
        <v>7925</v>
      </c>
      <c r="KDO1" t="s">
        <v>7926</v>
      </c>
      <c r="KDP1" t="s">
        <v>7927</v>
      </c>
      <c r="KDQ1" t="s">
        <v>7928</v>
      </c>
      <c r="KDR1" t="s">
        <v>7929</v>
      </c>
      <c r="KDS1" t="s">
        <v>7930</v>
      </c>
      <c r="KDT1" t="s">
        <v>7931</v>
      </c>
      <c r="KDU1" t="s">
        <v>7932</v>
      </c>
      <c r="KDV1" t="s">
        <v>7933</v>
      </c>
      <c r="KDW1" t="s">
        <v>7934</v>
      </c>
      <c r="KDX1" t="s">
        <v>7935</v>
      </c>
      <c r="KDY1" t="s">
        <v>7936</v>
      </c>
      <c r="KDZ1" t="s">
        <v>7937</v>
      </c>
      <c r="KEA1" t="s">
        <v>7938</v>
      </c>
      <c r="KEB1" t="s">
        <v>7939</v>
      </c>
      <c r="KEC1" t="s">
        <v>7940</v>
      </c>
      <c r="KED1" t="s">
        <v>7941</v>
      </c>
      <c r="KEE1" t="s">
        <v>7942</v>
      </c>
      <c r="KEF1" t="s">
        <v>7943</v>
      </c>
      <c r="KEG1" t="s">
        <v>7944</v>
      </c>
      <c r="KEH1" t="s">
        <v>7945</v>
      </c>
      <c r="KEI1" t="s">
        <v>7946</v>
      </c>
      <c r="KEJ1" t="s">
        <v>7947</v>
      </c>
      <c r="KEK1" t="s">
        <v>7948</v>
      </c>
      <c r="KEL1" t="s">
        <v>7949</v>
      </c>
      <c r="KEM1" t="s">
        <v>7950</v>
      </c>
      <c r="KEN1" t="s">
        <v>7951</v>
      </c>
      <c r="KEO1" t="s">
        <v>7952</v>
      </c>
      <c r="KEP1" t="s">
        <v>7953</v>
      </c>
      <c r="KEQ1" t="s">
        <v>7954</v>
      </c>
      <c r="KER1" t="s">
        <v>7955</v>
      </c>
      <c r="KES1" t="s">
        <v>7956</v>
      </c>
      <c r="KET1" t="s">
        <v>7957</v>
      </c>
      <c r="KEU1" t="s">
        <v>7958</v>
      </c>
      <c r="KEV1" t="s">
        <v>7959</v>
      </c>
      <c r="KEW1" t="s">
        <v>7960</v>
      </c>
      <c r="KEX1" t="s">
        <v>7961</v>
      </c>
      <c r="KEY1" t="s">
        <v>7962</v>
      </c>
      <c r="KEZ1" t="s">
        <v>7963</v>
      </c>
      <c r="KFA1" t="s">
        <v>7964</v>
      </c>
      <c r="KFB1" t="s">
        <v>7965</v>
      </c>
      <c r="KFC1" t="s">
        <v>7966</v>
      </c>
      <c r="KFD1" t="s">
        <v>7967</v>
      </c>
      <c r="KFE1" t="s">
        <v>7968</v>
      </c>
      <c r="KFF1" t="s">
        <v>7969</v>
      </c>
      <c r="KFG1" t="s">
        <v>7970</v>
      </c>
      <c r="KFH1" t="s">
        <v>7971</v>
      </c>
      <c r="KFI1" t="s">
        <v>7972</v>
      </c>
      <c r="KFJ1" t="s">
        <v>7973</v>
      </c>
      <c r="KFK1" t="s">
        <v>7974</v>
      </c>
      <c r="KFL1" t="s">
        <v>7975</v>
      </c>
      <c r="KFM1" t="s">
        <v>7976</v>
      </c>
      <c r="KFN1" t="s">
        <v>7977</v>
      </c>
      <c r="KFO1" t="s">
        <v>7978</v>
      </c>
      <c r="KFP1" t="s">
        <v>7979</v>
      </c>
      <c r="KFQ1" t="s">
        <v>7980</v>
      </c>
      <c r="KFR1" t="s">
        <v>7981</v>
      </c>
      <c r="KFS1" t="s">
        <v>7982</v>
      </c>
      <c r="KFT1" t="s">
        <v>7983</v>
      </c>
      <c r="KFU1" t="s">
        <v>7984</v>
      </c>
      <c r="KFV1" t="s">
        <v>7985</v>
      </c>
      <c r="KFW1" t="s">
        <v>7986</v>
      </c>
      <c r="KFX1" t="s">
        <v>7987</v>
      </c>
      <c r="KFY1" t="s">
        <v>7988</v>
      </c>
      <c r="KFZ1" t="s">
        <v>7989</v>
      </c>
      <c r="KGA1" t="s">
        <v>7990</v>
      </c>
      <c r="KGB1" t="s">
        <v>7991</v>
      </c>
      <c r="KGC1" t="s">
        <v>7992</v>
      </c>
      <c r="KGD1" t="s">
        <v>7993</v>
      </c>
      <c r="KGE1" t="s">
        <v>7994</v>
      </c>
      <c r="KGF1" t="s">
        <v>7995</v>
      </c>
      <c r="KGG1" t="s">
        <v>7996</v>
      </c>
      <c r="KGH1" t="s">
        <v>7997</v>
      </c>
      <c r="KGI1" t="s">
        <v>7998</v>
      </c>
      <c r="KGJ1" t="s">
        <v>7999</v>
      </c>
      <c r="KGK1" t="s">
        <v>8000</v>
      </c>
      <c r="KGL1" t="s">
        <v>8001</v>
      </c>
      <c r="KGM1" t="s">
        <v>8002</v>
      </c>
      <c r="KGN1" t="s">
        <v>8003</v>
      </c>
      <c r="KGO1" t="s">
        <v>8004</v>
      </c>
      <c r="KGP1" t="s">
        <v>8005</v>
      </c>
      <c r="KGQ1" t="s">
        <v>8006</v>
      </c>
      <c r="KGR1" t="s">
        <v>8007</v>
      </c>
      <c r="KGS1" t="s">
        <v>8008</v>
      </c>
      <c r="KGT1" t="s">
        <v>8009</v>
      </c>
      <c r="KGU1" t="s">
        <v>8010</v>
      </c>
      <c r="KGV1" t="s">
        <v>8011</v>
      </c>
      <c r="KGW1" t="s">
        <v>8012</v>
      </c>
      <c r="KGX1" t="s">
        <v>8013</v>
      </c>
      <c r="KGY1" t="s">
        <v>8014</v>
      </c>
      <c r="KGZ1" t="s">
        <v>8015</v>
      </c>
      <c r="KHA1" t="s">
        <v>8016</v>
      </c>
      <c r="KHB1" t="s">
        <v>8017</v>
      </c>
      <c r="KHC1" t="s">
        <v>8018</v>
      </c>
      <c r="KHD1" t="s">
        <v>8019</v>
      </c>
      <c r="KHE1" t="s">
        <v>8020</v>
      </c>
      <c r="KHF1" t="s">
        <v>8021</v>
      </c>
      <c r="KHG1" t="s">
        <v>8022</v>
      </c>
      <c r="KHH1" t="s">
        <v>8023</v>
      </c>
      <c r="KHI1" t="s">
        <v>8024</v>
      </c>
      <c r="KHJ1" t="s">
        <v>8025</v>
      </c>
      <c r="KHK1" t="s">
        <v>8026</v>
      </c>
      <c r="KHL1" t="s">
        <v>8027</v>
      </c>
      <c r="KHM1" t="s">
        <v>8028</v>
      </c>
      <c r="KHN1" t="s">
        <v>8029</v>
      </c>
      <c r="KHO1" t="s">
        <v>8030</v>
      </c>
      <c r="KHP1" t="s">
        <v>8031</v>
      </c>
      <c r="KHQ1" t="s">
        <v>8032</v>
      </c>
      <c r="KHR1" t="s">
        <v>8033</v>
      </c>
      <c r="KHS1" t="s">
        <v>8034</v>
      </c>
      <c r="KHT1" t="s">
        <v>8035</v>
      </c>
      <c r="KHU1" t="s">
        <v>8036</v>
      </c>
      <c r="KHV1" t="s">
        <v>8037</v>
      </c>
      <c r="KHW1" t="s">
        <v>8038</v>
      </c>
      <c r="KHX1" t="s">
        <v>8039</v>
      </c>
      <c r="KHY1" t="s">
        <v>8040</v>
      </c>
      <c r="KHZ1" t="s">
        <v>8041</v>
      </c>
      <c r="KIA1" t="s">
        <v>8042</v>
      </c>
      <c r="KIB1" t="s">
        <v>8043</v>
      </c>
      <c r="KIC1" t="s">
        <v>8044</v>
      </c>
      <c r="KID1" t="s">
        <v>8045</v>
      </c>
      <c r="KIE1" t="s">
        <v>8046</v>
      </c>
      <c r="KIF1" t="s">
        <v>8047</v>
      </c>
      <c r="KIG1" t="s">
        <v>8048</v>
      </c>
      <c r="KIH1" t="s">
        <v>8049</v>
      </c>
      <c r="KII1" t="s">
        <v>8050</v>
      </c>
      <c r="KIJ1" t="s">
        <v>8051</v>
      </c>
      <c r="KIK1" t="s">
        <v>8052</v>
      </c>
      <c r="KIL1" t="s">
        <v>8053</v>
      </c>
      <c r="KIM1" t="s">
        <v>8054</v>
      </c>
      <c r="KIN1" t="s">
        <v>8055</v>
      </c>
      <c r="KIO1" t="s">
        <v>8056</v>
      </c>
      <c r="KIP1" t="s">
        <v>8057</v>
      </c>
      <c r="KIQ1" t="s">
        <v>8058</v>
      </c>
      <c r="KIR1" t="s">
        <v>8059</v>
      </c>
      <c r="KIS1" t="s">
        <v>8060</v>
      </c>
      <c r="KIT1" t="s">
        <v>8061</v>
      </c>
      <c r="KIU1" t="s">
        <v>8062</v>
      </c>
      <c r="KIV1" t="s">
        <v>8063</v>
      </c>
      <c r="KIW1" t="s">
        <v>8064</v>
      </c>
      <c r="KIX1" t="s">
        <v>8065</v>
      </c>
      <c r="KIY1" t="s">
        <v>8066</v>
      </c>
      <c r="KIZ1" t="s">
        <v>8067</v>
      </c>
      <c r="KJA1" t="s">
        <v>8068</v>
      </c>
      <c r="KJB1" t="s">
        <v>8069</v>
      </c>
      <c r="KJC1" t="s">
        <v>8070</v>
      </c>
      <c r="KJD1" t="s">
        <v>8071</v>
      </c>
      <c r="KJE1" t="s">
        <v>8072</v>
      </c>
      <c r="KJF1" t="s">
        <v>8073</v>
      </c>
      <c r="KJG1" t="s">
        <v>8074</v>
      </c>
      <c r="KJH1" t="s">
        <v>8075</v>
      </c>
      <c r="KJI1" t="s">
        <v>8076</v>
      </c>
      <c r="KJJ1" t="s">
        <v>8077</v>
      </c>
      <c r="KJK1" t="s">
        <v>8078</v>
      </c>
      <c r="KJL1" t="s">
        <v>8079</v>
      </c>
      <c r="KJM1" t="s">
        <v>8080</v>
      </c>
      <c r="KJN1" t="s">
        <v>8081</v>
      </c>
      <c r="KJO1" t="s">
        <v>8082</v>
      </c>
      <c r="KJP1" t="s">
        <v>8083</v>
      </c>
      <c r="KJQ1" t="s">
        <v>8084</v>
      </c>
      <c r="KJR1" t="s">
        <v>8085</v>
      </c>
      <c r="KJS1" t="s">
        <v>8086</v>
      </c>
      <c r="KJT1" t="s">
        <v>8087</v>
      </c>
      <c r="KJU1" t="s">
        <v>8088</v>
      </c>
      <c r="KJV1" t="s">
        <v>8089</v>
      </c>
      <c r="KJW1" t="s">
        <v>8090</v>
      </c>
      <c r="KJX1" t="s">
        <v>8091</v>
      </c>
      <c r="KJY1" t="s">
        <v>8092</v>
      </c>
      <c r="KJZ1" t="s">
        <v>8093</v>
      </c>
      <c r="KKA1" t="s">
        <v>8094</v>
      </c>
      <c r="KKB1" t="s">
        <v>8095</v>
      </c>
      <c r="KKC1" t="s">
        <v>8096</v>
      </c>
      <c r="KKD1" t="s">
        <v>8097</v>
      </c>
      <c r="KKE1" t="s">
        <v>8098</v>
      </c>
      <c r="KKF1" t="s">
        <v>8099</v>
      </c>
      <c r="KKG1" t="s">
        <v>8100</v>
      </c>
      <c r="KKH1" t="s">
        <v>8101</v>
      </c>
      <c r="KKI1" t="s">
        <v>8102</v>
      </c>
      <c r="KKJ1" t="s">
        <v>8103</v>
      </c>
      <c r="KKK1" t="s">
        <v>8104</v>
      </c>
      <c r="KKL1" t="s">
        <v>8105</v>
      </c>
      <c r="KKM1" t="s">
        <v>8106</v>
      </c>
      <c r="KKN1" t="s">
        <v>8107</v>
      </c>
      <c r="KKO1" t="s">
        <v>8108</v>
      </c>
      <c r="KKP1" t="s">
        <v>8109</v>
      </c>
      <c r="KKQ1" t="s">
        <v>8110</v>
      </c>
      <c r="KKR1" t="s">
        <v>8111</v>
      </c>
      <c r="KKS1" t="s">
        <v>8112</v>
      </c>
      <c r="KKT1" t="s">
        <v>8113</v>
      </c>
      <c r="KKU1" t="s">
        <v>8114</v>
      </c>
      <c r="KKV1" t="s">
        <v>8115</v>
      </c>
      <c r="KKW1" t="s">
        <v>8116</v>
      </c>
      <c r="KKX1" t="s">
        <v>8117</v>
      </c>
      <c r="KKY1" t="s">
        <v>8118</v>
      </c>
      <c r="KKZ1" t="s">
        <v>8119</v>
      </c>
      <c r="KLA1" t="s">
        <v>8120</v>
      </c>
      <c r="KLB1" t="s">
        <v>8121</v>
      </c>
      <c r="KLC1" t="s">
        <v>8122</v>
      </c>
      <c r="KLD1" t="s">
        <v>8123</v>
      </c>
      <c r="KLE1" t="s">
        <v>8124</v>
      </c>
      <c r="KLF1" t="s">
        <v>8125</v>
      </c>
      <c r="KLG1" t="s">
        <v>8126</v>
      </c>
      <c r="KLH1" t="s">
        <v>8127</v>
      </c>
      <c r="KLI1" t="s">
        <v>8128</v>
      </c>
      <c r="KLJ1" t="s">
        <v>8129</v>
      </c>
      <c r="KLK1" t="s">
        <v>8130</v>
      </c>
      <c r="KLL1" t="s">
        <v>8131</v>
      </c>
      <c r="KLM1" t="s">
        <v>8132</v>
      </c>
      <c r="KLN1" t="s">
        <v>8133</v>
      </c>
      <c r="KLO1" t="s">
        <v>8134</v>
      </c>
      <c r="KLP1" t="s">
        <v>8135</v>
      </c>
      <c r="KLQ1" t="s">
        <v>8136</v>
      </c>
      <c r="KLR1" t="s">
        <v>8137</v>
      </c>
      <c r="KLS1" t="s">
        <v>8138</v>
      </c>
      <c r="KLT1" t="s">
        <v>8139</v>
      </c>
      <c r="KLU1" t="s">
        <v>8140</v>
      </c>
      <c r="KLV1" t="s">
        <v>8141</v>
      </c>
      <c r="KLW1" t="s">
        <v>8142</v>
      </c>
      <c r="KLX1" t="s">
        <v>8143</v>
      </c>
      <c r="KLY1" t="s">
        <v>8144</v>
      </c>
      <c r="KLZ1" t="s">
        <v>8145</v>
      </c>
      <c r="KMA1" t="s">
        <v>8146</v>
      </c>
      <c r="KMB1" t="s">
        <v>8147</v>
      </c>
      <c r="KMC1" t="s">
        <v>8148</v>
      </c>
      <c r="KMD1" t="s">
        <v>8149</v>
      </c>
      <c r="KME1" t="s">
        <v>8150</v>
      </c>
      <c r="KMF1" t="s">
        <v>8151</v>
      </c>
      <c r="KMG1" t="s">
        <v>8152</v>
      </c>
      <c r="KMH1" t="s">
        <v>8153</v>
      </c>
      <c r="KMI1" t="s">
        <v>8154</v>
      </c>
      <c r="KMJ1" t="s">
        <v>8155</v>
      </c>
      <c r="KMK1" t="s">
        <v>8156</v>
      </c>
      <c r="KML1" t="s">
        <v>8157</v>
      </c>
      <c r="KMM1" t="s">
        <v>8158</v>
      </c>
      <c r="KMN1" t="s">
        <v>8159</v>
      </c>
      <c r="KMO1" t="s">
        <v>8160</v>
      </c>
      <c r="KMP1" t="s">
        <v>8161</v>
      </c>
      <c r="KMQ1" t="s">
        <v>8162</v>
      </c>
      <c r="KMR1" t="s">
        <v>8163</v>
      </c>
      <c r="KMS1" t="s">
        <v>8164</v>
      </c>
      <c r="KMT1" t="s">
        <v>8165</v>
      </c>
      <c r="KMU1" t="s">
        <v>8166</v>
      </c>
      <c r="KMV1" t="s">
        <v>8167</v>
      </c>
      <c r="KMW1" t="s">
        <v>8168</v>
      </c>
      <c r="KMX1" t="s">
        <v>8169</v>
      </c>
      <c r="KMY1" t="s">
        <v>8170</v>
      </c>
      <c r="KMZ1" t="s">
        <v>8171</v>
      </c>
      <c r="KNA1" t="s">
        <v>8172</v>
      </c>
      <c r="KNB1" t="s">
        <v>8173</v>
      </c>
      <c r="KNC1" t="s">
        <v>8174</v>
      </c>
      <c r="KND1" t="s">
        <v>8175</v>
      </c>
      <c r="KNE1" t="s">
        <v>8176</v>
      </c>
      <c r="KNF1" t="s">
        <v>8177</v>
      </c>
      <c r="KNG1" t="s">
        <v>8178</v>
      </c>
      <c r="KNH1" t="s">
        <v>8179</v>
      </c>
      <c r="KNI1" t="s">
        <v>8180</v>
      </c>
      <c r="KNJ1" t="s">
        <v>8181</v>
      </c>
      <c r="KNK1" t="s">
        <v>8182</v>
      </c>
      <c r="KNL1" t="s">
        <v>8183</v>
      </c>
      <c r="KNM1" t="s">
        <v>8184</v>
      </c>
      <c r="KNN1" t="s">
        <v>8185</v>
      </c>
      <c r="KNO1" t="s">
        <v>8186</v>
      </c>
      <c r="KNP1" t="s">
        <v>8187</v>
      </c>
      <c r="KNQ1" t="s">
        <v>8188</v>
      </c>
      <c r="KNR1" t="s">
        <v>8189</v>
      </c>
      <c r="KNS1" t="s">
        <v>8190</v>
      </c>
      <c r="KNT1" t="s">
        <v>8191</v>
      </c>
      <c r="KNU1" t="s">
        <v>8192</v>
      </c>
      <c r="KNV1" t="s">
        <v>8193</v>
      </c>
      <c r="KNW1" t="s">
        <v>8194</v>
      </c>
      <c r="KNX1" t="s">
        <v>8195</v>
      </c>
      <c r="KNY1" t="s">
        <v>8196</v>
      </c>
      <c r="KNZ1" t="s">
        <v>8197</v>
      </c>
      <c r="KOA1" t="s">
        <v>8198</v>
      </c>
      <c r="KOB1" t="s">
        <v>8199</v>
      </c>
      <c r="KOC1" t="s">
        <v>8200</v>
      </c>
      <c r="KOD1" t="s">
        <v>8201</v>
      </c>
      <c r="KOE1" t="s">
        <v>8202</v>
      </c>
      <c r="KOF1" t="s">
        <v>8203</v>
      </c>
      <c r="KOG1" t="s">
        <v>8204</v>
      </c>
      <c r="KOH1" t="s">
        <v>8205</v>
      </c>
      <c r="KOI1" t="s">
        <v>8206</v>
      </c>
      <c r="KOJ1" t="s">
        <v>8207</v>
      </c>
      <c r="KOK1" t="s">
        <v>8208</v>
      </c>
      <c r="KOL1" t="s">
        <v>8209</v>
      </c>
      <c r="KOM1" t="s">
        <v>8210</v>
      </c>
      <c r="KON1" t="s">
        <v>8211</v>
      </c>
      <c r="KOO1" t="s">
        <v>8212</v>
      </c>
      <c r="KOP1" t="s">
        <v>8213</v>
      </c>
      <c r="KOQ1" t="s">
        <v>8214</v>
      </c>
      <c r="KOR1" t="s">
        <v>8215</v>
      </c>
      <c r="KOS1" t="s">
        <v>8216</v>
      </c>
      <c r="KOT1" t="s">
        <v>8217</v>
      </c>
      <c r="KOU1" t="s">
        <v>8218</v>
      </c>
      <c r="KOV1" t="s">
        <v>8219</v>
      </c>
      <c r="KOW1" t="s">
        <v>8220</v>
      </c>
      <c r="KOX1" t="s">
        <v>8221</v>
      </c>
      <c r="KOY1" t="s">
        <v>8222</v>
      </c>
      <c r="KOZ1" t="s">
        <v>8223</v>
      </c>
      <c r="KPA1" t="s">
        <v>8224</v>
      </c>
      <c r="KPB1" t="s">
        <v>8225</v>
      </c>
      <c r="KPC1" t="s">
        <v>8226</v>
      </c>
      <c r="KPD1" t="s">
        <v>8227</v>
      </c>
      <c r="KPE1" t="s">
        <v>8228</v>
      </c>
      <c r="KPF1" t="s">
        <v>8229</v>
      </c>
      <c r="KPG1" t="s">
        <v>8230</v>
      </c>
      <c r="KPH1" t="s">
        <v>8231</v>
      </c>
      <c r="KPI1" t="s">
        <v>8232</v>
      </c>
      <c r="KPJ1" t="s">
        <v>8233</v>
      </c>
      <c r="KPK1" t="s">
        <v>8234</v>
      </c>
      <c r="KPL1" t="s">
        <v>8235</v>
      </c>
      <c r="KPM1" t="s">
        <v>8236</v>
      </c>
      <c r="KPN1" t="s">
        <v>8237</v>
      </c>
      <c r="KPO1" t="s">
        <v>8238</v>
      </c>
      <c r="KPP1" t="s">
        <v>8239</v>
      </c>
      <c r="KPQ1" t="s">
        <v>8240</v>
      </c>
      <c r="KPR1" t="s">
        <v>8241</v>
      </c>
      <c r="KPS1" t="s">
        <v>8242</v>
      </c>
      <c r="KPT1" t="s">
        <v>8243</v>
      </c>
      <c r="KPU1" t="s">
        <v>8244</v>
      </c>
      <c r="KPV1" t="s">
        <v>8245</v>
      </c>
      <c r="KPW1" t="s">
        <v>8246</v>
      </c>
      <c r="KPX1" t="s">
        <v>8247</v>
      </c>
      <c r="KPY1" t="s">
        <v>8248</v>
      </c>
      <c r="KPZ1" t="s">
        <v>8249</v>
      </c>
      <c r="KQA1" t="s">
        <v>8250</v>
      </c>
      <c r="KQB1" t="s">
        <v>8251</v>
      </c>
      <c r="KQC1" t="s">
        <v>8252</v>
      </c>
      <c r="KQD1" t="s">
        <v>8253</v>
      </c>
      <c r="KQE1" t="s">
        <v>8254</v>
      </c>
      <c r="KQF1" t="s">
        <v>8255</v>
      </c>
      <c r="KQG1" t="s">
        <v>8256</v>
      </c>
      <c r="KQH1" t="s">
        <v>8257</v>
      </c>
      <c r="KQI1" t="s">
        <v>8258</v>
      </c>
      <c r="KQJ1" t="s">
        <v>8259</v>
      </c>
      <c r="KQK1" t="s">
        <v>8260</v>
      </c>
      <c r="KQL1" t="s">
        <v>8261</v>
      </c>
      <c r="KQM1" t="s">
        <v>8262</v>
      </c>
      <c r="KQN1" t="s">
        <v>8263</v>
      </c>
      <c r="KQO1" t="s">
        <v>8264</v>
      </c>
      <c r="KQP1" t="s">
        <v>8265</v>
      </c>
      <c r="KQQ1" t="s">
        <v>8266</v>
      </c>
      <c r="KQR1" t="s">
        <v>8267</v>
      </c>
      <c r="KQS1" t="s">
        <v>8268</v>
      </c>
      <c r="KQT1" t="s">
        <v>8269</v>
      </c>
      <c r="KQU1" t="s">
        <v>8270</v>
      </c>
      <c r="KQV1" t="s">
        <v>8271</v>
      </c>
      <c r="KQW1" t="s">
        <v>8272</v>
      </c>
      <c r="KQX1" t="s">
        <v>8273</v>
      </c>
      <c r="KQY1" t="s">
        <v>8274</v>
      </c>
      <c r="KQZ1" t="s">
        <v>8275</v>
      </c>
      <c r="KRA1" t="s">
        <v>8276</v>
      </c>
      <c r="KRB1" t="s">
        <v>8277</v>
      </c>
      <c r="KRC1" t="s">
        <v>8278</v>
      </c>
      <c r="KRD1" t="s">
        <v>8279</v>
      </c>
      <c r="KRE1" t="s">
        <v>8280</v>
      </c>
      <c r="KRF1" t="s">
        <v>8281</v>
      </c>
      <c r="KRG1" t="s">
        <v>8282</v>
      </c>
      <c r="KRH1" t="s">
        <v>8283</v>
      </c>
      <c r="KRI1" t="s">
        <v>8284</v>
      </c>
      <c r="KRJ1" t="s">
        <v>8285</v>
      </c>
      <c r="KRK1" t="s">
        <v>8286</v>
      </c>
      <c r="KRL1" t="s">
        <v>8287</v>
      </c>
      <c r="KRM1" t="s">
        <v>8288</v>
      </c>
      <c r="KRN1" t="s">
        <v>8289</v>
      </c>
      <c r="KRO1" t="s">
        <v>8290</v>
      </c>
      <c r="KRP1" t="s">
        <v>8291</v>
      </c>
      <c r="KRQ1" t="s">
        <v>8292</v>
      </c>
      <c r="KRR1" t="s">
        <v>8293</v>
      </c>
      <c r="KRS1" t="s">
        <v>8294</v>
      </c>
      <c r="KRT1" t="s">
        <v>8295</v>
      </c>
      <c r="KRU1" t="s">
        <v>8296</v>
      </c>
      <c r="KRV1" t="s">
        <v>8297</v>
      </c>
      <c r="KRW1" t="s">
        <v>8298</v>
      </c>
      <c r="KRX1" t="s">
        <v>8299</v>
      </c>
      <c r="KRY1" t="s">
        <v>8300</v>
      </c>
      <c r="KRZ1" t="s">
        <v>8301</v>
      </c>
      <c r="KSA1" t="s">
        <v>8302</v>
      </c>
      <c r="KSB1" t="s">
        <v>8303</v>
      </c>
      <c r="KSC1" t="s">
        <v>8304</v>
      </c>
      <c r="KSD1" t="s">
        <v>8305</v>
      </c>
      <c r="KSE1" t="s">
        <v>8306</v>
      </c>
      <c r="KSF1" t="s">
        <v>8307</v>
      </c>
      <c r="KSG1" t="s">
        <v>8308</v>
      </c>
      <c r="KSH1" t="s">
        <v>8309</v>
      </c>
      <c r="KSI1" t="s">
        <v>8310</v>
      </c>
      <c r="KSJ1" t="s">
        <v>8311</v>
      </c>
      <c r="KSK1" t="s">
        <v>8312</v>
      </c>
      <c r="KSL1" t="s">
        <v>8313</v>
      </c>
      <c r="KSM1" t="s">
        <v>8314</v>
      </c>
      <c r="KSN1" t="s">
        <v>8315</v>
      </c>
      <c r="KSO1" t="s">
        <v>8316</v>
      </c>
      <c r="KSP1" t="s">
        <v>8317</v>
      </c>
      <c r="KSQ1" t="s">
        <v>8318</v>
      </c>
      <c r="KSR1" t="s">
        <v>8319</v>
      </c>
      <c r="KSS1" t="s">
        <v>8320</v>
      </c>
      <c r="KST1" t="s">
        <v>8321</v>
      </c>
      <c r="KSU1" t="s">
        <v>8322</v>
      </c>
      <c r="KSV1" t="s">
        <v>8323</v>
      </c>
      <c r="KSW1" t="s">
        <v>8324</v>
      </c>
      <c r="KSX1" t="s">
        <v>8325</v>
      </c>
      <c r="KSY1" t="s">
        <v>8326</v>
      </c>
      <c r="KSZ1" t="s">
        <v>8327</v>
      </c>
      <c r="KTA1" t="s">
        <v>8328</v>
      </c>
      <c r="KTB1" t="s">
        <v>8329</v>
      </c>
      <c r="KTC1" t="s">
        <v>8330</v>
      </c>
      <c r="KTD1" t="s">
        <v>8331</v>
      </c>
      <c r="KTE1" t="s">
        <v>8332</v>
      </c>
      <c r="KTF1" t="s">
        <v>8333</v>
      </c>
      <c r="KTG1" t="s">
        <v>8334</v>
      </c>
      <c r="KTH1" t="s">
        <v>8335</v>
      </c>
      <c r="KTI1" t="s">
        <v>8336</v>
      </c>
      <c r="KTJ1" t="s">
        <v>8337</v>
      </c>
      <c r="KTK1" t="s">
        <v>8338</v>
      </c>
      <c r="KTL1" t="s">
        <v>8339</v>
      </c>
      <c r="KTM1" t="s">
        <v>8340</v>
      </c>
      <c r="KTN1" t="s">
        <v>8341</v>
      </c>
      <c r="KTO1" t="s">
        <v>8342</v>
      </c>
      <c r="KTP1" t="s">
        <v>8343</v>
      </c>
      <c r="KTQ1" t="s">
        <v>8344</v>
      </c>
      <c r="KTR1" t="s">
        <v>8345</v>
      </c>
      <c r="KTS1" t="s">
        <v>8346</v>
      </c>
      <c r="KTT1" t="s">
        <v>8347</v>
      </c>
      <c r="KTU1" t="s">
        <v>8348</v>
      </c>
      <c r="KTV1" t="s">
        <v>8349</v>
      </c>
      <c r="KTW1" t="s">
        <v>8350</v>
      </c>
      <c r="KTX1" t="s">
        <v>8351</v>
      </c>
      <c r="KTY1" t="s">
        <v>8352</v>
      </c>
      <c r="KTZ1" t="s">
        <v>8353</v>
      </c>
      <c r="KUA1" t="s">
        <v>8354</v>
      </c>
      <c r="KUB1" t="s">
        <v>8355</v>
      </c>
      <c r="KUC1" t="s">
        <v>8356</v>
      </c>
      <c r="KUD1" t="s">
        <v>8357</v>
      </c>
      <c r="KUE1" t="s">
        <v>8358</v>
      </c>
      <c r="KUF1" t="s">
        <v>8359</v>
      </c>
      <c r="KUG1" t="s">
        <v>8360</v>
      </c>
      <c r="KUH1" t="s">
        <v>8361</v>
      </c>
      <c r="KUI1" t="s">
        <v>8362</v>
      </c>
      <c r="KUJ1" t="s">
        <v>8363</v>
      </c>
      <c r="KUK1" t="s">
        <v>8364</v>
      </c>
      <c r="KUL1" t="s">
        <v>8365</v>
      </c>
      <c r="KUM1" t="s">
        <v>8366</v>
      </c>
      <c r="KUN1" t="s">
        <v>8367</v>
      </c>
      <c r="KUO1" t="s">
        <v>8368</v>
      </c>
      <c r="KUP1" t="s">
        <v>8369</v>
      </c>
      <c r="KUQ1" t="s">
        <v>8370</v>
      </c>
      <c r="KUR1" t="s">
        <v>8371</v>
      </c>
      <c r="KUS1" t="s">
        <v>8372</v>
      </c>
      <c r="KUT1" t="s">
        <v>8373</v>
      </c>
      <c r="KUU1" t="s">
        <v>8374</v>
      </c>
      <c r="KUV1" t="s">
        <v>8375</v>
      </c>
      <c r="KUW1" t="s">
        <v>8376</v>
      </c>
      <c r="KUX1" t="s">
        <v>8377</v>
      </c>
      <c r="KUY1" t="s">
        <v>8378</v>
      </c>
      <c r="KUZ1" t="s">
        <v>8379</v>
      </c>
      <c r="KVA1" t="s">
        <v>8380</v>
      </c>
      <c r="KVB1" t="s">
        <v>8381</v>
      </c>
      <c r="KVC1" t="s">
        <v>8382</v>
      </c>
      <c r="KVD1" t="s">
        <v>8383</v>
      </c>
      <c r="KVE1" t="s">
        <v>8384</v>
      </c>
      <c r="KVF1" t="s">
        <v>8385</v>
      </c>
      <c r="KVG1" t="s">
        <v>8386</v>
      </c>
      <c r="KVH1" t="s">
        <v>8387</v>
      </c>
      <c r="KVI1" t="s">
        <v>8388</v>
      </c>
      <c r="KVJ1" t="s">
        <v>8389</v>
      </c>
      <c r="KVK1" t="s">
        <v>8390</v>
      </c>
      <c r="KVL1" t="s">
        <v>8391</v>
      </c>
      <c r="KVM1" t="s">
        <v>8392</v>
      </c>
      <c r="KVN1" t="s">
        <v>8393</v>
      </c>
      <c r="KVO1" t="s">
        <v>8394</v>
      </c>
      <c r="KVP1" t="s">
        <v>8395</v>
      </c>
      <c r="KVQ1" t="s">
        <v>8396</v>
      </c>
      <c r="KVR1" t="s">
        <v>8397</v>
      </c>
      <c r="KVS1" t="s">
        <v>8398</v>
      </c>
      <c r="KVT1" t="s">
        <v>8399</v>
      </c>
      <c r="KVU1" t="s">
        <v>8400</v>
      </c>
      <c r="KVV1" t="s">
        <v>8401</v>
      </c>
      <c r="KVW1" t="s">
        <v>8402</v>
      </c>
      <c r="KVX1" t="s">
        <v>8403</v>
      </c>
      <c r="KVY1" t="s">
        <v>8404</v>
      </c>
      <c r="KVZ1" t="s">
        <v>8405</v>
      </c>
      <c r="KWA1" t="s">
        <v>8406</v>
      </c>
      <c r="KWB1" t="s">
        <v>8407</v>
      </c>
      <c r="KWC1" t="s">
        <v>8408</v>
      </c>
      <c r="KWD1" t="s">
        <v>8409</v>
      </c>
      <c r="KWE1" t="s">
        <v>8410</v>
      </c>
      <c r="KWF1" t="s">
        <v>8411</v>
      </c>
      <c r="KWG1" t="s">
        <v>8412</v>
      </c>
      <c r="KWH1" t="s">
        <v>8413</v>
      </c>
      <c r="KWI1" t="s">
        <v>8414</v>
      </c>
      <c r="KWJ1" t="s">
        <v>8415</v>
      </c>
      <c r="KWK1" t="s">
        <v>8416</v>
      </c>
      <c r="KWL1" t="s">
        <v>8417</v>
      </c>
      <c r="KWM1" t="s">
        <v>8418</v>
      </c>
      <c r="KWN1" t="s">
        <v>8419</v>
      </c>
      <c r="KWO1" t="s">
        <v>8420</v>
      </c>
      <c r="KWP1" t="s">
        <v>8421</v>
      </c>
      <c r="KWQ1" t="s">
        <v>8422</v>
      </c>
      <c r="KWR1" t="s">
        <v>8423</v>
      </c>
      <c r="KWS1" t="s">
        <v>8424</v>
      </c>
      <c r="KWT1" t="s">
        <v>8425</v>
      </c>
      <c r="KWU1" t="s">
        <v>8426</v>
      </c>
      <c r="KWV1" t="s">
        <v>8427</v>
      </c>
      <c r="KWW1" t="s">
        <v>8428</v>
      </c>
      <c r="KWX1" t="s">
        <v>8429</v>
      </c>
      <c r="KWY1" t="s">
        <v>8430</v>
      </c>
      <c r="KWZ1" t="s">
        <v>8431</v>
      </c>
      <c r="KXA1" t="s">
        <v>8432</v>
      </c>
      <c r="KXB1" t="s">
        <v>8433</v>
      </c>
      <c r="KXC1" t="s">
        <v>8434</v>
      </c>
      <c r="KXD1" t="s">
        <v>8435</v>
      </c>
      <c r="KXE1" t="s">
        <v>8436</v>
      </c>
      <c r="KXF1" t="s">
        <v>8437</v>
      </c>
      <c r="KXG1" t="s">
        <v>8438</v>
      </c>
      <c r="KXH1" t="s">
        <v>8439</v>
      </c>
      <c r="KXI1" t="s">
        <v>8440</v>
      </c>
      <c r="KXJ1" t="s">
        <v>8441</v>
      </c>
      <c r="KXK1" t="s">
        <v>8442</v>
      </c>
      <c r="KXL1" t="s">
        <v>8443</v>
      </c>
      <c r="KXM1" t="s">
        <v>8444</v>
      </c>
      <c r="KXN1" t="s">
        <v>8445</v>
      </c>
      <c r="KXO1" t="s">
        <v>8446</v>
      </c>
      <c r="KXP1" t="s">
        <v>8447</v>
      </c>
      <c r="KXQ1" t="s">
        <v>8448</v>
      </c>
      <c r="KXR1" t="s">
        <v>8449</v>
      </c>
      <c r="KXS1" t="s">
        <v>8450</v>
      </c>
      <c r="KXT1" t="s">
        <v>8451</v>
      </c>
      <c r="KXU1" t="s">
        <v>8452</v>
      </c>
      <c r="KXV1" t="s">
        <v>8453</v>
      </c>
      <c r="KXW1" t="s">
        <v>8454</v>
      </c>
      <c r="KXX1" t="s">
        <v>8455</v>
      </c>
      <c r="KXY1" t="s">
        <v>8456</v>
      </c>
      <c r="KXZ1" t="s">
        <v>8457</v>
      </c>
      <c r="KYA1" t="s">
        <v>8458</v>
      </c>
      <c r="KYB1" t="s">
        <v>8459</v>
      </c>
      <c r="KYC1" t="s">
        <v>8460</v>
      </c>
      <c r="KYD1" t="s">
        <v>8461</v>
      </c>
      <c r="KYE1" t="s">
        <v>8462</v>
      </c>
      <c r="KYF1" t="s">
        <v>8463</v>
      </c>
      <c r="KYG1" t="s">
        <v>8464</v>
      </c>
      <c r="KYH1" t="s">
        <v>8465</v>
      </c>
      <c r="KYI1" t="s">
        <v>8466</v>
      </c>
      <c r="KYJ1" t="s">
        <v>8467</v>
      </c>
      <c r="KYK1" t="s">
        <v>8468</v>
      </c>
      <c r="KYL1" t="s">
        <v>8469</v>
      </c>
      <c r="KYM1" t="s">
        <v>8470</v>
      </c>
      <c r="KYN1" t="s">
        <v>8471</v>
      </c>
      <c r="KYO1" t="s">
        <v>8472</v>
      </c>
      <c r="KYP1" t="s">
        <v>8473</v>
      </c>
      <c r="KYQ1" t="s">
        <v>8474</v>
      </c>
      <c r="KYR1" t="s">
        <v>8475</v>
      </c>
      <c r="KYS1" t="s">
        <v>8476</v>
      </c>
      <c r="KYT1" t="s">
        <v>8477</v>
      </c>
      <c r="KYU1" t="s">
        <v>8478</v>
      </c>
      <c r="KYV1" t="s">
        <v>8479</v>
      </c>
      <c r="KYW1" t="s">
        <v>8480</v>
      </c>
      <c r="KYX1" t="s">
        <v>8481</v>
      </c>
      <c r="KYY1" t="s">
        <v>8482</v>
      </c>
      <c r="KYZ1" t="s">
        <v>8483</v>
      </c>
      <c r="KZA1" t="s">
        <v>8484</v>
      </c>
      <c r="KZB1" t="s">
        <v>8485</v>
      </c>
      <c r="KZC1" t="s">
        <v>8486</v>
      </c>
      <c r="KZD1" t="s">
        <v>8487</v>
      </c>
      <c r="KZE1" t="s">
        <v>8488</v>
      </c>
      <c r="KZF1" t="s">
        <v>8489</v>
      </c>
      <c r="KZG1" t="s">
        <v>8490</v>
      </c>
      <c r="KZH1" t="s">
        <v>8491</v>
      </c>
      <c r="KZI1" t="s">
        <v>8492</v>
      </c>
      <c r="KZJ1" t="s">
        <v>8493</v>
      </c>
      <c r="KZK1" t="s">
        <v>8494</v>
      </c>
      <c r="KZL1" t="s">
        <v>8495</v>
      </c>
      <c r="KZM1" t="s">
        <v>8496</v>
      </c>
      <c r="KZN1" t="s">
        <v>8497</v>
      </c>
      <c r="KZO1" t="s">
        <v>8498</v>
      </c>
      <c r="KZP1" t="s">
        <v>8499</v>
      </c>
      <c r="KZQ1" t="s">
        <v>8500</v>
      </c>
      <c r="KZR1" t="s">
        <v>8501</v>
      </c>
      <c r="KZS1" t="s">
        <v>8502</v>
      </c>
      <c r="KZT1" t="s">
        <v>8503</v>
      </c>
      <c r="KZU1" t="s">
        <v>8504</v>
      </c>
      <c r="KZV1" t="s">
        <v>8505</v>
      </c>
      <c r="KZW1" t="s">
        <v>8506</v>
      </c>
      <c r="KZX1" t="s">
        <v>8507</v>
      </c>
      <c r="KZY1" t="s">
        <v>8508</v>
      </c>
      <c r="KZZ1" t="s">
        <v>8509</v>
      </c>
      <c r="LAA1" t="s">
        <v>8510</v>
      </c>
      <c r="LAB1" t="s">
        <v>8511</v>
      </c>
      <c r="LAC1" t="s">
        <v>8512</v>
      </c>
      <c r="LAD1" t="s">
        <v>8513</v>
      </c>
      <c r="LAE1" t="s">
        <v>8514</v>
      </c>
      <c r="LAF1" t="s">
        <v>8515</v>
      </c>
      <c r="LAG1" t="s">
        <v>8516</v>
      </c>
      <c r="LAH1" t="s">
        <v>8517</v>
      </c>
      <c r="LAI1" t="s">
        <v>8518</v>
      </c>
      <c r="LAJ1" t="s">
        <v>8519</v>
      </c>
      <c r="LAK1" t="s">
        <v>8520</v>
      </c>
      <c r="LAL1" t="s">
        <v>8521</v>
      </c>
      <c r="LAM1" t="s">
        <v>8522</v>
      </c>
      <c r="LAN1" t="s">
        <v>8523</v>
      </c>
      <c r="LAO1" t="s">
        <v>8524</v>
      </c>
      <c r="LAP1" t="s">
        <v>8525</v>
      </c>
      <c r="LAQ1" t="s">
        <v>8526</v>
      </c>
      <c r="LAR1" t="s">
        <v>8527</v>
      </c>
      <c r="LAS1" t="s">
        <v>8528</v>
      </c>
      <c r="LAT1" t="s">
        <v>8529</v>
      </c>
      <c r="LAU1" t="s">
        <v>8530</v>
      </c>
      <c r="LAV1" t="s">
        <v>8531</v>
      </c>
      <c r="LAW1" t="s">
        <v>8532</v>
      </c>
      <c r="LAX1" t="s">
        <v>8533</v>
      </c>
      <c r="LAY1" t="s">
        <v>8534</v>
      </c>
      <c r="LAZ1" t="s">
        <v>8535</v>
      </c>
      <c r="LBA1" t="s">
        <v>8536</v>
      </c>
      <c r="LBB1" t="s">
        <v>8537</v>
      </c>
      <c r="LBC1" t="s">
        <v>8538</v>
      </c>
      <c r="LBD1" t="s">
        <v>8539</v>
      </c>
      <c r="LBE1" t="s">
        <v>8540</v>
      </c>
      <c r="LBF1" t="s">
        <v>8541</v>
      </c>
      <c r="LBG1" t="s">
        <v>8542</v>
      </c>
      <c r="LBH1" t="s">
        <v>8543</v>
      </c>
      <c r="LBI1" t="s">
        <v>8544</v>
      </c>
      <c r="LBJ1" t="s">
        <v>8545</v>
      </c>
      <c r="LBK1" t="s">
        <v>8546</v>
      </c>
      <c r="LBL1" t="s">
        <v>8547</v>
      </c>
      <c r="LBM1" t="s">
        <v>8548</v>
      </c>
      <c r="LBN1" t="s">
        <v>8549</v>
      </c>
      <c r="LBO1" t="s">
        <v>8550</v>
      </c>
      <c r="LBP1" t="s">
        <v>8551</v>
      </c>
      <c r="LBQ1" t="s">
        <v>8552</v>
      </c>
      <c r="LBR1" t="s">
        <v>8553</v>
      </c>
      <c r="LBS1" t="s">
        <v>8554</v>
      </c>
      <c r="LBT1" t="s">
        <v>8555</v>
      </c>
      <c r="LBU1" t="s">
        <v>8556</v>
      </c>
      <c r="LBV1" t="s">
        <v>8557</v>
      </c>
      <c r="LBW1" t="s">
        <v>8558</v>
      </c>
      <c r="LBX1" t="s">
        <v>8559</v>
      </c>
      <c r="LBY1" t="s">
        <v>8560</v>
      </c>
      <c r="LBZ1" t="s">
        <v>8561</v>
      </c>
      <c r="LCA1" t="s">
        <v>8562</v>
      </c>
      <c r="LCB1" t="s">
        <v>8563</v>
      </c>
      <c r="LCC1" t="s">
        <v>8564</v>
      </c>
      <c r="LCD1" t="s">
        <v>8565</v>
      </c>
      <c r="LCE1" t="s">
        <v>8566</v>
      </c>
      <c r="LCF1" t="s">
        <v>8567</v>
      </c>
      <c r="LCG1" t="s">
        <v>8568</v>
      </c>
      <c r="LCH1" t="s">
        <v>8569</v>
      </c>
      <c r="LCI1" t="s">
        <v>8570</v>
      </c>
      <c r="LCJ1" t="s">
        <v>8571</v>
      </c>
      <c r="LCK1" t="s">
        <v>8572</v>
      </c>
      <c r="LCL1" t="s">
        <v>8573</v>
      </c>
      <c r="LCM1" t="s">
        <v>8574</v>
      </c>
      <c r="LCN1" t="s">
        <v>8575</v>
      </c>
      <c r="LCO1" t="s">
        <v>8576</v>
      </c>
      <c r="LCP1" t="s">
        <v>8577</v>
      </c>
      <c r="LCQ1" t="s">
        <v>8578</v>
      </c>
      <c r="LCR1" t="s">
        <v>8579</v>
      </c>
      <c r="LCS1" t="s">
        <v>8580</v>
      </c>
      <c r="LCT1" t="s">
        <v>8581</v>
      </c>
      <c r="LCU1" t="s">
        <v>8582</v>
      </c>
      <c r="LCV1" t="s">
        <v>8583</v>
      </c>
      <c r="LCW1" t="s">
        <v>8584</v>
      </c>
      <c r="LCX1" t="s">
        <v>8585</v>
      </c>
      <c r="LCY1" t="s">
        <v>8586</v>
      </c>
      <c r="LCZ1" t="s">
        <v>8587</v>
      </c>
      <c r="LDA1" t="s">
        <v>8588</v>
      </c>
      <c r="LDB1" t="s">
        <v>8589</v>
      </c>
      <c r="LDC1" t="s">
        <v>8590</v>
      </c>
      <c r="LDD1" t="s">
        <v>8591</v>
      </c>
      <c r="LDE1" t="s">
        <v>8592</v>
      </c>
      <c r="LDF1" t="s">
        <v>8593</v>
      </c>
      <c r="LDG1" t="s">
        <v>8594</v>
      </c>
      <c r="LDH1" t="s">
        <v>8595</v>
      </c>
      <c r="LDI1" t="s">
        <v>8596</v>
      </c>
      <c r="LDJ1" t="s">
        <v>8597</v>
      </c>
      <c r="LDK1" t="s">
        <v>8598</v>
      </c>
      <c r="LDL1" t="s">
        <v>8599</v>
      </c>
      <c r="LDM1" t="s">
        <v>8600</v>
      </c>
      <c r="LDN1" t="s">
        <v>8601</v>
      </c>
      <c r="LDO1" t="s">
        <v>8602</v>
      </c>
      <c r="LDP1" t="s">
        <v>8603</v>
      </c>
      <c r="LDQ1" t="s">
        <v>8604</v>
      </c>
      <c r="LDR1" t="s">
        <v>8605</v>
      </c>
      <c r="LDS1" t="s">
        <v>8606</v>
      </c>
      <c r="LDT1" t="s">
        <v>8607</v>
      </c>
      <c r="LDU1" t="s">
        <v>8608</v>
      </c>
      <c r="LDV1" t="s">
        <v>8609</v>
      </c>
      <c r="LDW1" t="s">
        <v>8610</v>
      </c>
      <c r="LDX1" t="s">
        <v>8611</v>
      </c>
      <c r="LDY1" t="s">
        <v>8612</v>
      </c>
      <c r="LDZ1" t="s">
        <v>8613</v>
      </c>
      <c r="LEA1" t="s">
        <v>8614</v>
      </c>
      <c r="LEB1" t="s">
        <v>8615</v>
      </c>
      <c r="LEC1" t="s">
        <v>8616</v>
      </c>
      <c r="LED1" t="s">
        <v>8617</v>
      </c>
      <c r="LEE1" t="s">
        <v>8618</v>
      </c>
      <c r="LEF1" t="s">
        <v>8619</v>
      </c>
      <c r="LEG1" t="s">
        <v>8620</v>
      </c>
      <c r="LEH1" t="s">
        <v>8621</v>
      </c>
      <c r="LEI1" t="s">
        <v>8622</v>
      </c>
      <c r="LEJ1" t="s">
        <v>8623</v>
      </c>
      <c r="LEK1" t="s">
        <v>8624</v>
      </c>
      <c r="LEL1" t="s">
        <v>8625</v>
      </c>
      <c r="LEM1" t="s">
        <v>8626</v>
      </c>
      <c r="LEN1" t="s">
        <v>8627</v>
      </c>
      <c r="LEO1" t="s">
        <v>8628</v>
      </c>
      <c r="LEP1" t="s">
        <v>8629</v>
      </c>
      <c r="LEQ1" t="s">
        <v>8630</v>
      </c>
      <c r="LER1" t="s">
        <v>8631</v>
      </c>
      <c r="LES1" t="s">
        <v>8632</v>
      </c>
      <c r="LET1" t="s">
        <v>8633</v>
      </c>
      <c r="LEU1" t="s">
        <v>8634</v>
      </c>
      <c r="LEV1" t="s">
        <v>8635</v>
      </c>
      <c r="LEW1" t="s">
        <v>8636</v>
      </c>
      <c r="LEX1" t="s">
        <v>8637</v>
      </c>
      <c r="LEY1" t="s">
        <v>8638</v>
      </c>
      <c r="LEZ1" t="s">
        <v>8639</v>
      </c>
      <c r="LFA1" t="s">
        <v>8640</v>
      </c>
      <c r="LFB1" t="s">
        <v>8641</v>
      </c>
      <c r="LFC1" t="s">
        <v>8642</v>
      </c>
      <c r="LFD1" t="s">
        <v>8643</v>
      </c>
      <c r="LFE1" t="s">
        <v>8644</v>
      </c>
      <c r="LFF1" t="s">
        <v>8645</v>
      </c>
      <c r="LFG1" t="s">
        <v>8646</v>
      </c>
      <c r="LFH1" t="s">
        <v>8647</v>
      </c>
      <c r="LFI1" t="s">
        <v>8648</v>
      </c>
      <c r="LFJ1" t="s">
        <v>8649</v>
      </c>
      <c r="LFK1" t="s">
        <v>8650</v>
      </c>
      <c r="LFL1" t="s">
        <v>8651</v>
      </c>
      <c r="LFM1" t="s">
        <v>8652</v>
      </c>
      <c r="LFN1" t="s">
        <v>8653</v>
      </c>
      <c r="LFO1" t="s">
        <v>8654</v>
      </c>
      <c r="LFP1" t="s">
        <v>8655</v>
      </c>
      <c r="LFQ1" t="s">
        <v>8656</v>
      </c>
      <c r="LFR1" t="s">
        <v>8657</v>
      </c>
      <c r="LFS1" t="s">
        <v>8658</v>
      </c>
      <c r="LFT1" t="s">
        <v>8659</v>
      </c>
      <c r="LFU1" t="s">
        <v>8660</v>
      </c>
      <c r="LFV1" t="s">
        <v>8661</v>
      </c>
      <c r="LFW1" t="s">
        <v>8662</v>
      </c>
      <c r="LFX1" t="s">
        <v>8663</v>
      </c>
      <c r="LFY1" t="s">
        <v>8664</v>
      </c>
      <c r="LFZ1" t="s">
        <v>8665</v>
      </c>
      <c r="LGA1" t="s">
        <v>8666</v>
      </c>
      <c r="LGB1" t="s">
        <v>8667</v>
      </c>
      <c r="LGC1" t="s">
        <v>8668</v>
      </c>
      <c r="LGD1" t="s">
        <v>8669</v>
      </c>
      <c r="LGE1" t="s">
        <v>8670</v>
      </c>
      <c r="LGF1" t="s">
        <v>8671</v>
      </c>
      <c r="LGG1" t="s">
        <v>8672</v>
      </c>
      <c r="LGH1" t="s">
        <v>8673</v>
      </c>
      <c r="LGI1" t="s">
        <v>8674</v>
      </c>
      <c r="LGJ1" t="s">
        <v>8675</v>
      </c>
      <c r="LGK1" t="s">
        <v>8676</v>
      </c>
      <c r="LGL1" t="s">
        <v>8677</v>
      </c>
      <c r="LGM1" t="s">
        <v>8678</v>
      </c>
      <c r="LGN1" t="s">
        <v>8679</v>
      </c>
      <c r="LGO1" t="s">
        <v>8680</v>
      </c>
      <c r="LGP1" t="s">
        <v>8681</v>
      </c>
      <c r="LGQ1" t="s">
        <v>8682</v>
      </c>
      <c r="LGR1" t="s">
        <v>8683</v>
      </c>
      <c r="LGS1" t="s">
        <v>8684</v>
      </c>
      <c r="LGT1" t="s">
        <v>8685</v>
      </c>
      <c r="LGU1" t="s">
        <v>8686</v>
      </c>
      <c r="LGV1" t="s">
        <v>8687</v>
      </c>
      <c r="LGW1" t="s">
        <v>8688</v>
      </c>
      <c r="LGX1" t="s">
        <v>8689</v>
      </c>
      <c r="LGY1" t="s">
        <v>8690</v>
      </c>
      <c r="LGZ1" t="s">
        <v>8691</v>
      </c>
      <c r="LHA1" t="s">
        <v>8692</v>
      </c>
      <c r="LHB1" t="s">
        <v>8693</v>
      </c>
      <c r="LHC1" t="s">
        <v>8694</v>
      </c>
      <c r="LHD1" t="s">
        <v>8695</v>
      </c>
      <c r="LHE1" t="s">
        <v>8696</v>
      </c>
      <c r="LHF1" t="s">
        <v>8697</v>
      </c>
      <c r="LHG1" t="s">
        <v>8698</v>
      </c>
      <c r="LHH1" t="s">
        <v>8699</v>
      </c>
      <c r="LHI1" t="s">
        <v>8700</v>
      </c>
      <c r="LHJ1" t="s">
        <v>8701</v>
      </c>
      <c r="LHK1" t="s">
        <v>8702</v>
      </c>
      <c r="LHL1" t="s">
        <v>8703</v>
      </c>
      <c r="LHM1" t="s">
        <v>8704</v>
      </c>
      <c r="LHN1" t="s">
        <v>8705</v>
      </c>
      <c r="LHO1" t="s">
        <v>8706</v>
      </c>
      <c r="LHP1" t="s">
        <v>8707</v>
      </c>
      <c r="LHQ1" t="s">
        <v>8708</v>
      </c>
      <c r="LHR1" t="s">
        <v>8709</v>
      </c>
      <c r="LHS1" t="s">
        <v>8710</v>
      </c>
      <c r="LHT1" t="s">
        <v>8711</v>
      </c>
      <c r="LHU1" t="s">
        <v>8712</v>
      </c>
      <c r="LHV1" t="s">
        <v>8713</v>
      </c>
      <c r="LHW1" t="s">
        <v>8714</v>
      </c>
      <c r="LHX1" t="s">
        <v>8715</v>
      </c>
      <c r="LHY1" t="s">
        <v>8716</v>
      </c>
      <c r="LHZ1" t="s">
        <v>8717</v>
      </c>
      <c r="LIA1" t="s">
        <v>8718</v>
      </c>
      <c r="LIB1" t="s">
        <v>8719</v>
      </c>
      <c r="LIC1" t="s">
        <v>8720</v>
      </c>
      <c r="LID1" t="s">
        <v>8721</v>
      </c>
      <c r="LIE1" t="s">
        <v>8722</v>
      </c>
      <c r="LIF1" t="s">
        <v>8723</v>
      </c>
      <c r="LIG1" t="s">
        <v>8724</v>
      </c>
      <c r="LIH1" t="s">
        <v>8725</v>
      </c>
      <c r="LII1" t="s">
        <v>8726</v>
      </c>
      <c r="LIJ1" t="s">
        <v>8727</v>
      </c>
      <c r="LIK1" t="s">
        <v>8728</v>
      </c>
      <c r="LIL1" t="s">
        <v>8729</v>
      </c>
      <c r="LIM1" t="s">
        <v>8730</v>
      </c>
      <c r="LIN1" t="s">
        <v>8731</v>
      </c>
      <c r="LIO1" t="s">
        <v>8732</v>
      </c>
      <c r="LIP1" t="s">
        <v>8733</v>
      </c>
      <c r="LIQ1" t="s">
        <v>8734</v>
      </c>
      <c r="LIR1" t="s">
        <v>8735</v>
      </c>
      <c r="LIS1" t="s">
        <v>8736</v>
      </c>
      <c r="LIT1" t="s">
        <v>8737</v>
      </c>
      <c r="LIU1" t="s">
        <v>8738</v>
      </c>
      <c r="LIV1" t="s">
        <v>8739</v>
      </c>
      <c r="LIW1" t="s">
        <v>8740</v>
      </c>
      <c r="LIX1" t="s">
        <v>8741</v>
      </c>
      <c r="LIY1" t="s">
        <v>8742</v>
      </c>
      <c r="LIZ1" t="s">
        <v>8743</v>
      </c>
      <c r="LJA1" t="s">
        <v>8744</v>
      </c>
      <c r="LJB1" t="s">
        <v>8745</v>
      </c>
      <c r="LJC1" t="s">
        <v>8746</v>
      </c>
      <c r="LJD1" t="s">
        <v>8747</v>
      </c>
      <c r="LJE1" t="s">
        <v>8748</v>
      </c>
      <c r="LJF1" t="s">
        <v>8749</v>
      </c>
      <c r="LJG1" t="s">
        <v>8750</v>
      </c>
      <c r="LJH1" t="s">
        <v>8751</v>
      </c>
      <c r="LJI1" t="s">
        <v>8752</v>
      </c>
      <c r="LJJ1" t="s">
        <v>8753</v>
      </c>
      <c r="LJK1" t="s">
        <v>8754</v>
      </c>
      <c r="LJL1" t="s">
        <v>8755</v>
      </c>
      <c r="LJM1" t="s">
        <v>8756</v>
      </c>
      <c r="LJN1" t="s">
        <v>8757</v>
      </c>
      <c r="LJO1" t="s">
        <v>8758</v>
      </c>
      <c r="LJP1" t="s">
        <v>8759</v>
      </c>
      <c r="LJQ1" t="s">
        <v>8760</v>
      </c>
      <c r="LJR1" t="s">
        <v>8761</v>
      </c>
      <c r="LJS1" t="s">
        <v>8762</v>
      </c>
      <c r="LJT1" t="s">
        <v>8763</v>
      </c>
      <c r="LJU1" t="s">
        <v>8764</v>
      </c>
      <c r="LJV1" t="s">
        <v>8765</v>
      </c>
      <c r="LJW1" t="s">
        <v>8766</v>
      </c>
      <c r="LJX1" t="s">
        <v>8767</v>
      </c>
      <c r="LJY1" t="s">
        <v>8768</v>
      </c>
      <c r="LJZ1" t="s">
        <v>8769</v>
      </c>
      <c r="LKA1" t="s">
        <v>8770</v>
      </c>
      <c r="LKB1" t="s">
        <v>8771</v>
      </c>
      <c r="LKC1" t="s">
        <v>8772</v>
      </c>
      <c r="LKD1" t="s">
        <v>8773</v>
      </c>
      <c r="LKE1" t="s">
        <v>8774</v>
      </c>
      <c r="LKF1" t="s">
        <v>8775</v>
      </c>
      <c r="LKG1" t="s">
        <v>8776</v>
      </c>
      <c r="LKH1" t="s">
        <v>8777</v>
      </c>
      <c r="LKI1" t="s">
        <v>8778</v>
      </c>
      <c r="LKJ1" t="s">
        <v>8779</v>
      </c>
      <c r="LKK1" t="s">
        <v>8780</v>
      </c>
      <c r="LKL1" t="s">
        <v>8781</v>
      </c>
      <c r="LKM1" t="s">
        <v>8782</v>
      </c>
      <c r="LKN1" t="s">
        <v>8783</v>
      </c>
      <c r="LKO1" t="s">
        <v>8784</v>
      </c>
      <c r="LKP1" t="s">
        <v>8785</v>
      </c>
      <c r="LKQ1" t="s">
        <v>8786</v>
      </c>
      <c r="LKR1" t="s">
        <v>8787</v>
      </c>
      <c r="LKS1" t="s">
        <v>8788</v>
      </c>
      <c r="LKT1" t="s">
        <v>8789</v>
      </c>
      <c r="LKU1" t="s">
        <v>8790</v>
      </c>
      <c r="LKV1" t="s">
        <v>8791</v>
      </c>
      <c r="LKW1" t="s">
        <v>8792</v>
      </c>
      <c r="LKX1" t="s">
        <v>8793</v>
      </c>
      <c r="LKY1" t="s">
        <v>8794</v>
      </c>
      <c r="LKZ1" t="s">
        <v>8795</v>
      </c>
      <c r="LLA1" t="s">
        <v>8796</v>
      </c>
      <c r="LLB1" t="s">
        <v>8797</v>
      </c>
      <c r="LLC1" t="s">
        <v>8798</v>
      </c>
      <c r="LLD1" t="s">
        <v>8799</v>
      </c>
      <c r="LLE1" t="s">
        <v>8800</v>
      </c>
      <c r="LLF1" t="s">
        <v>8801</v>
      </c>
      <c r="LLG1" t="s">
        <v>8802</v>
      </c>
      <c r="LLH1" t="s">
        <v>8803</v>
      </c>
      <c r="LLI1" t="s">
        <v>8804</v>
      </c>
      <c r="LLJ1" t="s">
        <v>8805</v>
      </c>
      <c r="LLK1" t="s">
        <v>8806</v>
      </c>
      <c r="LLL1" t="s">
        <v>8807</v>
      </c>
      <c r="LLM1" t="s">
        <v>8808</v>
      </c>
      <c r="LLN1" t="s">
        <v>8809</v>
      </c>
      <c r="LLO1" t="s">
        <v>8810</v>
      </c>
      <c r="LLP1" t="s">
        <v>8811</v>
      </c>
      <c r="LLQ1" t="s">
        <v>8812</v>
      </c>
      <c r="LLR1" t="s">
        <v>8813</v>
      </c>
      <c r="LLS1" t="s">
        <v>8814</v>
      </c>
      <c r="LLT1" t="s">
        <v>8815</v>
      </c>
      <c r="LLU1" t="s">
        <v>8816</v>
      </c>
      <c r="LLV1" t="s">
        <v>8817</v>
      </c>
      <c r="LLW1" t="s">
        <v>8818</v>
      </c>
      <c r="LLX1" t="s">
        <v>8819</v>
      </c>
      <c r="LLY1" t="s">
        <v>8820</v>
      </c>
      <c r="LLZ1" t="s">
        <v>8821</v>
      </c>
      <c r="LMA1" t="s">
        <v>8822</v>
      </c>
      <c r="LMB1" t="s">
        <v>8823</v>
      </c>
      <c r="LMC1" t="s">
        <v>8824</v>
      </c>
      <c r="LMD1" t="s">
        <v>8825</v>
      </c>
      <c r="LME1" t="s">
        <v>8826</v>
      </c>
      <c r="LMF1" t="s">
        <v>8827</v>
      </c>
      <c r="LMG1" t="s">
        <v>8828</v>
      </c>
      <c r="LMH1" t="s">
        <v>8829</v>
      </c>
      <c r="LMI1" t="s">
        <v>8830</v>
      </c>
      <c r="LMJ1" t="s">
        <v>8831</v>
      </c>
      <c r="LMK1" t="s">
        <v>8832</v>
      </c>
      <c r="LML1" t="s">
        <v>8833</v>
      </c>
      <c r="LMM1" t="s">
        <v>8834</v>
      </c>
      <c r="LMN1" t="s">
        <v>8835</v>
      </c>
      <c r="LMO1" t="s">
        <v>8836</v>
      </c>
      <c r="LMP1" t="s">
        <v>8837</v>
      </c>
      <c r="LMQ1" t="s">
        <v>8838</v>
      </c>
      <c r="LMR1" t="s">
        <v>8839</v>
      </c>
      <c r="LMS1" t="s">
        <v>8840</v>
      </c>
      <c r="LMT1" t="s">
        <v>8841</v>
      </c>
      <c r="LMU1" t="s">
        <v>8842</v>
      </c>
      <c r="LMV1" t="s">
        <v>8843</v>
      </c>
      <c r="LMW1" t="s">
        <v>8844</v>
      </c>
      <c r="LMX1" t="s">
        <v>8845</v>
      </c>
      <c r="LMY1" t="s">
        <v>8846</v>
      </c>
      <c r="LMZ1" t="s">
        <v>8847</v>
      </c>
      <c r="LNA1" t="s">
        <v>8848</v>
      </c>
      <c r="LNB1" t="s">
        <v>8849</v>
      </c>
      <c r="LNC1" t="s">
        <v>8850</v>
      </c>
      <c r="LND1" t="s">
        <v>8851</v>
      </c>
      <c r="LNE1" t="s">
        <v>8852</v>
      </c>
      <c r="LNF1" t="s">
        <v>8853</v>
      </c>
      <c r="LNG1" t="s">
        <v>8854</v>
      </c>
      <c r="LNH1" t="s">
        <v>8855</v>
      </c>
      <c r="LNI1" t="s">
        <v>8856</v>
      </c>
      <c r="LNJ1" t="s">
        <v>8857</v>
      </c>
      <c r="LNK1" t="s">
        <v>8858</v>
      </c>
      <c r="LNL1" t="s">
        <v>8859</v>
      </c>
      <c r="LNM1" t="s">
        <v>8860</v>
      </c>
      <c r="LNN1" t="s">
        <v>8861</v>
      </c>
      <c r="LNO1" t="s">
        <v>8862</v>
      </c>
      <c r="LNP1" t="s">
        <v>8863</v>
      </c>
      <c r="LNQ1" t="s">
        <v>8864</v>
      </c>
      <c r="LNR1" t="s">
        <v>8865</v>
      </c>
      <c r="LNS1" t="s">
        <v>8866</v>
      </c>
      <c r="LNT1" t="s">
        <v>8867</v>
      </c>
      <c r="LNU1" t="s">
        <v>8868</v>
      </c>
      <c r="LNV1" t="s">
        <v>8869</v>
      </c>
      <c r="LNW1" t="s">
        <v>8870</v>
      </c>
      <c r="LNX1" t="s">
        <v>8871</v>
      </c>
      <c r="LNY1" t="s">
        <v>8872</v>
      </c>
      <c r="LNZ1" t="s">
        <v>8873</v>
      </c>
      <c r="LOA1" t="s">
        <v>8874</v>
      </c>
      <c r="LOB1" t="s">
        <v>8875</v>
      </c>
      <c r="LOC1" t="s">
        <v>8876</v>
      </c>
      <c r="LOD1" t="s">
        <v>8877</v>
      </c>
      <c r="LOE1" t="s">
        <v>8878</v>
      </c>
      <c r="LOF1" t="s">
        <v>8879</v>
      </c>
      <c r="LOG1" t="s">
        <v>8880</v>
      </c>
      <c r="LOH1" t="s">
        <v>8881</v>
      </c>
      <c r="LOI1" t="s">
        <v>8882</v>
      </c>
      <c r="LOJ1" t="s">
        <v>8883</v>
      </c>
      <c r="LOK1" t="s">
        <v>8884</v>
      </c>
      <c r="LOL1" t="s">
        <v>8885</v>
      </c>
      <c r="LOM1" t="s">
        <v>8886</v>
      </c>
      <c r="LON1" t="s">
        <v>8887</v>
      </c>
      <c r="LOO1" t="s">
        <v>8888</v>
      </c>
      <c r="LOP1" t="s">
        <v>8889</v>
      </c>
      <c r="LOQ1" t="s">
        <v>8890</v>
      </c>
      <c r="LOR1" t="s">
        <v>8891</v>
      </c>
      <c r="LOS1" t="s">
        <v>8892</v>
      </c>
      <c r="LOT1" t="s">
        <v>8893</v>
      </c>
      <c r="LOU1" t="s">
        <v>8894</v>
      </c>
      <c r="LOV1" t="s">
        <v>8895</v>
      </c>
      <c r="LOW1" t="s">
        <v>8896</v>
      </c>
      <c r="LOX1" t="s">
        <v>8897</v>
      </c>
      <c r="LOY1" t="s">
        <v>8898</v>
      </c>
      <c r="LOZ1" t="s">
        <v>8899</v>
      </c>
      <c r="LPA1" t="s">
        <v>8900</v>
      </c>
      <c r="LPB1" t="s">
        <v>8901</v>
      </c>
      <c r="LPC1" t="s">
        <v>8902</v>
      </c>
      <c r="LPD1" t="s">
        <v>8903</v>
      </c>
      <c r="LPE1" t="s">
        <v>8904</v>
      </c>
      <c r="LPF1" t="s">
        <v>8905</v>
      </c>
      <c r="LPG1" t="s">
        <v>8906</v>
      </c>
      <c r="LPH1" t="s">
        <v>8907</v>
      </c>
      <c r="LPI1" t="s">
        <v>8908</v>
      </c>
      <c r="LPJ1" t="s">
        <v>8909</v>
      </c>
      <c r="LPK1" t="s">
        <v>8910</v>
      </c>
      <c r="LPL1" t="s">
        <v>8911</v>
      </c>
      <c r="LPM1" t="s">
        <v>8912</v>
      </c>
      <c r="LPN1" t="s">
        <v>8913</v>
      </c>
      <c r="LPO1" t="s">
        <v>8914</v>
      </c>
      <c r="LPP1" t="s">
        <v>8915</v>
      </c>
      <c r="LPQ1" t="s">
        <v>8916</v>
      </c>
      <c r="LPR1" t="s">
        <v>8917</v>
      </c>
      <c r="LPS1" t="s">
        <v>8918</v>
      </c>
      <c r="LPT1" t="s">
        <v>8919</v>
      </c>
      <c r="LPU1" t="s">
        <v>8920</v>
      </c>
      <c r="LPV1" t="s">
        <v>8921</v>
      </c>
      <c r="LPW1" t="s">
        <v>8922</v>
      </c>
      <c r="LPX1" t="s">
        <v>8923</v>
      </c>
      <c r="LPY1" t="s">
        <v>8924</v>
      </c>
      <c r="LPZ1" t="s">
        <v>8925</v>
      </c>
      <c r="LQA1" t="s">
        <v>8926</v>
      </c>
      <c r="LQB1" t="s">
        <v>8927</v>
      </c>
      <c r="LQC1" t="s">
        <v>8928</v>
      </c>
      <c r="LQD1" t="s">
        <v>8929</v>
      </c>
      <c r="LQE1" t="s">
        <v>8930</v>
      </c>
      <c r="LQF1" t="s">
        <v>8931</v>
      </c>
      <c r="LQG1" t="s">
        <v>8932</v>
      </c>
      <c r="LQH1" t="s">
        <v>8933</v>
      </c>
      <c r="LQI1" t="s">
        <v>8934</v>
      </c>
      <c r="LQJ1" t="s">
        <v>8935</v>
      </c>
      <c r="LQK1" t="s">
        <v>8936</v>
      </c>
      <c r="LQL1" t="s">
        <v>8937</v>
      </c>
      <c r="LQM1" t="s">
        <v>8938</v>
      </c>
      <c r="LQN1" t="s">
        <v>8939</v>
      </c>
      <c r="LQO1" t="s">
        <v>8940</v>
      </c>
      <c r="LQP1" t="s">
        <v>8941</v>
      </c>
      <c r="LQQ1" t="s">
        <v>8942</v>
      </c>
      <c r="LQR1" t="s">
        <v>8943</v>
      </c>
      <c r="LQS1" t="s">
        <v>8944</v>
      </c>
      <c r="LQT1" t="s">
        <v>8945</v>
      </c>
      <c r="LQU1" t="s">
        <v>8946</v>
      </c>
      <c r="LQV1" t="s">
        <v>8947</v>
      </c>
      <c r="LQW1" t="s">
        <v>8948</v>
      </c>
      <c r="LQX1" t="s">
        <v>8949</v>
      </c>
      <c r="LQY1" t="s">
        <v>8950</v>
      </c>
      <c r="LQZ1" t="s">
        <v>8951</v>
      </c>
      <c r="LRA1" t="s">
        <v>8952</v>
      </c>
      <c r="LRB1" t="s">
        <v>8953</v>
      </c>
      <c r="LRC1" t="s">
        <v>8954</v>
      </c>
      <c r="LRD1" t="s">
        <v>8955</v>
      </c>
      <c r="LRE1" t="s">
        <v>8956</v>
      </c>
      <c r="LRF1" t="s">
        <v>8957</v>
      </c>
      <c r="LRG1" t="s">
        <v>8958</v>
      </c>
      <c r="LRH1" t="s">
        <v>8959</v>
      </c>
      <c r="LRI1" t="s">
        <v>8960</v>
      </c>
      <c r="LRJ1" t="s">
        <v>8961</v>
      </c>
      <c r="LRK1" t="s">
        <v>8962</v>
      </c>
      <c r="LRL1" t="s">
        <v>8963</v>
      </c>
      <c r="LRM1" t="s">
        <v>8964</v>
      </c>
      <c r="LRN1" t="s">
        <v>8965</v>
      </c>
      <c r="LRO1" t="s">
        <v>8966</v>
      </c>
      <c r="LRP1" t="s">
        <v>8967</v>
      </c>
      <c r="LRQ1" t="s">
        <v>8968</v>
      </c>
      <c r="LRR1" t="s">
        <v>8969</v>
      </c>
      <c r="LRS1" t="s">
        <v>8970</v>
      </c>
      <c r="LRT1" t="s">
        <v>8971</v>
      </c>
      <c r="LRU1" t="s">
        <v>8972</v>
      </c>
      <c r="LRV1" t="s">
        <v>8973</v>
      </c>
      <c r="LRW1" t="s">
        <v>8974</v>
      </c>
      <c r="LRX1" t="s">
        <v>8975</v>
      </c>
      <c r="LRY1" t="s">
        <v>8976</v>
      </c>
      <c r="LRZ1" t="s">
        <v>8977</v>
      </c>
      <c r="LSA1" t="s">
        <v>8978</v>
      </c>
      <c r="LSB1" t="s">
        <v>8979</v>
      </c>
      <c r="LSC1" t="s">
        <v>8980</v>
      </c>
      <c r="LSD1" t="s">
        <v>8981</v>
      </c>
      <c r="LSE1" t="s">
        <v>8982</v>
      </c>
      <c r="LSF1" t="s">
        <v>8983</v>
      </c>
      <c r="LSG1" t="s">
        <v>8984</v>
      </c>
      <c r="LSH1" t="s">
        <v>8985</v>
      </c>
      <c r="LSI1" t="s">
        <v>8986</v>
      </c>
      <c r="LSJ1" t="s">
        <v>8987</v>
      </c>
      <c r="LSK1" t="s">
        <v>8988</v>
      </c>
      <c r="LSL1" t="s">
        <v>8989</v>
      </c>
      <c r="LSM1" t="s">
        <v>8990</v>
      </c>
      <c r="LSN1" t="s">
        <v>8991</v>
      </c>
      <c r="LSO1" t="s">
        <v>8992</v>
      </c>
      <c r="LSP1" t="s">
        <v>8993</v>
      </c>
      <c r="LSQ1" t="s">
        <v>8994</v>
      </c>
      <c r="LSR1" t="s">
        <v>8995</v>
      </c>
      <c r="LSS1" t="s">
        <v>8996</v>
      </c>
      <c r="LST1" t="s">
        <v>8997</v>
      </c>
      <c r="LSU1" t="s">
        <v>8998</v>
      </c>
      <c r="LSV1" t="s">
        <v>8999</v>
      </c>
      <c r="LSW1" t="s">
        <v>9000</v>
      </c>
      <c r="LSX1" t="s">
        <v>9001</v>
      </c>
      <c r="LSY1" t="s">
        <v>9002</v>
      </c>
      <c r="LSZ1" t="s">
        <v>9003</v>
      </c>
      <c r="LTA1" t="s">
        <v>9004</v>
      </c>
      <c r="LTB1" t="s">
        <v>9005</v>
      </c>
      <c r="LTC1" t="s">
        <v>9006</v>
      </c>
      <c r="LTD1" t="s">
        <v>9007</v>
      </c>
      <c r="LTE1" t="s">
        <v>9008</v>
      </c>
      <c r="LTF1" t="s">
        <v>9009</v>
      </c>
      <c r="LTG1" t="s">
        <v>9010</v>
      </c>
      <c r="LTH1" t="s">
        <v>9011</v>
      </c>
      <c r="LTI1" t="s">
        <v>9012</v>
      </c>
      <c r="LTJ1" t="s">
        <v>9013</v>
      </c>
      <c r="LTK1" t="s">
        <v>9014</v>
      </c>
      <c r="LTL1" t="s">
        <v>9015</v>
      </c>
      <c r="LTM1" t="s">
        <v>9016</v>
      </c>
      <c r="LTN1" t="s">
        <v>9017</v>
      </c>
      <c r="LTO1" t="s">
        <v>9018</v>
      </c>
      <c r="LTP1" t="s">
        <v>9019</v>
      </c>
      <c r="LTQ1" t="s">
        <v>9020</v>
      </c>
      <c r="LTR1" t="s">
        <v>9021</v>
      </c>
      <c r="LTS1" t="s">
        <v>9022</v>
      </c>
      <c r="LTT1" t="s">
        <v>9023</v>
      </c>
      <c r="LTU1" t="s">
        <v>9024</v>
      </c>
      <c r="LTV1" t="s">
        <v>9025</v>
      </c>
      <c r="LTW1" t="s">
        <v>9026</v>
      </c>
      <c r="LTX1" t="s">
        <v>9027</v>
      </c>
      <c r="LTY1" t="s">
        <v>9028</v>
      </c>
      <c r="LTZ1" t="s">
        <v>9029</v>
      </c>
      <c r="LUA1" t="s">
        <v>9030</v>
      </c>
      <c r="LUB1" t="s">
        <v>9031</v>
      </c>
      <c r="LUC1" t="s">
        <v>9032</v>
      </c>
      <c r="LUD1" t="s">
        <v>9033</v>
      </c>
      <c r="LUE1" t="s">
        <v>9034</v>
      </c>
      <c r="LUF1" t="s">
        <v>9035</v>
      </c>
      <c r="LUG1" t="s">
        <v>9036</v>
      </c>
      <c r="LUH1" t="s">
        <v>9037</v>
      </c>
      <c r="LUI1" t="s">
        <v>9038</v>
      </c>
      <c r="LUJ1" t="s">
        <v>9039</v>
      </c>
      <c r="LUK1" t="s">
        <v>9040</v>
      </c>
      <c r="LUL1" t="s">
        <v>9041</v>
      </c>
      <c r="LUM1" t="s">
        <v>9042</v>
      </c>
      <c r="LUN1" t="s">
        <v>9043</v>
      </c>
      <c r="LUO1" t="s">
        <v>9044</v>
      </c>
      <c r="LUP1" t="s">
        <v>9045</v>
      </c>
      <c r="LUQ1" t="s">
        <v>9046</v>
      </c>
      <c r="LUR1" t="s">
        <v>9047</v>
      </c>
      <c r="LUS1" t="s">
        <v>9048</v>
      </c>
      <c r="LUT1" t="s">
        <v>9049</v>
      </c>
      <c r="LUU1" t="s">
        <v>9050</v>
      </c>
      <c r="LUV1" t="s">
        <v>9051</v>
      </c>
      <c r="LUW1" t="s">
        <v>9052</v>
      </c>
      <c r="LUX1" t="s">
        <v>9053</v>
      </c>
      <c r="LUY1" t="s">
        <v>9054</v>
      </c>
      <c r="LUZ1" t="s">
        <v>9055</v>
      </c>
      <c r="LVA1" t="s">
        <v>9056</v>
      </c>
      <c r="LVB1" t="s">
        <v>9057</v>
      </c>
      <c r="LVC1" t="s">
        <v>9058</v>
      </c>
      <c r="LVD1" t="s">
        <v>9059</v>
      </c>
      <c r="LVE1" t="s">
        <v>9060</v>
      </c>
      <c r="LVF1" t="s">
        <v>9061</v>
      </c>
      <c r="LVG1" t="s">
        <v>9062</v>
      </c>
      <c r="LVH1" t="s">
        <v>9063</v>
      </c>
      <c r="LVI1" t="s">
        <v>9064</v>
      </c>
      <c r="LVJ1" t="s">
        <v>9065</v>
      </c>
      <c r="LVK1" t="s">
        <v>9066</v>
      </c>
      <c r="LVL1" t="s">
        <v>9067</v>
      </c>
      <c r="LVM1" t="s">
        <v>9068</v>
      </c>
      <c r="LVN1" t="s">
        <v>9069</v>
      </c>
      <c r="LVO1" t="s">
        <v>9070</v>
      </c>
      <c r="LVP1" t="s">
        <v>9071</v>
      </c>
      <c r="LVQ1" t="s">
        <v>9072</v>
      </c>
      <c r="LVR1" t="s">
        <v>9073</v>
      </c>
      <c r="LVS1" t="s">
        <v>9074</v>
      </c>
      <c r="LVT1" t="s">
        <v>9075</v>
      </c>
      <c r="LVU1" t="s">
        <v>9076</v>
      </c>
      <c r="LVV1" t="s">
        <v>9077</v>
      </c>
      <c r="LVW1" t="s">
        <v>9078</v>
      </c>
      <c r="LVX1" t="s">
        <v>9079</v>
      </c>
      <c r="LVY1" t="s">
        <v>9080</v>
      </c>
      <c r="LVZ1" t="s">
        <v>9081</v>
      </c>
      <c r="LWA1" t="s">
        <v>9082</v>
      </c>
      <c r="LWB1" t="s">
        <v>9083</v>
      </c>
      <c r="LWC1" t="s">
        <v>9084</v>
      </c>
      <c r="LWD1" t="s">
        <v>9085</v>
      </c>
      <c r="LWE1" t="s">
        <v>9086</v>
      </c>
      <c r="LWF1" t="s">
        <v>9087</v>
      </c>
      <c r="LWG1" t="s">
        <v>9088</v>
      </c>
      <c r="LWH1" t="s">
        <v>9089</v>
      </c>
      <c r="LWI1" t="s">
        <v>9090</v>
      </c>
      <c r="LWJ1" t="s">
        <v>9091</v>
      </c>
      <c r="LWK1" t="s">
        <v>9092</v>
      </c>
      <c r="LWL1" t="s">
        <v>9093</v>
      </c>
      <c r="LWM1" t="s">
        <v>9094</v>
      </c>
      <c r="LWN1" t="s">
        <v>9095</v>
      </c>
      <c r="LWO1" t="s">
        <v>9096</v>
      </c>
      <c r="LWP1" t="s">
        <v>9097</v>
      </c>
      <c r="LWQ1" t="s">
        <v>9098</v>
      </c>
      <c r="LWR1" t="s">
        <v>9099</v>
      </c>
      <c r="LWS1" t="s">
        <v>9100</v>
      </c>
      <c r="LWT1" t="s">
        <v>9101</v>
      </c>
      <c r="LWU1" t="s">
        <v>9102</v>
      </c>
      <c r="LWV1" t="s">
        <v>9103</v>
      </c>
      <c r="LWW1" t="s">
        <v>9104</v>
      </c>
      <c r="LWX1" t="s">
        <v>9105</v>
      </c>
      <c r="LWY1" t="s">
        <v>9106</v>
      </c>
      <c r="LWZ1" t="s">
        <v>9107</v>
      </c>
      <c r="LXA1" t="s">
        <v>9108</v>
      </c>
      <c r="LXB1" t="s">
        <v>9109</v>
      </c>
      <c r="LXC1" t="s">
        <v>9110</v>
      </c>
      <c r="LXD1" t="s">
        <v>9111</v>
      </c>
      <c r="LXE1" t="s">
        <v>9112</v>
      </c>
      <c r="LXF1" t="s">
        <v>9113</v>
      </c>
      <c r="LXG1" t="s">
        <v>9114</v>
      </c>
      <c r="LXH1" t="s">
        <v>9115</v>
      </c>
      <c r="LXI1" t="s">
        <v>9116</v>
      </c>
      <c r="LXJ1" t="s">
        <v>9117</v>
      </c>
      <c r="LXK1" t="s">
        <v>9118</v>
      </c>
      <c r="LXL1" t="s">
        <v>9119</v>
      </c>
      <c r="LXM1" t="s">
        <v>9120</v>
      </c>
      <c r="LXN1" t="s">
        <v>9121</v>
      </c>
      <c r="LXO1" t="s">
        <v>9122</v>
      </c>
      <c r="LXP1" t="s">
        <v>9123</v>
      </c>
      <c r="LXQ1" t="s">
        <v>9124</v>
      </c>
      <c r="LXR1" t="s">
        <v>9125</v>
      </c>
      <c r="LXS1" t="s">
        <v>9126</v>
      </c>
      <c r="LXT1" t="s">
        <v>9127</v>
      </c>
      <c r="LXU1" t="s">
        <v>9128</v>
      </c>
      <c r="LXV1" t="s">
        <v>9129</v>
      </c>
      <c r="LXW1" t="s">
        <v>9130</v>
      </c>
      <c r="LXX1" t="s">
        <v>9131</v>
      </c>
      <c r="LXY1" t="s">
        <v>9132</v>
      </c>
      <c r="LXZ1" t="s">
        <v>9133</v>
      </c>
      <c r="LYA1" t="s">
        <v>9134</v>
      </c>
      <c r="LYB1" t="s">
        <v>9135</v>
      </c>
      <c r="LYC1" t="s">
        <v>9136</v>
      </c>
      <c r="LYD1" t="s">
        <v>9137</v>
      </c>
      <c r="LYE1" t="s">
        <v>9138</v>
      </c>
      <c r="LYF1" t="s">
        <v>9139</v>
      </c>
      <c r="LYG1" t="s">
        <v>9140</v>
      </c>
      <c r="LYH1" t="s">
        <v>9141</v>
      </c>
      <c r="LYI1" t="s">
        <v>9142</v>
      </c>
      <c r="LYJ1" t="s">
        <v>9143</v>
      </c>
      <c r="LYK1" t="s">
        <v>9144</v>
      </c>
      <c r="LYL1" t="s">
        <v>9145</v>
      </c>
      <c r="LYM1" t="s">
        <v>9146</v>
      </c>
      <c r="LYN1" t="s">
        <v>9147</v>
      </c>
      <c r="LYO1" t="s">
        <v>9148</v>
      </c>
      <c r="LYP1" t="s">
        <v>9149</v>
      </c>
      <c r="LYQ1" t="s">
        <v>9150</v>
      </c>
      <c r="LYR1" t="s">
        <v>9151</v>
      </c>
      <c r="LYS1" t="s">
        <v>9152</v>
      </c>
      <c r="LYT1" t="s">
        <v>9153</v>
      </c>
      <c r="LYU1" t="s">
        <v>9154</v>
      </c>
      <c r="LYV1" t="s">
        <v>9155</v>
      </c>
      <c r="LYW1" t="s">
        <v>9156</v>
      </c>
      <c r="LYX1" t="s">
        <v>9157</v>
      </c>
      <c r="LYY1" t="s">
        <v>9158</v>
      </c>
      <c r="LYZ1" t="s">
        <v>9159</v>
      </c>
      <c r="LZA1" t="s">
        <v>9160</v>
      </c>
      <c r="LZB1" t="s">
        <v>9161</v>
      </c>
      <c r="LZC1" t="s">
        <v>9162</v>
      </c>
      <c r="LZD1" t="s">
        <v>9163</v>
      </c>
      <c r="LZE1" t="s">
        <v>9164</v>
      </c>
      <c r="LZF1" t="s">
        <v>9165</v>
      </c>
      <c r="LZG1" t="s">
        <v>9166</v>
      </c>
      <c r="LZH1" t="s">
        <v>9167</v>
      </c>
      <c r="LZI1" t="s">
        <v>9168</v>
      </c>
      <c r="LZJ1" t="s">
        <v>9169</v>
      </c>
      <c r="LZK1" t="s">
        <v>9170</v>
      </c>
      <c r="LZL1" t="s">
        <v>9171</v>
      </c>
      <c r="LZM1" t="s">
        <v>9172</v>
      </c>
      <c r="LZN1" t="s">
        <v>9173</v>
      </c>
      <c r="LZO1" t="s">
        <v>9174</v>
      </c>
      <c r="LZP1" t="s">
        <v>9175</v>
      </c>
      <c r="LZQ1" t="s">
        <v>9176</v>
      </c>
      <c r="LZR1" t="s">
        <v>9177</v>
      </c>
      <c r="LZS1" t="s">
        <v>9178</v>
      </c>
      <c r="LZT1" t="s">
        <v>9179</v>
      </c>
      <c r="LZU1" t="s">
        <v>9180</v>
      </c>
      <c r="LZV1" t="s">
        <v>9181</v>
      </c>
      <c r="LZW1" t="s">
        <v>9182</v>
      </c>
      <c r="LZX1" t="s">
        <v>9183</v>
      </c>
      <c r="LZY1" t="s">
        <v>9184</v>
      </c>
      <c r="LZZ1" t="s">
        <v>9185</v>
      </c>
      <c r="MAA1" t="s">
        <v>9186</v>
      </c>
      <c r="MAB1" t="s">
        <v>9187</v>
      </c>
      <c r="MAC1" t="s">
        <v>9188</v>
      </c>
      <c r="MAD1" t="s">
        <v>9189</v>
      </c>
      <c r="MAE1" t="s">
        <v>9190</v>
      </c>
      <c r="MAF1" t="s">
        <v>9191</v>
      </c>
      <c r="MAG1" t="s">
        <v>9192</v>
      </c>
      <c r="MAH1" t="s">
        <v>9193</v>
      </c>
      <c r="MAI1" t="s">
        <v>9194</v>
      </c>
      <c r="MAJ1" t="s">
        <v>9195</v>
      </c>
      <c r="MAK1" t="s">
        <v>9196</v>
      </c>
      <c r="MAL1" t="s">
        <v>9197</v>
      </c>
      <c r="MAM1" t="s">
        <v>9198</v>
      </c>
      <c r="MAN1" t="s">
        <v>9199</v>
      </c>
      <c r="MAO1" t="s">
        <v>9200</v>
      </c>
      <c r="MAP1" t="s">
        <v>9201</v>
      </c>
      <c r="MAQ1" t="s">
        <v>9202</v>
      </c>
      <c r="MAR1" t="s">
        <v>9203</v>
      </c>
      <c r="MAS1" t="s">
        <v>9204</v>
      </c>
      <c r="MAT1" t="s">
        <v>9205</v>
      </c>
      <c r="MAU1" t="s">
        <v>9206</v>
      </c>
      <c r="MAV1" t="s">
        <v>9207</v>
      </c>
      <c r="MAW1" t="s">
        <v>9208</v>
      </c>
      <c r="MAX1" t="s">
        <v>9209</v>
      </c>
      <c r="MAY1" t="s">
        <v>9210</v>
      </c>
      <c r="MAZ1" t="s">
        <v>9211</v>
      </c>
      <c r="MBA1" t="s">
        <v>9212</v>
      </c>
      <c r="MBB1" t="s">
        <v>9213</v>
      </c>
      <c r="MBC1" t="s">
        <v>9214</v>
      </c>
      <c r="MBD1" t="s">
        <v>9215</v>
      </c>
      <c r="MBE1" t="s">
        <v>9216</v>
      </c>
      <c r="MBF1" t="s">
        <v>9217</v>
      </c>
      <c r="MBG1" t="s">
        <v>9218</v>
      </c>
      <c r="MBH1" t="s">
        <v>9219</v>
      </c>
      <c r="MBI1" t="s">
        <v>9220</v>
      </c>
      <c r="MBJ1" t="s">
        <v>9221</v>
      </c>
      <c r="MBK1" t="s">
        <v>9222</v>
      </c>
      <c r="MBL1" t="s">
        <v>9223</v>
      </c>
      <c r="MBM1" t="s">
        <v>9224</v>
      </c>
      <c r="MBN1" t="s">
        <v>9225</v>
      </c>
      <c r="MBO1" t="s">
        <v>9226</v>
      </c>
      <c r="MBP1" t="s">
        <v>9227</v>
      </c>
      <c r="MBQ1" t="s">
        <v>9228</v>
      </c>
      <c r="MBR1" t="s">
        <v>9229</v>
      </c>
      <c r="MBS1" t="s">
        <v>9230</v>
      </c>
      <c r="MBT1" t="s">
        <v>9231</v>
      </c>
      <c r="MBU1" t="s">
        <v>9232</v>
      </c>
      <c r="MBV1" t="s">
        <v>9233</v>
      </c>
      <c r="MBW1" t="s">
        <v>9234</v>
      </c>
      <c r="MBX1" t="s">
        <v>9235</v>
      </c>
      <c r="MBY1" t="s">
        <v>9236</v>
      </c>
      <c r="MBZ1" t="s">
        <v>9237</v>
      </c>
      <c r="MCA1" t="s">
        <v>9238</v>
      </c>
      <c r="MCB1" t="s">
        <v>9239</v>
      </c>
      <c r="MCC1" t="s">
        <v>9240</v>
      </c>
      <c r="MCD1" t="s">
        <v>9241</v>
      </c>
      <c r="MCE1" t="s">
        <v>9242</v>
      </c>
      <c r="MCF1" t="s">
        <v>9243</v>
      </c>
      <c r="MCG1" t="s">
        <v>9244</v>
      </c>
      <c r="MCH1" t="s">
        <v>9245</v>
      </c>
      <c r="MCI1" t="s">
        <v>9246</v>
      </c>
      <c r="MCJ1" t="s">
        <v>9247</v>
      </c>
      <c r="MCK1" t="s">
        <v>9248</v>
      </c>
      <c r="MCL1" t="s">
        <v>9249</v>
      </c>
      <c r="MCM1" t="s">
        <v>9250</v>
      </c>
      <c r="MCN1" t="s">
        <v>9251</v>
      </c>
      <c r="MCO1" t="s">
        <v>9252</v>
      </c>
      <c r="MCP1" t="s">
        <v>9253</v>
      </c>
      <c r="MCQ1" t="s">
        <v>9254</v>
      </c>
      <c r="MCR1" t="s">
        <v>9255</v>
      </c>
      <c r="MCS1" t="s">
        <v>9256</v>
      </c>
      <c r="MCT1" t="s">
        <v>9257</v>
      </c>
      <c r="MCU1" t="s">
        <v>9258</v>
      </c>
      <c r="MCV1" t="s">
        <v>9259</v>
      </c>
      <c r="MCW1" t="s">
        <v>9260</v>
      </c>
      <c r="MCX1" t="s">
        <v>9261</v>
      </c>
      <c r="MCY1" t="s">
        <v>9262</v>
      </c>
      <c r="MCZ1" t="s">
        <v>9263</v>
      </c>
      <c r="MDA1" t="s">
        <v>9264</v>
      </c>
      <c r="MDB1" t="s">
        <v>9265</v>
      </c>
      <c r="MDC1" t="s">
        <v>9266</v>
      </c>
      <c r="MDD1" t="s">
        <v>9267</v>
      </c>
      <c r="MDE1" t="s">
        <v>9268</v>
      </c>
      <c r="MDF1" t="s">
        <v>9269</v>
      </c>
      <c r="MDG1" t="s">
        <v>9270</v>
      </c>
      <c r="MDH1" t="s">
        <v>9271</v>
      </c>
      <c r="MDI1" t="s">
        <v>9272</v>
      </c>
      <c r="MDJ1" t="s">
        <v>9273</v>
      </c>
      <c r="MDK1" t="s">
        <v>9274</v>
      </c>
      <c r="MDL1" t="s">
        <v>9275</v>
      </c>
      <c r="MDM1" t="s">
        <v>9276</v>
      </c>
      <c r="MDN1" t="s">
        <v>9277</v>
      </c>
      <c r="MDO1" t="s">
        <v>9278</v>
      </c>
      <c r="MDP1" t="s">
        <v>9279</v>
      </c>
      <c r="MDQ1" t="s">
        <v>9280</v>
      </c>
      <c r="MDR1" t="s">
        <v>9281</v>
      </c>
      <c r="MDS1" t="s">
        <v>9282</v>
      </c>
      <c r="MDT1" t="s">
        <v>9283</v>
      </c>
      <c r="MDU1" t="s">
        <v>9284</v>
      </c>
      <c r="MDV1" t="s">
        <v>9285</v>
      </c>
      <c r="MDW1" t="s">
        <v>9286</v>
      </c>
      <c r="MDX1" t="s">
        <v>9287</v>
      </c>
      <c r="MDY1" t="s">
        <v>9288</v>
      </c>
      <c r="MDZ1" t="s">
        <v>9289</v>
      </c>
      <c r="MEA1" t="s">
        <v>9290</v>
      </c>
      <c r="MEB1" t="s">
        <v>9291</v>
      </c>
      <c r="MEC1" t="s">
        <v>9292</v>
      </c>
      <c r="MED1" t="s">
        <v>9293</v>
      </c>
      <c r="MEE1" t="s">
        <v>9294</v>
      </c>
      <c r="MEF1" t="s">
        <v>9295</v>
      </c>
      <c r="MEG1" t="s">
        <v>9296</v>
      </c>
      <c r="MEH1" t="s">
        <v>9297</v>
      </c>
      <c r="MEI1" t="s">
        <v>9298</v>
      </c>
      <c r="MEJ1" t="s">
        <v>9299</v>
      </c>
      <c r="MEK1" t="s">
        <v>9300</v>
      </c>
      <c r="MEL1" t="s">
        <v>9301</v>
      </c>
      <c r="MEM1" t="s">
        <v>9302</v>
      </c>
      <c r="MEN1" t="s">
        <v>9303</v>
      </c>
      <c r="MEO1" t="s">
        <v>9304</v>
      </c>
      <c r="MEP1" t="s">
        <v>9305</v>
      </c>
      <c r="MEQ1" t="s">
        <v>9306</v>
      </c>
      <c r="MER1" t="s">
        <v>9307</v>
      </c>
      <c r="MES1" t="s">
        <v>9308</v>
      </c>
      <c r="MET1" t="s">
        <v>9309</v>
      </c>
      <c r="MEU1" t="s">
        <v>9310</v>
      </c>
      <c r="MEV1" t="s">
        <v>9311</v>
      </c>
      <c r="MEW1" t="s">
        <v>9312</v>
      </c>
      <c r="MEX1" t="s">
        <v>9313</v>
      </c>
      <c r="MEY1" t="s">
        <v>9314</v>
      </c>
      <c r="MEZ1" t="s">
        <v>9315</v>
      </c>
      <c r="MFA1" t="s">
        <v>9316</v>
      </c>
      <c r="MFB1" t="s">
        <v>9317</v>
      </c>
      <c r="MFC1" t="s">
        <v>9318</v>
      </c>
      <c r="MFD1" t="s">
        <v>9319</v>
      </c>
      <c r="MFE1" t="s">
        <v>9320</v>
      </c>
      <c r="MFF1" t="s">
        <v>9321</v>
      </c>
      <c r="MFG1" t="s">
        <v>9322</v>
      </c>
      <c r="MFH1" t="s">
        <v>9323</v>
      </c>
      <c r="MFI1" t="s">
        <v>9324</v>
      </c>
      <c r="MFJ1" t="s">
        <v>9325</v>
      </c>
      <c r="MFK1" t="s">
        <v>9326</v>
      </c>
      <c r="MFL1" t="s">
        <v>9327</v>
      </c>
      <c r="MFM1" t="s">
        <v>9328</v>
      </c>
      <c r="MFN1" t="s">
        <v>9329</v>
      </c>
      <c r="MFO1" t="s">
        <v>9330</v>
      </c>
      <c r="MFP1" t="s">
        <v>9331</v>
      </c>
      <c r="MFQ1" t="s">
        <v>9332</v>
      </c>
      <c r="MFR1" t="s">
        <v>9333</v>
      </c>
      <c r="MFS1" t="s">
        <v>9334</v>
      </c>
      <c r="MFT1" t="s">
        <v>9335</v>
      </c>
      <c r="MFU1" t="s">
        <v>9336</v>
      </c>
      <c r="MFV1" t="s">
        <v>9337</v>
      </c>
      <c r="MFW1" t="s">
        <v>9338</v>
      </c>
      <c r="MFX1" t="s">
        <v>9339</v>
      </c>
      <c r="MFY1" t="s">
        <v>9340</v>
      </c>
      <c r="MFZ1" t="s">
        <v>9341</v>
      </c>
      <c r="MGA1" t="s">
        <v>9342</v>
      </c>
      <c r="MGB1" t="s">
        <v>9343</v>
      </c>
      <c r="MGC1" t="s">
        <v>9344</v>
      </c>
      <c r="MGD1" t="s">
        <v>9345</v>
      </c>
      <c r="MGE1" t="s">
        <v>9346</v>
      </c>
      <c r="MGF1" t="s">
        <v>9347</v>
      </c>
      <c r="MGG1" t="s">
        <v>9348</v>
      </c>
      <c r="MGH1" t="s">
        <v>9349</v>
      </c>
      <c r="MGI1" t="s">
        <v>9350</v>
      </c>
      <c r="MGJ1" t="s">
        <v>9351</v>
      </c>
      <c r="MGK1" t="s">
        <v>9352</v>
      </c>
      <c r="MGL1" t="s">
        <v>9353</v>
      </c>
      <c r="MGM1" t="s">
        <v>9354</v>
      </c>
      <c r="MGN1" t="s">
        <v>9355</v>
      </c>
      <c r="MGO1" t="s">
        <v>9356</v>
      </c>
      <c r="MGP1" t="s">
        <v>9357</v>
      </c>
      <c r="MGQ1" t="s">
        <v>9358</v>
      </c>
      <c r="MGR1" t="s">
        <v>9359</v>
      </c>
      <c r="MGS1" t="s">
        <v>9360</v>
      </c>
      <c r="MGT1" t="s">
        <v>9361</v>
      </c>
      <c r="MGU1" t="s">
        <v>9362</v>
      </c>
      <c r="MGV1" t="s">
        <v>9363</v>
      </c>
      <c r="MGW1" t="s">
        <v>9364</v>
      </c>
      <c r="MGX1" t="s">
        <v>9365</v>
      </c>
      <c r="MGY1" t="s">
        <v>9366</v>
      </c>
      <c r="MGZ1" t="s">
        <v>9367</v>
      </c>
      <c r="MHA1" t="s">
        <v>9368</v>
      </c>
      <c r="MHB1" t="s">
        <v>9369</v>
      </c>
      <c r="MHC1" t="s">
        <v>9370</v>
      </c>
      <c r="MHD1" t="s">
        <v>9371</v>
      </c>
      <c r="MHE1" t="s">
        <v>9372</v>
      </c>
      <c r="MHF1" t="s">
        <v>9373</v>
      </c>
      <c r="MHG1" t="s">
        <v>9374</v>
      </c>
      <c r="MHH1" t="s">
        <v>9375</v>
      </c>
      <c r="MHI1" t="s">
        <v>9376</v>
      </c>
      <c r="MHJ1" t="s">
        <v>9377</v>
      </c>
      <c r="MHK1" t="s">
        <v>9378</v>
      </c>
      <c r="MHL1" t="s">
        <v>9379</v>
      </c>
      <c r="MHM1" t="s">
        <v>9380</v>
      </c>
      <c r="MHN1" t="s">
        <v>9381</v>
      </c>
      <c r="MHO1" t="s">
        <v>9382</v>
      </c>
      <c r="MHP1" t="s">
        <v>9383</v>
      </c>
      <c r="MHQ1" t="s">
        <v>9384</v>
      </c>
      <c r="MHR1" t="s">
        <v>9385</v>
      </c>
      <c r="MHS1" t="s">
        <v>9386</v>
      </c>
      <c r="MHT1" t="s">
        <v>9387</v>
      </c>
      <c r="MHU1" t="s">
        <v>9388</v>
      </c>
      <c r="MHV1" t="s">
        <v>9389</v>
      </c>
      <c r="MHW1" t="s">
        <v>9390</v>
      </c>
      <c r="MHX1" t="s">
        <v>9391</v>
      </c>
      <c r="MHY1" t="s">
        <v>9392</v>
      </c>
      <c r="MHZ1" t="s">
        <v>9393</v>
      </c>
      <c r="MIA1" t="s">
        <v>9394</v>
      </c>
      <c r="MIB1" t="s">
        <v>9395</v>
      </c>
      <c r="MIC1" t="s">
        <v>9396</v>
      </c>
      <c r="MID1" t="s">
        <v>9397</v>
      </c>
      <c r="MIE1" t="s">
        <v>9398</v>
      </c>
      <c r="MIF1" t="s">
        <v>9399</v>
      </c>
      <c r="MIG1" t="s">
        <v>9400</v>
      </c>
      <c r="MIH1" t="s">
        <v>9401</v>
      </c>
      <c r="MII1" t="s">
        <v>9402</v>
      </c>
      <c r="MIJ1" t="s">
        <v>9403</v>
      </c>
      <c r="MIK1" t="s">
        <v>9404</v>
      </c>
      <c r="MIL1" t="s">
        <v>9405</v>
      </c>
      <c r="MIM1" t="s">
        <v>9406</v>
      </c>
      <c r="MIN1" t="s">
        <v>9407</v>
      </c>
      <c r="MIO1" t="s">
        <v>9408</v>
      </c>
      <c r="MIP1" t="s">
        <v>9409</v>
      </c>
      <c r="MIQ1" t="s">
        <v>9410</v>
      </c>
      <c r="MIR1" t="s">
        <v>9411</v>
      </c>
      <c r="MIS1" t="s">
        <v>9412</v>
      </c>
      <c r="MIT1" t="s">
        <v>9413</v>
      </c>
      <c r="MIU1" t="s">
        <v>9414</v>
      </c>
      <c r="MIV1" t="s">
        <v>9415</v>
      </c>
      <c r="MIW1" t="s">
        <v>9416</v>
      </c>
      <c r="MIX1" t="s">
        <v>9417</v>
      </c>
      <c r="MIY1" t="s">
        <v>9418</v>
      </c>
      <c r="MIZ1" t="s">
        <v>9419</v>
      </c>
      <c r="MJA1" t="s">
        <v>9420</v>
      </c>
      <c r="MJB1" t="s">
        <v>9421</v>
      </c>
      <c r="MJC1" t="s">
        <v>9422</v>
      </c>
      <c r="MJD1" t="s">
        <v>9423</v>
      </c>
      <c r="MJE1" t="s">
        <v>9424</v>
      </c>
      <c r="MJF1" t="s">
        <v>9425</v>
      </c>
      <c r="MJG1" t="s">
        <v>9426</v>
      </c>
      <c r="MJH1" t="s">
        <v>9427</v>
      </c>
      <c r="MJI1" t="s">
        <v>9428</v>
      </c>
      <c r="MJJ1" t="s">
        <v>9429</v>
      </c>
      <c r="MJK1" t="s">
        <v>9430</v>
      </c>
      <c r="MJL1" t="s">
        <v>9431</v>
      </c>
      <c r="MJM1" t="s">
        <v>9432</v>
      </c>
      <c r="MJN1" t="s">
        <v>9433</v>
      </c>
      <c r="MJO1" t="s">
        <v>9434</v>
      </c>
      <c r="MJP1" t="s">
        <v>9435</v>
      </c>
      <c r="MJQ1" t="s">
        <v>9436</v>
      </c>
      <c r="MJR1" t="s">
        <v>9437</v>
      </c>
      <c r="MJS1" t="s">
        <v>9438</v>
      </c>
      <c r="MJT1" t="s">
        <v>9439</v>
      </c>
      <c r="MJU1" t="s">
        <v>9440</v>
      </c>
      <c r="MJV1" t="s">
        <v>9441</v>
      </c>
      <c r="MJW1" t="s">
        <v>9442</v>
      </c>
      <c r="MJX1" t="s">
        <v>9443</v>
      </c>
      <c r="MJY1" t="s">
        <v>9444</v>
      </c>
      <c r="MJZ1" t="s">
        <v>9445</v>
      </c>
      <c r="MKA1" t="s">
        <v>9446</v>
      </c>
      <c r="MKB1" t="s">
        <v>9447</v>
      </c>
      <c r="MKC1" t="s">
        <v>9448</v>
      </c>
      <c r="MKD1" t="s">
        <v>9449</v>
      </c>
      <c r="MKE1" t="s">
        <v>9450</v>
      </c>
      <c r="MKF1" t="s">
        <v>9451</v>
      </c>
      <c r="MKG1" t="s">
        <v>9452</v>
      </c>
      <c r="MKH1" t="s">
        <v>9453</v>
      </c>
      <c r="MKI1" t="s">
        <v>9454</v>
      </c>
      <c r="MKJ1" t="s">
        <v>9455</v>
      </c>
      <c r="MKK1" t="s">
        <v>9456</v>
      </c>
      <c r="MKL1" t="s">
        <v>9457</v>
      </c>
      <c r="MKM1" t="s">
        <v>9458</v>
      </c>
      <c r="MKN1" t="s">
        <v>9459</v>
      </c>
      <c r="MKO1" t="s">
        <v>9460</v>
      </c>
      <c r="MKP1" t="s">
        <v>9461</v>
      </c>
      <c r="MKQ1" t="s">
        <v>9462</v>
      </c>
      <c r="MKR1" t="s">
        <v>9463</v>
      </c>
      <c r="MKS1" t="s">
        <v>9464</v>
      </c>
      <c r="MKT1" t="s">
        <v>9465</v>
      </c>
      <c r="MKU1" t="s">
        <v>9466</v>
      </c>
      <c r="MKV1" t="s">
        <v>9467</v>
      </c>
      <c r="MKW1" t="s">
        <v>9468</v>
      </c>
      <c r="MKX1" t="s">
        <v>9469</v>
      </c>
      <c r="MKY1" t="s">
        <v>9470</v>
      </c>
      <c r="MKZ1" t="s">
        <v>9471</v>
      </c>
      <c r="MLA1" t="s">
        <v>9472</v>
      </c>
      <c r="MLB1" t="s">
        <v>9473</v>
      </c>
      <c r="MLC1" t="s">
        <v>9474</v>
      </c>
      <c r="MLD1" t="s">
        <v>9475</v>
      </c>
      <c r="MLE1" t="s">
        <v>9476</v>
      </c>
      <c r="MLF1" t="s">
        <v>9477</v>
      </c>
      <c r="MLG1" t="s">
        <v>9478</v>
      </c>
      <c r="MLH1" t="s">
        <v>9479</v>
      </c>
      <c r="MLI1" t="s">
        <v>9480</v>
      </c>
      <c r="MLJ1" t="s">
        <v>9481</v>
      </c>
      <c r="MLK1" t="s">
        <v>9482</v>
      </c>
      <c r="MLL1" t="s">
        <v>9483</v>
      </c>
      <c r="MLM1" t="s">
        <v>9484</v>
      </c>
      <c r="MLN1" t="s">
        <v>9485</v>
      </c>
      <c r="MLO1" t="s">
        <v>9486</v>
      </c>
      <c r="MLP1" t="s">
        <v>9487</v>
      </c>
      <c r="MLQ1" t="s">
        <v>9488</v>
      </c>
      <c r="MLR1" t="s">
        <v>9489</v>
      </c>
      <c r="MLS1" t="s">
        <v>9490</v>
      </c>
      <c r="MLT1" t="s">
        <v>9491</v>
      </c>
      <c r="MLU1" t="s">
        <v>9492</v>
      </c>
      <c r="MLV1" t="s">
        <v>9493</v>
      </c>
      <c r="MLW1" t="s">
        <v>9494</v>
      </c>
      <c r="MLX1" t="s">
        <v>9495</v>
      </c>
      <c r="MLY1" t="s">
        <v>9496</v>
      </c>
      <c r="MLZ1" t="s">
        <v>9497</v>
      </c>
      <c r="MMA1" t="s">
        <v>9498</v>
      </c>
      <c r="MMB1" t="s">
        <v>9499</v>
      </c>
      <c r="MMC1" t="s">
        <v>9500</v>
      </c>
      <c r="MMD1" t="s">
        <v>9501</v>
      </c>
      <c r="MME1" t="s">
        <v>9502</v>
      </c>
      <c r="MMF1" t="s">
        <v>9503</v>
      </c>
      <c r="MMG1" t="s">
        <v>9504</v>
      </c>
      <c r="MMH1" t="s">
        <v>9505</v>
      </c>
      <c r="MMI1" t="s">
        <v>9506</v>
      </c>
      <c r="MMJ1" t="s">
        <v>9507</v>
      </c>
      <c r="MMK1" t="s">
        <v>9508</v>
      </c>
      <c r="MML1" t="s">
        <v>9509</v>
      </c>
      <c r="MMM1" t="s">
        <v>9510</v>
      </c>
      <c r="MMN1" t="s">
        <v>9511</v>
      </c>
      <c r="MMO1" t="s">
        <v>9512</v>
      </c>
      <c r="MMP1" t="s">
        <v>9513</v>
      </c>
      <c r="MMQ1" t="s">
        <v>9514</v>
      </c>
      <c r="MMR1" t="s">
        <v>9515</v>
      </c>
      <c r="MMS1" t="s">
        <v>9516</v>
      </c>
      <c r="MMT1" t="s">
        <v>9517</v>
      </c>
      <c r="MMU1" t="s">
        <v>9518</v>
      </c>
      <c r="MMV1" t="s">
        <v>9519</v>
      </c>
      <c r="MMW1" t="s">
        <v>9520</v>
      </c>
      <c r="MMX1" t="s">
        <v>9521</v>
      </c>
      <c r="MMY1" t="s">
        <v>9522</v>
      </c>
      <c r="MMZ1" t="s">
        <v>9523</v>
      </c>
      <c r="MNA1" t="s">
        <v>9524</v>
      </c>
      <c r="MNB1" t="s">
        <v>9525</v>
      </c>
      <c r="MNC1" t="s">
        <v>9526</v>
      </c>
      <c r="MND1" t="s">
        <v>9527</v>
      </c>
      <c r="MNE1" t="s">
        <v>9528</v>
      </c>
      <c r="MNF1" t="s">
        <v>9529</v>
      </c>
      <c r="MNG1" t="s">
        <v>9530</v>
      </c>
      <c r="MNH1" t="s">
        <v>9531</v>
      </c>
      <c r="MNI1" t="s">
        <v>9532</v>
      </c>
      <c r="MNJ1" t="s">
        <v>9533</v>
      </c>
      <c r="MNK1" t="s">
        <v>9534</v>
      </c>
      <c r="MNL1" t="s">
        <v>9535</v>
      </c>
      <c r="MNM1" t="s">
        <v>9536</v>
      </c>
      <c r="MNN1" t="s">
        <v>9537</v>
      </c>
      <c r="MNO1" t="s">
        <v>9538</v>
      </c>
      <c r="MNP1" t="s">
        <v>9539</v>
      </c>
      <c r="MNQ1" t="s">
        <v>9540</v>
      </c>
      <c r="MNR1" t="s">
        <v>9541</v>
      </c>
      <c r="MNS1" t="s">
        <v>9542</v>
      </c>
      <c r="MNT1" t="s">
        <v>9543</v>
      </c>
      <c r="MNU1" t="s">
        <v>9544</v>
      </c>
      <c r="MNV1" t="s">
        <v>9545</v>
      </c>
      <c r="MNW1" t="s">
        <v>9546</v>
      </c>
      <c r="MNX1" t="s">
        <v>9547</v>
      </c>
      <c r="MNY1" t="s">
        <v>9548</v>
      </c>
      <c r="MNZ1" t="s">
        <v>9549</v>
      </c>
      <c r="MOA1" t="s">
        <v>9550</v>
      </c>
      <c r="MOB1" t="s">
        <v>9551</v>
      </c>
      <c r="MOC1" t="s">
        <v>9552</v>
      </c>
      <c r="MOD1" t="s">
        <v>9553</v>
      </c>
      <c r="MOE1" t="s">
        <v>9554</v>
      </c>
      <c r="MOF1" t="s">
        <v>9555</v>
      </c>
      <c r="MOG1" t="s">
        <v>9556</v>
      </c>
      <c r="MOH1" t="s">
        <v>9557</v>
      </c>
      <c r="MOI1" t="s">
        <v>9558</v>
      </c>
      <c r="MOJ1" t="s">
        <v>9559</v>
      </c>
      <c r="MOK1" t="s">
        <v>9560</v>
      </c>
      <c r="MOL1" t="s">
        <v>9561</v>
      </c>
      <c r="MOM1" t="s">
        <v>9562</v>
      </c>
      <c r="MON1" t="s">
        <v>9563</v>
      </c>
      <c r="MOO1" t="s">
        <v>9564</v>
      </c>
      <c r="MOP1" t="s">
        <v>9565</v>
      </c>
      <c r="MOQ1" t="s">
        <v>9566</v>
      </c>
      <c r="MOR1" t="s">
        <v>9567</v>
      </c>
      <c r="MOS1" t="s">
        <v>9568</v>
      </c>
      <c r="MOT1" t="s">
        <v>9569</v>
      </c>
      <c r="MOU1" t="s">
        <v>9570</v>
      </c>
      <c r="MOV1" t="s">
        <v>9571</v>
      </c>
      <c r="MOW1" t="s">
        <v>9572</v>
      </c>
      <c r="MOX1" t="s">
        <v>9573</v>
      </c>
      <c r="MOY1" t="s">
        <v>9574</v>
      </c>
      <c r="MOZ1" t="s">
        <v>9575</v>
      </c>
      <c r="MPA1" t="s">
        <v>9576</v>
      </c>
      <c r="MPB1" t="s">
        <v>9577</v>
      </c>
      <c r="MPC1" t="s">
        <v>9578</v>
      </c>
      <c r="MPD1" t="s">
        <v>9579</v>
      </c>
      <c r="MPE1" t="s">
        <v>9580</v>
      </c>
      <c r="MPF1" t="s">
        <v>9581</v>
      </c>
      <c r="MPG1" t="s">
        <v>9582</v>
      </c>
      <c r="MPH1" t="s">
        <v>9583</v>
      </c>
      <c r="MPI1" t="s">
        <v>9584</v>
      </c>
      <c r="MPJ1" t="s">
        <v>9585</v>
      </c>
      <c r="MPK1" t="s">
        <v>9586</v>
      </c>
      <c r="MPL1" t="s">
        <v>9587</v>
      </c>
      <c r="MPM1" t="s">
        <v>9588</v>
      </c>
      <c r="MPN1" t="s">
        <v>9589</v>
      </c>
      <c r="MPO1" t="s">
        <v>9590</v>
      </c>
      <c r="MPP1" t="s">
        <v>9591</v>
      </c>
      <c r="MPQ1" t="s">
        <v>9592</v>
      </c>
      <c r="MPR1" t="s">
        <v>9593</v>
      </c>
      <c r="MPS1" t="s">
        <v>9594</v>
      </c>
      <c r="MPT1" t="s">
        <v>9595</v>
      </c>
      <c r="MPU1" t="s">
        <v>9596</v>
      </c>
      <c r="MPV1" t="s">
        <v>9597</v>
      </c>
      <c r="MPW1" t="s">
        <v>9598</v>
      </c>
      <c r="MPX1" t="s">
        <v>9599</v>
      </c>
      <c r="MPY1" t="s">
        <v>9600</v>
      </c>
      <c r="MPZ1" t="s">
        <v>9601</v>
      </c>
      <c r="MQA1" t="s">
        <v>9602</v>
      </c>
      <c r="MQB1" t="s">
        <v>9603</v>
      </c>
      <c r="MQC1" t="s">
        <v>9604</v>
      </c>
      <c r="MQD1" t="s">
        <v>9605</v>
      </c>
      <c r="MQE1" t="s">
        <v>9606</v>
      </c>
      <c r="MQF1" t="s">
        <v>9607</v>
      </c>
      <c r="MQG1" t="s">
        <v>9608</v>
      </c>
      <c r="MQH1" t="s">
        <v>9609</v>
      </c>
      <c r="MQI1" t="s">
        <v>9610</v>
      </c>
      <c r="MQJ1" t="s">
        <v>9611</v>
      </c>
      <c r="MQK1" t="s">
        <v>9612</v>
      </c>
      <c r="MQL1" t="s">
        <v>9613</v>
      </c>
      <c r="MQM1" t="s">
        <v>9614</v>
      </c>
      <c r="MQN1" t="s">
        <v>9615</v>
      </c>
      <c r="MQO1" t="s">
        <v>9616</v>
      </c>
      <c r="MQP1" t="s">
        <v>9617</v>
      </c>
      <c r="MQQ1" t="s">
        <v>9618</v>
      </c>
      <c r="MQR1" t="s">
        <v>9619</v>
      </c>
      <c r="MQS1" t="s">
        <v>9620</v>
      </c>
      <c r="MQT1" t="s">
        <v>9621</v>
      </c>
      <c r="MQU1" t="s">
        <v>9622</v>
      </c>
      <c r="MQV1" t="s">
        <v>9623</v>
      </c>
      <c r="MQW1" t="s">
        <v>9624</v>
      </c>
      <c r="MQX1" t="s">
        <v>9625</v>
      </c>
      <c r="MQY1" t="s">
        <v>9626</v>
      </c>
      <c r="MQZ1" t="s">
        <v>9627</v>
      </c>
      <c r="MRA1" t="s">
        <v>9628</v>
      </c>
      <c r="MRB1" t="s">
        <v>9629</v>
      </c>
      <c r="MRC1" t="s">
        <v>9630</v>
      </c>
      <c r="MRD1" t="s">
        <v>9631</v>
      </c>
      <c r="MRE1" t="s">
        <v>9632</v>
      </c>
      <c r="MRF1" t="s">
        <v>9633</v>
      </c>
      <c r="MRG1" t="s">
        <v>9634</v>
      </c>
      <c r="MRH1" t="s">
        <v>9635</v>
      </c>
      <c r="MRI1" t="s">
        <v>9636</v>
      </c>
      <c r="MRJ1" t="s">
        <v>9637</v>
      </c>
      <c r="MRK1" t="s">
        <v>9638</v>
      </c>
      <c r="MRL1" t="s">
        <v>9639</v>
      </c>
      <c r="MRM1" t="s">
        <v>9640</v>
      </c>
      <c r="MRN1" t="s">
        <v>9641</v>
      </c>
      <c r="MRO1" t="s">
        <v>9642</v>
      </c>
      <c r="MRP1" t="s">
        <v>9643</v>
      </c>
      <c r="MRQ1" t="s">
        <v>9644</v>
      </c>
      <c r="MRR1" t="s">
        <v>9645</v>
      </c>
      <c r="MRS1" t="s">
        <v>9646</v>
      </c>
      <c r="MRT1" t="s">
        <v>9647</v>
      </c>
      <c r="MRU1" t="s">
        <v>9648</v>
      </c>
      <c r="MRV1" t="s">
        <v>9649</v>
      </c>
      <c r="MRW1" t="s">
        <v>9650</v>
      </c>
      <c r="MRX1" t="s">
        <v>9651</v>
      </c>
      <c r="MRY1" t="s">
        <v>9652</v>
      </c>
      <c r="MRZ1" t="s">
        <v>9653</v>
      </c>
      <c r="MSA1" t="s">
        <v>9654</v>
      </c>
      <c r="MSB1" t="s">
        <v>9655</v>
      </c>
      <c r="MSC1" t="s">
        <v>9656</v>
      </c>
      <c r="MSD1" t="s">
        <v>9657</v>
      </c>
      <c r="MSE1" t="s">
        <v>9658</v>
      </c>
      <c r="MSF1" t="s">
        <v>9659</v>
      </c>
      <c r="MSG1" t="s">
        <v>9660</v>
      </c>
      <c r="MSH1" t="s">
        <v>9661</v>
      </c>
      <c r="MSI1" t="s">
        <v>9662</v>
      </c>
      <c r="MSJ1" t="s">
        <v>9663</v>
      </c>
      <c r="MSK1" t="s">
        <v>9664</v>
      </c>
      <c r="MSL1" t="s">
        <v>9665</v>
      </c>
      <c r="MSM1" t="s">
        <v>9666</v>
      </c>
      <c r="MSN1" t="s">
        <v>9667</v>
      </c>
      <c r="MSO1" t="s">
        <v>9668</v>
      </c>
      <c r="MSP1" t="s">
        <v>9669</v>
      </c>
      <c r="MSQ1" t="s">
        <v>9670</v>
      </c>
      <c r="MSR1" t="s">
        <v>9671</v>
      </c>
      <c r="MSS1" t="s">
        <v>9672</v>
      </c>
      <c r="MST1" t="s">
        <v>9673</v>
      </c>
      <c r="MSU1" t="s">
        <v>9674</v>
      </c>
      <c r="MSV1" t="s">
        <v>9675</v>
      </c>
      <c r="MSW1" t="s">
        <v>9676</v>
      </c>
      <c r="MSX1" t="s">
        <v>9677</v>
      </c>
      <c r="MSY1" t="s">
        <v>9678</v>
      </c>
      <c r="MSZ1" t="s">
        <v>9679</v>
      </c>
      <c r="MTA1" t="s">
        <v>9680</v>
      </c>
      <c r="MTB1" t="s">
        <v>9681</v>
      </c>
      <c r="MTC1" t="s">
        <v>9682</v>
      </c>
      <c r="MTD1" t="s">
        <v>9683</v>
      </c>
      <c r="MTE1" t="s">
        <v>9684</v>
      </c>
      <c r="MTF1" t="s">
        <v>9685</v>
      </c>
      <c r="MTG1" t="s">
        <v>9686</v>
      </c>
      <c r="MTH1" t="s">
        <v>9687</v>
      </c>
      <c r="MTI1" t="s">
        <v>9688</v>
      </c>
      <c r="MTJ1" t="s">
        <v>9689</v>
      </c>
      <c r="MTK1" t="s">
        <v>9690</v>
      </c>
      <c r="MTL1" t="s">
        <v>9691</v>
      </c>
      <c r="MTM1" t="s">
        <v>9692</v>
      </c>
      <c r="MTN1" t="s">
        <v>9693</v>
      </c>
      <c r="MTO1" t="s">
        <v>9694</v>
      </c>
      <c r="MTP1" t="s">
        <v>9695</v>
      </c>
      <c r="MTQ1" t="s">
        <v>9696</v>
      </c>
      <c r="MTR1" t="s">
        <v>9697</v>
      </c>
      <c r="MTS1" t="s">
        <v>9698</v>
      </c>
      <c r="MTT1" t="s">
        <v>9699</v>
      </c>
      <c r="MTU1" t="s">
        <v>9700</v>
      </c>
      <c r="MTV1" t="s">
        <v>9701</v>
      </c>
      <c r="MTW1" t="s">
        <v>9702</v>
      </c>
      <c r="MTX1" t="s">
        <v>9703</v>
      </c>
      <c r="MTY1" t="s">
        <v>9704</v>
      </c>
      <c r="MTZ1" t="s">
        <v>9705</v>
      </c>
      <c r="MUA1" t="s">
        <v>9706</v>
      </c>
      <c r="MUB1" t="s">
        <v>9707</v>
      </c>
      <c r="MUC1" t="s">
        <v>9708</v>
      </c>
      <c r="MUD1" t="s">
        <v>9709</v>
      </c>
      <c r="MUE1" t="s">
        <v>9710</v>
      </c>
      <c r="MUF1" t="s">
        <v>9711</v>
      </c>
      <c r="MUG1" t="s">
        <v>9712</v>
      </c>
      <c r="MUH1" t="s">
        <v>9713</v>
      </c>
      <c r="MUI1" t="s">
        <v>9714</v>
      </c>
      <c r="MUJ1" t="s">
        <v>9715</v>
      </c>
      <c r="MUK1" t="s">
        <v>9716</v>
      </c>
      <c r="MUL1" t="s">
        <v>9717</v>
      </c>
      <c r="MUM1" t="s">
        <v>9718</v>
      </c>
      <c r="MUN1" t="s">
        <v>9719</v>
      </c>
      <c r="MUO1" t="s">
        <v>9720</v>
      </c>
      <c r="MUP1" t="s">
        <v>9721</v>
      </c>
      <c r="MUQ1" t="s">
        <v>9722</v>
      </c>
      <c r="MUR1" t="s">
        <v>9723</v>
      </c>
      <c r="MUS1" t="s">
        <v>9724</v>
      </c>
      <c r="MUT1" t="s">
        <v>9725</v>
      </c>
      <c r="MUU1" t="s">
        <v>9726</v>
      </c>
      <c r="MUV1" t="s">
        <v>9727</v>
      </c>
      <c r="MUW1" t="s">
        <v>9728</v>
      </c>
      <c r="MUX1" t="s">
        <v>9729</v>
      </c>
      <c r="MUY1" t="s">
        <v>9730</v>
      </c>
      <c r="MUZ1" t="s">
        <v>9731</v>
      </c>
      <c r="MVA1" t="s">
        <v>9732</v>
      </c>
      <c r="MVB1" t="s">
        <v>9733</v>
      </c>
      <c r="MVC1" t="s">
        <v>9734</v>
      </c>
      <c r="MVD1" t="s">
        <v>9735</v>
      </c>
      <c r="MVE1" t="s">
        <v>9736</v>
      </c>
      <c r="MVF1" t="s">
        <v>9737</v>
      </c>
      <c r="MVG1" t="s">
        <v>9738</v>
      </c>
      <c r="MVH1" t="s">
        <v>9739</v>
      </c>
      <c r="MVI1" t="s">
        <v>9740</v>
      </c>
      <c r="MVJ1" t="s">
        <v>9741</v>
      </c>
      <c r="MVK1" t="s">
        <v>9742</v>
      </c>
      <c r="MVL1" t="s">
        <v>9743</v>
      </c>
      <c r="MVM1" t="s">
        <v>9744</v>
      </c>
      <c r="MVN1" t="s">
        <v>9745</v>
      </c>
      <c r="MVO1" t="s">
        <v>9746</v>
      </c>
      <c r="MVP1" t="s">
        <v>9747</v>
      </c>
      <c r="MVQ1" t="s">
        <v>9748</v>
      </c>
      <c r="MVR1" t="s">
        <v>9749</v>
      </c>
      <c r="MVS1" t="s">
        <v>9750</v>
      </c>
      <c r="MVT1" t="s">
        <v>9751</v>
      </c>
      <c r="MVU1" t="s">
        <v>9752</v>
      </c>
      <c r="MVV1" t="s">
        <v>9753</v>
      </c>
      <c r="MVW1" t="s">
        <v>9754</v>
      </c>
      <c r="MVX1" t="s">
        <v>9755</v>
      </c>
      <c r="MVY1" t="s">
        <v>9756</v>
      </c>
      <c r="MVZ1" t="s">
        <v>9757</v>
      </c>
      <c r="MWA1" t="s">
        <v>9758</v>
      </c>
      <c r="MWB1" t="s">
        <v>9759</v>
      </c>
      <c r="MWC1" t="s">
        <v>9760</v>
      </c>
      <c r="MWD1" t="s">
        <v>9761</v>
      </c>
      <c r="MWE1" t="s">
        <v>9762</v>
      </c>
      <c r="MWF1" t="s">
        <v>9763</v>
      </c>
      <c r="MWG1" t="s">
        <v>9764</v>
      </c>
      <c r="MWH1" t="s">
        <v>9765</v>
      </c>
      <c r="MWI1" t="s">
        <v>9766</v>
      </c>
      <c r="MWJ1" t="s">
        <v>9767</v>
      </c>
      <c r="MWK1" t="s">
        <v>9768</v>
      </c>
      <c r="MWL1" t="s">
        <v>9769</v>
      </c>
      <c r="MWM1" t="s">
        <v>9770</v>
      </c>
      <c r="MWN1" t="s">
        <v>9771</v>
      </c>
      <c r="MWO1" t="s">
        <v>9772</v>
      </c>
      <c r="MWP1" t="s">
        <v>9773</v>
      </c>
      <c r="MWQ1" t="s">
        <v>9774</v>
      </c>
      <c r="MWR1" t="s">
        <v>9775</v>
      </c>
      <c r="MWS1" t="s">
        <v>9776</v>
      </c>
      <c r="MWT1" t="s">
        <v>9777</v>
      </c>
      <c r="MWU1" t="s">
        <v>9778</v>
      </c>
      <c r="MWV1" t="s">
        <v>9779</v>
      </c>
      <c r="MWW1" t="s">
        <v>9780</v>
      </c>
      <c r="MWX1" t="s">
        <v>9781</v>
      </c>
      <c r="MWY1" t="s">
        <v>9782</v>
      </c>
      <c r="MWZ1" t="s">
        <v>9783</v>
      </c>
      <c r="MXA1" t="s">
        <v>9784</v>
      </c>
      <c r="MXB1" t="s">
        <v>9785</v>
      </c>
      <c r="MXC1" t="s">
        <v>9786</v>
      </c>
      <c r="MXD1" t="s">
        <v>9787</v>
      </c>
      <c r="MXE1" t="s">
        <v>9788</v>
      </c>
      <c r="MXF1" t="s">
        <v>9789</v>
      </c>
      <c r="MXG1" t="s">
        <v>9790</v>
      </c>
      <c r="MXH1" t="s">
        <v>9791</v>
      </c>
      <c r="MXI1" t="s">
        <v>9792</v>
      </c>
      <c r="MXJ1" t="s">
        <v>9793</v>
      </c>
      <c r="MXK1" t="s">
        <v>9794</v>
      </c>
      <c r="MXL1" t="s">
        <v>9795</v>
      </c>
      <c r="MXM1" t="s">
        <v>9796</v>
      </c>
      <c r="MXN1" t="s">
        <v>9797</v>
      </c>
      <c r="MXO1" t="s">
        <v>9798</v>
      </c>
      <c r="MXP1" t="s">
        <v>9799</v>
      </c>
      <c r="MXQ1" t="s">
        <v>9800</v>
      </c>
      <c r="MXR1" t="s">
        <v>9801</v>
      </c>
      <c r="MXS1" t="s">
        <v>9802</v>
      </c>
      <c r="MXT1" t="s">
        <v>9803</v>
      </c>
      <c r="MXU1" t="s">
        <v>9804</v>
      </c>
      <c r="MXV1" t="s">
        <v>9805</v>
      </c>
      <c r="MXW1" t="s">
        <v>9806</v>
      </c>
      <c r="MXX1" t="s">
        <v>9807</v>
      </c>
      <c r="MXY1" t="s">
        <v>9808</v>
      </c>
      <c r="MXZ1" t="s">
        <v>9809</v>
      </c>
      <c r="MYA1" t="s">
        <v>9810</v>
      </c>
      <c r="MYB1" t="s">
        <v>9811</v>
      </c>
      <c r="MYC1" t="s">
        <v>9812</v>
      </c>
      <c r="MYD1" t="s">
        <v>9813</v>
      </c>
      <c r="MYE1" t="s">
        <v>9814</v>
      </c>
      <c r="MYF1" t="s">
        <v>9815</v>
      </c>
      <c r="MYG1" t="s">
        <v>9816</v>
      </c>
      <c r="MYH1" t="s">
        <v>9817</v>
      </c>
      <c r="MYI1" t="s">
        <v>9818</v>
      </c>
      <c r="MYJ1" t="s">
        <v>9819</v>
      </c>
      <c r="MYK1" t="s">
        <v>9820</v>
      </c>
      <c r="MYL1" t="s">
        <v>9821</v>
      </c>
      <c r="MYM1" t="s">
        <v>9822</v>
      </c>
      <c r="MYN1" t="s">
        <v>9823</v>
      </c>
      <c r="MYO1" t="s">
        <v>9824</v>
      </c>
      <c r="MYP1" t="s">
        <v>9825</v>
      </c>
      <c r="MYQ1" t="s">
        <v>9826</v>
      </c>
      <c r="MYR1" t="s">
        <v>9827</v>
      </c>
      <c r="MYS1" t="s">
        <v>9828</v>
      </c>
      <c r="MYT1" t="s">
        <v>9829</v>
      </c>
      <c r="MYU1" t="s">
        <v>9830</v>
      </c>
      <c r="MYV1" t="s">
        <v>9831</v>
      </c>
      <c r="MYW1" t="s">
        <v>9832</v>
      </c>
      <c r="MYX1" t="s">
        <v>9833</v>
      </c>
      <c r="MYY1" t="s">
        <v>9834</v>
      </c>
      <c r="MYZ1" t="s">
        <v>9835</v>
      </c>
      <c r="MZA1" t="s">
        <v>9836</v>
      </c>
      <c r="MZB1" t="s">
        <v>9837</v>
      </c>
      <c r="MZC1" t="s">
        <v>9838</v>
      </c>
      <c r="MZD1" t="s">
        <v>9839</v>
      </c>
      <c r="MZE1" t="s">
        <v>9840</v>
      </c>
      <c r="MZF1" t="s">
        <v>9841</v>
      </c>
      <c r="MZG1" t="s">
        <v>9842</v>
      </c>
      <c r="MZH1" t="s">
        <v>9843</v>
      </c>
      <c r="MZI1" t="s">
        <v>9844</v>
      </c>
      <c r="MZJ1" t="s">
        <v>9845</v>
      </c>
      <c r="MZK1" t="s">
        <v>9846</v>
      </c>
      <c r="MZL1" t="s">
        <v>9847</v>
      </c>
      <c r="MZM1" t="s">
        <v>9848</v>
      </c>
      <c r="MZN1" t="s">
        <v>9849</v>
      </c>
      <c r="MZO1" t="s">
        <v>9850</v>
      </c>
      <c r="MZP1" t="s">
        <v>9851</v>
      </c>
      <c r="MZQ1" t="s">
        <v>9852</v>
      </c>
      <c r="MZR1" t="s">
        <v>9853</v>
      </c>
      <c r="MZS1" t="s">
        <v>9854</v>
      </c>
      <c r="MZT1" t="s">
        <v>9855</v>
      </c>
      <c r="MZU1" t="s">
        <v>9856</v>
      </c>
      <c r="MZV1" t="s">
        <v>9857</v>
      </c>
      <c r="MZW1" t="s">
        <v>9858</v>
      </c>
      <c r="MZX1" t="s">
        <v>9859</v>
      </c>
      <c r="MZY1" t="s">
        <v>9860</v>
      </c>
      <c r="MZZ1" t="s">
        <v>9861</v>
      </c>
      <c r="NAA1" t="s">
        <v>9862</v>
      </c>
      <c r="NAB1" t="s">
        <v>9863</v>
      </c>
      <c r="NAC1" t="s">
        <v>9864</v>
      </c>
      <c r="NAD1" t="s">
        <v>9865</v>
      </c>
      <c r="NAE1" t="s">
        <v>9866</v>
      </c>
      <c r="NAF1" t="s">
        <v>9867</v>
      </c>
      <c r="NAG1" t="s">
        <v>9868</v>
      </c>
      <c r="NAH1" t="s">
        <v>9869</v>
      </c>
      <c r="NAI1" t="s">
        <v>9870</v>
      </c>
      <c r="NAJ1" t="s">
        <v>9871</v>
      </c>
      <c r="NAK1" t="s">
        <v>9872</v>
      </c>
      <c r="NAL1" t="s">
        <v>9873</v>
      </c>
      <c r="NAM1" t="s">
        <v>9874</v>
      </c>
      <c r="NAN1" t="s">
        <v>9875</v>
      </c>
      <c r="NAO1" t="s">
        <v>9876</v>
      </c>
      <c r="NAP1" t="s">
        <v>9877</v>
      </c>
      <c r="NAQ1" t="s">
        <v>9878</v>
      </c>
      <c r="NAR1" t="s">
        <v>9879</v>
      </c>
      <c r="NAS1" t="s">
        <v>9880</v>
      </c>
      <c r="NAT1" t="s">
        <v>9881</v>
      </c>
      <c r="NAU1" t="s">
        <v>9882</v>
      </c>
      <c r="NAV1" t="s">
        <v>9883</v>
      </c>
      <c r="NAW1" t="s">
        <v>9884</v>
      </c>
      <c r="NAX1" t="s">
        <v>9885</v>
      </c>
      <c r="NAY1" t="s">
        <v>9886</v>
      </c>
      <c r="NAZ1" t="s">
        <v>9887</v>
      </c>
      <c r="NBA1" t="s">
        <v>9888</v>
      </c>
      <c r="NBB1" t="s">
        <v>9889</v>
      </c>
      <c r="NBC1" t="s">
        <v>9890</v>
      </c>
      <c r="NBD1" t="s">
        <v>9891</v>
      </c>
      <c r="NBE1" t="s">
        <v>9892</v>
      </c>
      <c r="NBF1" t="s">
        <v>9893</v>
      </c>
      <c r="NBG1" t="s">
        <v>9894</v>
      </c>
      <c r="NBH1" t="s">
        <v>9895</v>
      </c>
      <c r="NBI1" t="s">
        <v>9896</v>
      </c>
      <c r="NBJ1" t="s">
        <v>9897</v>
      </c>
      <c r="NBK1" t="s">
        <v>9898</v>
      </c>
      <c r="NBL1" t="s">
        <v>9899</v>
      </c>
      <c r="NBM1" t="s">
        <v>9900</v>
      </c>
      <c r="NBN1" t="s">
        <v>9901</v>
      </c>
      <c r="NBO1" t="s">
        <v>9902</v>
      </c>
      <c r="NBP1" t="s">
        <v>9903</v>
      </c>
      <c r="NBQ1" t="s">
        <v>9904</v>
      </c>
      <c r="NBR1" t="s">
        <v>9905</v>
      </c>
      <c r="NBS1" t="s">
        <v>9906</v>
      </c>
      <c r="NBT1" t="s">
        <v>9907</v>
      </c>
      <c r="NBU1" t="s">
        <v>9908</v>
      </c>
      <c r="NBV1" t="s">
        <v>9909</v>
      </c>
      <c r="NBW1" t="s">
        <v>9910</v>
      </c>
      <c r="NBX1" t="s">
        <v>9911</v>
      </c>
      <c r="NBY1" t="s">
        <v>9912</v>
      </c>
      <c r="NBZ1" t="s">
        <v>9913</v>
      </c>
      <c r="NCA1" t="s">
        <v>9914</v>
      </c>
      <c r="NCB1" t="s">
        <v>9915</v>
      </c>
      <c r="NCC1" t="s">
        <v>9916</v>
      </c>
      <c r="NCD1" t="s">
        <v>9917</v>
      </c>
      <c r="NCE1" t="s">
        <v>9918</v>
      </c>
      <c r="NCF1" t="s">
        <v>9919</v>
      </c>
      <c r="NCG1" t="s">
        <v>9920</v>
      </c>
      <c r="NCH1" t="s">
        <v>9921</v>
      </c>
      <c r="NCI1" t="s">
        <v>9922</v>
      </c>
      <c r="NCJ1" t="s">
        <v>9923</v>
      </c>
      <c r="NCK1" t="s">
        <v>9924</v>
      </c>
      <c r="NCL1" t="s">
        <v>9925</v>
      </c>
      <c r="NCM1" t="s">
        <v>9926</v>
      </c>
      <c r="NCN1" t="s">
        <v>9927</v>
      </c>
      <c r="NCO1" t="s">
        <v>9928</v>
      </c>
      <c r="NCP1" t="s">
        <v>9929</v>
      </c>
      <c r="NCQ1" t="s">
        <v>9930</v>
      </c>
      <c r="NCR1" t="s">
        <v>9931</v>
      </c>
      <c r="NCS1" t="s">
        <v>9932</v>
      </c>
      <c r="NCT1" t="s">
        <v>9933</v>
      </c>
      <c r="NCU1" t="s">
        <v>9934</v>
      </c>
      <c r="NCV1" t="s">
        <v>9935</v>
      </c>
      <c r="NCW1" t="s">
        <v>9936</v>
      </c>
      <c r="NCX1" t="s">
        <v>9937</v>
      </c>
      <c r="NCY1" t="s">
        <v>9938</v>
      </c>
      <c r="NCZ1" t="s">
        <v>9939</v>
      </c>
      <c r="NDA1" t="s">
        <v>9940</v>
      </c>
      <c r="NDB1" t="s">
        <v>9941</v>
      </c>
      <c r="NDC1" t="s">
        <v>9942</v>
      </c>
      <c r="NDD1" t="s">
        <v>9943</v>
      </c>
      <c r="NDE1" t="s">
        <v>9944</v>
      </c>
      <c r="NDF1" t="s">
        <v>9945</v>
      </c>
      <c r="NDG1" t="s">
        <v>9946</v>
      </c>
      <c r="NDH1" t="s">
        <v>9947</v>
      </c>
      <c r="NDI1" t="s">
        <v>9948</v>
      </c>
      <c r="NDJ1" t="s">
        <v>9949</v>
      </c>
      <c r="NDK1" t="s">
        <v>9950</v>
      </c>
      <c r="NDL1" t="s">
        <v>9951</v>
      </c>
      <c r="NDM1" t="s">
        <v>9952</v>
      </c>
      <c r="NDN1" t="s">
        <v>9953</v>
      </c>
      <c r="NDO1" t="s">
        <v>9954</v>
      </c>
      <c r="NDP1" t="s">
        <v>9955</v>
      </c>
      <c r="NDQ1" t="s">
        <v>9956</v>
      </c>
      <c r="NDR1" t="s">
        <v>9957</v>
      </c>
      <c r="NDS1" t="s">
        <v>9958</v>
      </c>
      <c r="NDT1" t="s">
        <v>9959</v>
      </c>
      <c r="NDU1" t="s">
        <v>9960</v>
      </c>
      <c r="NDV1" t="s">
        <v>9961</v>
      </c>
      <c r="NDW1" t="s">
        <v>9962</v>
      </c>
      <c r="NDX1" t="s">
        <v>9963</v>
      </c>
      <c r="NDY1" t="s">
        <v>9964</v>
      </c>
      <c r="NDZ1" t="s">
        <v>9965</v>
      </c>
      <c r="NEA1" t="s">
        <v>9966</v>
      </c>
      <c r="NEB1" t="s">
        <v>9967</v>
      </c>
      <c r="NEC1" t="s">
        <v>9968</v>
      </c>
      <c r="NED1" t="s">
        <v>9969</v>
      </c>
      <c r="NEE1" t="s">
        <v>9970</v>
      </c>
      <c r="NEF1" t="s">
        <v>9971</v>
      </c>
      <c r="NEG1" t="s">
        <v>9972</v>
      </c>
      <c r="NEH1" t="s">
        <v>9973</v>
      </c>
      <c r="NEI1" t="s">
        <v>9974</v>
      </c>
      <c r="NEJ1" t="s">
        <v>9975</v>
      </c>
      <c r="NEK1" t="s">
        <v>9976</v>
      </c>
      <c r="NEL1" t="s">
        <v>9977</v>
      </c>
      <c r="NEM1" t="s">
        <v>9978</v>
      </c>
      <c r="NEN1" t="s">
        <v>9979</v>
      </c>
      <c r="NEO1" t="s">
        <v>9980</v>
      </c>
      <c r="NEP1" t="s">
        <v>9981</v>
      </c>
      <c r="NEQ1" t="s">
        <v>9982</v>
      </c>
      <c r="NER1" t="s">
        <v>9983</v>
      </c>
      <c r="NES1" t="s">
        <v>9984</v>
      </c>
      <c r="NET1" t="s">
        <v>9985</v>
      </c>
      <c r="NEU1" t="s">
        <v>9986</v>
      </c>
      <c r="NEV1" t="s">
        <v>9987</v>
      </c>
      <c r="NEW1" t="s">
        <v>9988</v>
      </c>
      <c r="NEX1" t="s">
        <v>9989</v>
      </c>
      <c r="NEY1" t="s">
        <v>9990</v>
      </c>
      <c r="NEZ1" t="s">
        <v>9991</v>
      </c>
      <c r="NFA1" t="s">
        <v>9992</v>
      </c>
      <c r="NFB1" t="s">
        <v>9993</v>
      </c>
      <c r="NFC1" t="s">
        <v>9994</v>
      </c>
      <c r="NFD1" t="s">
        <v>9995</v>
      </c>
      <c r="NFE1" t="s">
        <v>9996</v>
      </c>
      <c r="NFF1" t="s">
        <v>9997</v>
      </c>
      <c r="NFG1" t="s">
        <v>9998</v>
      </c>
      <c r="NFH1" t="s">
        <v>9999</v>
      </c>
      <c r="NFI1" t="s">
        <v>10000</v>
      </c>
      <c r="NFJ1" t="s">
        <v>10001</v>
      </c>
      <c r="NFK1" t="s">
        <v>10002</v>
      </c>
      <c r="NFL1" t="s">
        <v>10003</v>
      </c>
      <c r="NFM1" t="s">
        <v>10004</v>
      </c>
      <c r="NFN1" t="s">
        <v>10005</v>
      </c>
      <c r="NFO1" t="s">
        <v>10006</v>
      </c>
      <c r="NFP1" t="s">
        <v>10007</v>
      </c>
      <c r="NFQ1" t="s">
        <v>10008</v>
      </c>
      <c r="NFR1" t="s">
        <v>10009</v>
      </c>
      <c r="NFS1" t="s">
        <v>10010</v>
      </c>
      <c r="NFT1" t="s">
        <v>10011</v>
      </c>
      <c r="NFU1" t="s">
        <v>10012</v>
      </c>
      <c r="NFV1" t="s">
        <v>10013</v>
      </c>
      <c r="NFW1" t="s">
        <v>10014</v>
      </c>
      <c r="NFX1" t="s">
        <v>10015</v>
      </c>
      <c r="NFY1" t="s">
        <v>10016</v>
      </c>
      <c r="NFZ1" t="s">
        <v>10017</v>
      </c>
      <c r="NGA1" t="s">
        <v>10018</v>
      </c>
      <c r="NGB1" t="s">
        <v>10019</v>
      </c>
      <c r="NGC1" t="s">
        <v>10020</v>
      </c>
      <c r="NGD1" t="s">
        <v>10021</v>
      </c>
      <c r="NGE1" t="s">
        <v>10022</v>
      </c>
      <c r="NGF1" t="s">
        <v>10023</v>
      </c>
      <c r="NGG1" t="s">
        <v>10024</v>
      </c>
      <c r="NGH1" t="s">
        <v>10025</v>
      </c>
      <c r="NGI1" t="s">
        <v>10026</v>
      </c>
      <c r="NGJ1" t="s">
        <v>10027</v>
      </c>
      <c r="NGK1" t="s">
        <v>10028</v>
      </c>
      <c r="NGL1" t="s">
        <v>10029</v>
      </c>
      <c r="NGM1" t="s">
        <v>10030</v>
      </c>
      <c r="NGN1" t="s">
        <v>10031</v>
      </c>
      <c r="NGO1" t="s">
        <v>10032</v>
      </c>
      <c r="NGP1" t="s">
        <v>10033</v>
      </c>
      <c r="NGQ1" t="s">
        <v>10034</v>
      </c>
      <c r="NGR1" t="s">
        <v>10035</v>
      </c>
      <c r="NGS1" t="s">
        <v>10036</v>
      </c>
      <c r="NGT1" t="s">
        <v>10037</v>
      </c>
      <c r="NGU1" t="s">
        <v>10038</v>
      </c>
      <c r="NGV1" t="s">
        <v>10039</v>
      </c>
      <c r="NGW1" t="s">
        <v>10040</v>
      </c>
      <c r="NGX1" t="s">
        <v>10041</v>
      </c>
      <c r="NGY1" t="s">
        <v>10042</v>
      </c>
      <c r="NGZ1" t="s">
        <v>10043</v>
      </c>
      <c r="NHA1" t="s">
        <v>10044</v>
      </c>
      <c r="NHB1" t="s">
        <v>10045</v>
      </c>
      <c r="NHC1" t="s">
        <v>10046</v>
      </c>
      <c r="NHD1" t="s">
        <v>10047</v>
      </c>
      <c r="NHE1" t="s">
        <v>10048</v>
      </c>
      <c r="NHF1" t="s">
        <v>10049</v>
      </c>
      <c r="NHG1" t="s">
        <v>10050</v>
      </c>
      <c r="NHH1" t="s">
        <v>10051</v>
      </c>
      <c r="NHI1" t="s">
        <v>10052</v>
      </c>
      <c r="NHJ1" t="s">
        <v>10053</v>
      </c>
      <c r="NHK1" t="s">
        <v>10054</v>
      </c>
      <c r="NHL1" t="s">
        <v>10055</v>
      </c>
      <c r="NHM1" t="s">
        <v>10056</v>
      </c>
      <c r="NHN1" t="s">
        <v>10057</v>
      </c>
      <c r="NHO1" t="s">
        <v>10058</v>
      </c>
      <c r="NHP1" t="s">
        <v>10059</v>
      </c>
      <c r="NHQ1" t="s">
        <v>10060</v>
      </c>
      <c r="NHR1" t="s">
        <v>10061</v>
      </c>
      <c r="NHS1" t="s">
        <v>10062</v>
      </c>
      <c r="NHT1" t="s">
        <v>10063</v>
      </c>
      <c r="NHU1" t="s">
        <v>10064</v>
      </c>
      <c r="NHV1" t="s">
        <v>10065</v>
      </c>
      <c r="NHW1" t="s">
        <v>10066</v>
      </c>
      <c r="NHX1" t="s">
        <v>10067</v>
      </c>
      <c r="NHY1" t="s">
        <v>10068</v>
      </c>
      <c r="NHZ1" t="s">
        <v>10069</v>
      </c>
      <c r="NIA1" t="s">
        <v>10070</v>
      </c>
      <c r="NIB1" t="s">
        <v>10071</v>
      </c>
      <c r="NIC1" t="s">
        <v>10072</v>
      </c>
      <c r="NID1" t="s">
        <v>10073</v>
      </c>
      <c r="NIE1" t="s">
        <v>10074</v>
      </c>
      <c r="NIF1" t="s">
        <v>10075</v>
      </c>
      <c r="NIG1" t="s">
        <v>10076</v>
      </c>
      <c r="NIH1" t="s">
        <v>10077</v>
      </c>
      <c r="NII1" t="s">
        <v>10078</v>
      </c>
      <c r="NIJ1" t="s">
        <v>10079</v>
      </c>
      <c r="NIK1" t="s">
        <v>10080</v>
      </c>
      <c r="NIL1" t="s">
        <v>10081</v>
      </c>
      <c r="NIM1" t="s">
        <v>10082</v>
      </c>
      <c r="NIN1" t="s">
        <v>10083</v>
      </c>
      <c r="NIO1" t="s">
        <v>10084</v>
      </c>
      <c r="NIP1" t="s">
        <v>10085</v>
      </c>
      <c r="NIQ1" t="s">
        <v>10086</v>
      </c>
      <c r="NIR1" t="s">
        <v>10087</v>
      </c>
      <c r="NIS1" t="s">
        <v>10088</v>
      </c>
      <c r="NIT1" t="s">
        <v>10089</v>
      </c>
      <c r="NIU1" t="s">
        <v>10090</v>
      </c>
      <c r="NIV1" t="s">
        <v>10091</v>
      </c>
      <c r="NIW1" t="s">
        <v>10092</v>
      </c>
      <c r="NIX1" t="s">
        <v>10093</v>
      </c>
      <c r="NIY1" t="s">
        <v>10094</v>
      </c>
      <c r="NIZ1" t="s">
        <v>10095</v>
      </c>
      <c r="NJA1" t="s">
        <v>10096</v>
      </c>
      <c r="NJB1" t="s">
        <v>10097</v>
      </c>
      <c r="NJC1" t="s">
        <v>10098</v>
      </c>
      <c r="NJD1" t="s">
        <v>10099</v>
      </c>
      <c r="NJE1" t="s">
        <v>10100</v>
      </c>
      <c r="NJF1" t="s">
        <v>10101</v>
      </c>
      <c r="NJG1" t="s">
        <v>10102</v>
      </c>
      <c r="NJH1" t="s">
        <v>10103</v>
      </c>
      <c r="NJI1" t="s">
        <v>10104</v>
      </c>
      <c r="NJJ1" t="s">
        <v>10105</v>
      </c>
      <c r="NJK1" t="s">
        <v>10106</v>
      </c>
      <c r="NJL1" t="s">
        <v>10107</v>
      </c>
      <c r="NJM1" t="s">
        <v>10108</v>
      </c>
      <c r="NJN1" t="s">
        <v>10109</v>
      </c>
      <c r="NJO1" t="s">
        <v>10110</v>
      </c>
      <c r="NJP1" t="s">
        <v>10111</v>
      </c>
      <c r="NJQ1" t="s">
        <v>10112</v>
      </c>
      <c r="NJR1" t="s">
        <v>10113</v>
      </c>
      <c r="NJS1" t="s">
        <v>10114</v>
      </c>
      <c r="NJT1" t="s">
        <v>10115</v>
      </c>
      <c r="NJU1" t="s">
        <v>10116</v>
      </c>
      <c r="NJV1" t="s">
        <v>10117</v>
      </c>
      <c r="NJW1" t="s">
        <v>10118</v>
      </c>
      <c r="NJX1" t="s">
        <v>10119</v>
      </c>
      <c r="NJY1" t="s">
        <v>10120</v>
      </c>
      <c r="NJZ1" t="s">
        <v>10121</v>
      </c>
      <c r="NKA1" t="s">
        <v>10122</v>
      </c>
      <c r="NKB1" t="s">
        <v>10123</v>
      </c>
      <c r="NKC1" t="s">
        <v>10124</v>
      </c>
      <c r="NKD1" t="s">
        <v>10125</v>
      </c>
      <c r="NKE1" t="s">
        <v>10126</v>
      </c>
      <c r="NKF1" t="s">
        <v>10127</v>
      </c>
      <c r="NKG1" t="s">
        <v>10128</v>
      </c>
      <c r="NKH1" t="s">
        <v>10129</v>
      </c>
      <c r="NKI1" t="s">
        <v>10130</v>
      </c>
      <c r="NKJ1" t="s">
        <v>10131</v>
      </c>
      <c r="NKK1" t="s">
        <v>10132</v>
      </c>
      <c r="NKL1" t="s">
        <v>10133</v>
      </c>
      <c r="NKM1" t="s">
        <v>10134</v>
      </c>
      <c r="NKN1" t="s">
        <v>10135</v>
      </c>
      <c r="NKO1" t="s">
        <v>10136</v>
      </c>
      <c r="NKP1" t="s">
        <v>10137</v>
      </c>
      <c r="NKQ1" t="s">
        <v>10138</v>
      </c>
      <c r="NKR1" t="s">
        <v>10139</v>
      </c>
      <c r="NKS1" t="s">
        <v>10140</v>
      </c>
      <c r="NKT1" t="s">
        <v>10141</v>
      </c>
      <c r="NKU1" t="s">
        <v>10142</v>
      </c>
      <c r="NKV1" t="s">
        <v>10143</v>
      </c>
      <c r="NKW1" t="s">
        <v>10144</v>
      </c>
      <c r="NKX1" t="s">
        <v>10145</v>
      </c>
      <c r="NKY1" t="s">
        <v>10146</v>
      </c>
      <c r="NKZ1" t="s">
        <v>10147</v>
      </c>
      <c r="NLA1" t="s">
        <v>10148</v>
      </c>
      <c r="NLB1" t="s">
        <v>10149</v>
      </c>
      <c r="NLC1" t="s">
        <v>10150</v>
      </c>
      <c r="NLD1" t="s">
        <v>10151</v>
      </c>
      <c r="NLE1" t="s">
        <v>10152</v>
      </c>
      <c r="NLF1" t="s">
        <v>10153</v>
      </c>
      <c r="NLG1" t="s">
        <v>10154</v>
      </c>
      <c r="NLH1" t="s">
        <v>10155</v>
      </c>
      <c r="NLI1" t="s">
        <v>10156</v>
      </c>
      <c r="NLJ1" t="s">
        <v>10157</v>
      </c>
      <c r="NLK1" t="s">
        <v>10158</v>
      </c>
      <c r="NLL1" t="s">
        <v>10159</v>
      </c>
      <c r="NLM1" t="s">
        <v>10160</v>
      </c>
      <c r="NLN1" t="s">
        <v>10161</v>
      </c>
      <c r="NLO1" t="s">
        <v>10162</v>
      </c>
      <c r="NLP1" t="s">
        <v>10163</v>
      </c>
      <c r="NLQ1" t="s">
        <v>10164</v>
      </c>
      <c r="NLR1" t="s">
        <v>10165</v>
      </c>
      <c r="NLS1" t="s">
        <v>10166</v>
      </c>
      <c r="NLT1" t="s">
        <v>10167</v>
      </c>
      <c r="NLU1" t="s">
        <v>10168</v>
      </c>
      <c r="NLV1" t="s">
        <v>10169</v>
      </c>
      <c r="NLW1" t="s">
        <v>10170</v>
      </c>
      <c r="NLX1" t="s">
        <v>10171</v>
      </c>
      <c r="NLY1" t="s">
        <v>10172</v>
      </c>
      <c r="NLZ1" t="s">
        <v>10173</v>
      </c>
      <c r="NMA1" t="s">
        <v>10174</v>
      </c>
      <c r="NMB1" t="s">
        <v>10175</v>
      </c>
      <c r="NMC1" t="s">
        <v>10176</v>
      </c>
      <c r="NMD1" t="s">
        <v>10177</v>
      </c>
      <c r="NME1" t="s">
        <v>10178</v>
      </c>
      <c r="NMF1" t="s">
        <v>10179</v>
      </c>
      <c r="NMG1" t="s">
        <v>10180</v>
      </c>
      <c r="NMH1" t="s">
        <v>10181</v>
      </c>
      <c r="NMI1" t="s">
        <v>10182</v>
      </c>
      <c r="NMJ1" t="s">
        <v>10183</v>
      </c>
      <c r="NMK1" t="s">
        <v>10184</v>
      </c>
      <c r="NML1" t="s">
        <v>10185</v>
      </c>
      <c r="NMM1" t="s">
        <v>10186</v>
      </c>
      <c r="NMN1" t="s">
        <v>10187</v>
      </c>
      <c r="NMO1" t="s">
        <v>10188</v>
      </c>
      <c r="NMP1" t="s">
        <v>10189</v>
      </c>
      <c r="NMQ1" t="s">
        <v>10190</v>
      </c>
      <c r="NMR1" t="s">
        <v>10191</v>
      </c>
      <c r="NMS1" t="s">
        <v>10192</v>
      </c>
      <c r="NMT1" t="s">
        <v>10193</v>
      </c>
      <c r="NMU1" t="s">
        <v>10194</v>
      </c>
      <c r="NMV1" t="s">
        <v>10195</v>
      </c>
      <c r="NMW1" t="s">
        <v>10196</v>
      </c>
      <c r="NMX1" t="s">
        <v>10197</v>
      </c>
      <c r="NMY1" t="s">
        <v>10198</v>
      </c>
      <c r="NMZ1" t="s">
        <v>10199</v>
      </c>
      <c r="NNA1" t="s">
        <v>10200</v>
      </c>
      <c r="NNB1" t="s">
        <v>10201</v>
      </c>
      <c r="NNC1" t="s">
        <v>10202</v>
      </c>
      <c r="NND1" t="s">
        <v>10203</v>
      </c>
      <c r="NNE1" t="s">
        <v>10204</v>
      </c>
      <c r="NNF1" t="s">
        <v>10205</v>
      </c>
      <c r="NNG1" t="s">
        <v>10206</v>
      </c>
      <c r="NNH1" t="s">
        <v>10207</v>
      </c>
      <c r="NNI1" t="s">
        <v>10208</v>
      </c>
      <c r="NNJ1" t="s">
        <v>10209</v>
      </c>
      <c r="NNK1" t="s">
        <v>10210</v>
      </c>
      <c r="NNL1" t="s">
        <v>10211</v>
      </c>
      <c r="NNM1" t="s">
        <v>10212</v>
      </c>
      <c r="NNN1" t="s">
        <v>10213</v>
      </c>
      <c r="NNO1" t="s">
        <v>10214</v>
      </c>
      <c r="NNP1" t="s">
        <v>10215</v>
      </c>
      <c r="NNQ1" t="s">
        <v>10216</v>
      </c>
      <c r="NNR1" t="s">
        <v>10217</v>
      </c>
      <c r="NNS1" t="s">
        <v>10218</v>
      </c>
      <c r="NNT1" t="s">
        <v>10219</v>
      </c>
      <c r="NNU1" t="s">
        <v>10220</v>
      </c>
      <c r="NNV1" t="s">
        <v>10221</v>
      </c>
      <c r="NNW1" t="s">
        <v>10222</v>
      </c>
      <c r="NNX1" t="s">
        <v>10223</v>
      </c>
      <c r="NNY1" t="s">
        <v>10224</v>
      </c>
      <c r="NNZ1" t="s">
        <v>10225</v>
      </c>
      <c r="NOA1" t="s">
        <v>10226</v>
      </c>
      <c r="NOB1" t="s">
        <v>10227</v>
      </c>
      <c r="NOC1" t="s">
        <v>10228</v>
      </c>
      <c r="NOD1" t="s">
        <v>10229</v>
      </c>
      <c r="NOE1" t="s">
        <v>10230</v>
      </c>
      <c r="NOF1" t="s">
        <v>10231</v>
      </c>
      <c r="NOG1" t="s">
        <v>10232</v>
      </c>
      <c r="NOH1" t="s">
        <v>10233</v>
      </c>
      <c r="NOI1" t="s">
        <v>10234</v>
      </c>
      <c r="NOJ1" t="s">
        <v>10235</v>
      </c>
      <c r="NOK1" t="s">
        <v>10236</v>
      </c>
      <c r="NOL1" t="s">
        <v>10237</v>
      </c>
      <c r="NOM1" t="s">
        <v>10238</v>
      </c>
      <c r="NON1" t="s">
        <v>10239</v>
      </c>
      <c r="NOO1" t="s">
        <v>10240</v>
      </c>
      <c r="NOP1" t="s">
        <v>10241</v>
      </c>
      <c r="NOQ1" t="s">
        <v>10242</v>
      </c>
      <c r="NOR1" t="s">
        <v>10243</v>
      </c>
      <c r="NOS1" t="s">
        <v>10244</v>
      </c>
      <c r="NOT1" t="s">
        <v>10245</v>
      </c>
      <c r="NOU1" t="s">
        <v>10246</v>
      </c>
      <c r="NOV1" t="s">
        <v>10247</v>
      </c>
      <c r="NOW1" t="s">
        <v>10248</v>
      </c>
      <c r="NOX1" t="s">
        <v>10249</v>
      </c>
      <c r="NOY1" t="s">
        <v>10250</v>
      </c>
      <c r="NOZ1" t="s">
        <v>10251</v>
      </c>
      <c r="NPA1" t="s">
        <v>10252</v>
      </c>
      <c r="NPB1" t="s">
        <v>10253</v>
      </c>
      <c r="NPC1" t="s">
        <v>10254</v>
      </c>
      <c r="NPD1" t="s">
        <v>10255</v>
      </c>
      <c r="NPE1" t="s">
        <v>10256</v>
      </c>
      <c r="NPF1" t="s">
        <v>10257</v>
      </c>
      <c r="NPG1" t="s">
        <v>10258</v>
      </c>
      <c r="NPH1" t="s">
        <v>10259</v>
      </c>
      <c r="NPI1" t="s">
        <v>10260</v>
      </c>
      <c r="NPJ1" t="s">
        <v>10261</v>
      </c>
      <c r="NPK1" t="s">
        <v>10262</v>
      </c>
      <c r="NPL1" t="s">
        <v>10263</v>
      </c>
      <c r="NPM1" t="s">
        <v>10264</v>
      </c>
      <c r="NPN1" t="s">
        <v>10265</v>
      </c>
      <c r="NPO1" t="s">
        <v>10266</v>
      </c>
      <c r="NPP1" t="s">
        <v>10267</v>
      </c>
      <c r="NPQ1" t="s">
        <v>10268</v>
      </c>
      <c r="NPR1" t="s">
        <v>10269</v>
      </c>
      <c r="NPS1" t="s">
        <v>10270</v>
      </c>
      <c r="NPT1" t="s">
        <v>10271</v>
      </c>
      <c r="NPU1" t="s">
        <v>10272</v>
      </c>
      <c r="NPV1" t="s">
        <v>10273</v>
      </c>
      <c r="NPW1" t="s">
        <v>10274</v>
      </c>
      <c r="NPX1" t="s">
        <v>10275</v>
      </c>
      <c r="NPY1" t="s">
        <v>10276</v>
      </c>
      <c r="NPZ1" t="s">
        <v>10277</v>
      </c>
      <c r="NQA1" t="s">
        <v>10278</v>
      </c>
      <c r="NQB1" t="s">
        <v>10279</v>
      </c>
      <c r="NQC1" t="s">
        <v>10280</v>
      </c>
      <c r="NQD1" t="s">
        <v>10281</v>
      </c>
      <c r="NQE1" t="s">
        <v>10282</v>
      </c>
      <c r="NQF1" t="s">
        <v>10283</v>
      </c>
      <c r="NQG1" t="s">
        <v>10284</v>
      </c>
      <c r="NQH1" t="s">
        <v>10285</v>
      </c>
      <c r="NQI1" t="s">
        <v>10286</v>
      </c>
      <c r="NQJ1" t="s">
        <v>10287</v>
      </c>
      <c r="NQK1" t="s">
        <v>10288</v>
      </c>
      <c r="NQL1" t="s">
        <v>10289</v>
      </c>
      <c r="NQM1" t="s">
        <v>10290</v>
      </c>
      <c r="NQN1" t="s">
        <v>10291</v>
      </c>
      <c r="NQO1" t="s">
        <v>10292</v>
      </c>
      <c r="NQP1" t="s">
        <v>10293</v>
      </c>
      <c r="NQQ1" t="s">
        <v>10294</v>
      </c>
      <c r="NQR1" t="s">
        <v>10295</v>
      </c>
      <c r="NQS1" t="s">
        <v>10296</v>
      </c>
      <c r="NQT1" t="s">
        <v>10297</v>
      </c>
      <c r="NQU1" t="s">
        <v>10298</v>
      </c>
      <c r="NQV1" t="s">
        <v>10299</v>
      </c>
      <c r="NQW1" t="s">
        <v>10300</v>
      </c>
      <c r="NQX1" t="s">
        <v>10301</v>
      </c>
      <c r="NQY1" t="s">
        <v>10302</v>
      </c>
      <c r="NQZ1" t="s">
        <v>10303</v>
      </c>
      <c r="NRA1" t="s">
        <v>10304</v>
      </c>
      <c r="NRB1" t="s">
        <v>10305</v>
      </c>
      <c r="NRC1" t="s">
        <v>10306</v>
      </c>
      <c r="NRD1" t="s">
        <v>10307</v>
      </c>
      <c r="NRE1" t="s">
        <v>10308</v>
      </c>
      <c r="NRF1" t="s">
        <v>10309</v>
      </c>
      <c r="NRG1" t="s">
        <v>10310</v>
      </c>
      <c r="NRH1" t="s">
        <v>10311</v>
      </c>
      <c r="NRI1" t="s">
        <v>10312</v>
      </c>
      <c r="NRJ1" t="s">
        <v>10313</v>
      </c>
      <c r="NRK1" t="s">
        <v>10314</v>
      </c>
      <c r="NRL1" t="s">
        <v>10315</v>
      </c>
      <c r="NRM1" t="s">
        <v>10316</v>
      </c>
      <c r="NRN1" t="s">
        <v>10317</v>
      </c>
      <c r="NRO1" t="s">
        <v>10318</v>
      </c>
      <c r="NRP1" t="s">
        <v>10319</v>
      </c>
      <c r="NRQ1" t="s">
        <v>10320</v>
      </c>
      <c r="NRR1" t="s">
        <v>10321</v>
      </c>
      <c r="NRS1" t="s">
        <v>10322</v>
      </c>
      <c r="NRT1" t="s">
        <v>10323</v>
      </c>
      <c r="NRU1" t="s">
        <v>10324</v>
      </c>
      <c r="NRV1" t="s">
        <v>10325</v>
      </c>
      <c r="NRW1" t="s">
        <v>10326</v>
      </c>
      <c r="NRX1" t="s">
        <v>10327</v>
      </c>
      <c r="NRY1" t="s">
        <v>10328</v>
      </c>
      <c r="NRZ1" t="s">
        <v>10329</v>
      </c>
      <c r="NSA1" t="s">
        <v>10330</v>
      </c>
      <c r="NSB1" t="s">
        <v>10331</v>
      </c>
      <c r="NSC1" t="s">
        <v>10332</v>
      </c>
      <c r="NSD1" t="s">
        <v>10333</v>
      </c>
      <c r="NSE1" t="s">
        <v>10334</v>
      </c>
      <c r="NSF1" t="s">
        <v>10335</v>
      </c>
      <c r="NSG1" t="s">
        <v>10336</v>
      </c>
      <c r="NSH1" t="s">
        <v>10337</v>
      </c>
      <c r="NSI1" t="s">
        <v>10338</v>
      </c>
      <c r="NSJ1" t="s">
        <v>10339</v>
      </c>
      <c r="NSK1" t="s">
        <v>10340</v>
      </c>
      <c r="NSL1" t="s">
        <v>10341</v>
      </c>
      <c r="NSM1" t="s">
        <v>10342</v>
      </c>
      <c r="NSN1" t="s">
        <v>10343</v>
      </c>
      <c r="NSO1" t="s">
        <v>10344</v>
      </c>
      <c r="NSP1" t="s">
        <v>10345</v>
      </c>
      <c r="NSQ1" t="s">
        <v>10346</v>
      </c>
      <c r="NSR1" t="s">
        <v>10347</v>
      </c>
      <c r="NSS1" t="s">
        <v>10348</v>
      </c>
      <c r="NST1" t="s">
        <v>10349</v>
      </c>
      <c r="NSU1" t="s">
        <v>10350</v>
      </c>
      <c r="NSV1" t="s">
        <v>10351</v>
      </c>
      <c r="NSW1" t="s">
        <v>10352</v>
      </c>
      <c r="NSX1" t="s">
        <v>10353</v>
      </c>
      <c r="NSY1" t="s">
        <v>10354</v>
      </c>
      <c r="NSZ1" t="s">
        <v>10355</v>
      </c>
      <c r="NTA1" t="s">
        <v>10356</v>
      </c>
      <c r="NTB1" t="s">
        <v>10357</v>
      </c>
      <c r="NTC1" t="s">
        <v>10358</v>
      </c>
      <c r="NTD1" t="s">
        <v>10359</v>
      </c>
      <c r="NTE1" t="s">
        <v>10360</v>
      </c>
      <c r="NTF1" t="s">
        <v>10361</v>
      </c>
      <c r="NTG1" t="s">
        <v>10362</v>
      </c>
      <c r="NTH1" t="s">
        <v>10363</v>
      </c>
      <c r="NTI1" t="s">
        <v>10364</v>
      </c>
      <c r="NTJ1" t="s">
        <v>10365</v>
      </c>
      <c r="NTK1" t="s">
        <v>10366</v>
      </c>
      <c r="NTL1" t="s">
        <v>10367</v>
      </c>
      <c r="NTM1" t="s">
        <v>10368</v>
      </c>
      <c r="NTN1" t="s">
        <v>10369</v>
      </c>
      <c r="NTO1" t="s">
        <v>10370</v>
      </c>
      <c r="NTP1" t="s">
        <v>10371</v>
      </c>
      <c r="NTQ1" t="s">
        <v>10372</v>
      </c>
      <c r="NTR1" t="s">
        <v>10373</v>
      </c>
      <c r="NTS1" t="s">
        <v>10374</v>
      </c>
      <c r="NTT1" t="s">
        <v>10375</v>
      </c>
      <c r="NTU1" t="s">
        <v>10376</v>
      </c>
      <c r="NTV1" t="s">
        <v>10377</v>
      </c>
      <c r="NTW1" t="s">
        <v>10378</v>
      </c>
      <c r="NTX1" t="s">
        <v>10379</v>
      </c>
      <c r="NTY1" t="s">
        <v>10380</v>
      </c>
      <c r="NTZ1" t="s">
        <v>10381</v>
      </c>
      <c r="NUA1" t="s">
        <v>10382</v>
      </c>
      <c r="NUB1" t="s">
        <v>10383</v>
      </c>
      <c r="NUC1" t="s">
        <v>10384</v>
      </c>
      <c r="NUD1" t="s">
        <v>10385</v>
      </c>
      <c r="NUE1" t="s">
        <v>10386</v>
      </c>
      <c r="NUF1" t="s">
        <v>10387</v>
      </c>
      <c r="NUG1" t="s">
        <v>10388</v>
      </c>
      <c r="NUH1" t="s">
        <v>10389</v>
      </c>
      <c r="NUI1" t="s">
        <v>10390</v>
      </c>
      <c r="NUJ1" t="s">
        <v>10391</v>
      </c>
      <c r="NUK1" t="s">
        <v>10392</v>
      </c>
      <c r="NUL1" t="s">
        <v>10393</v>
      </c>
      <c r="NUM1" t="s">
        <v>10394</v>
      </c>
      <c r="NUN1" t="s">
        <v>10395</v>
      </c>
      <c r="NUO1" t="s">
        <v>10396</v>
      </c>
      <c r="NUP1" t="s">
        <v>10397</v>
      </c>
      <c r="NUQ1" t="s">
        <v>10398</v>
      </c>
      <c r="NUR1" t="s">
        <v>10399</v>
      </c>
      <c r="NUS1" t="s">
        <v>10400</v>
      </c>
      <c r="NUT1" t="s">
        <v>10401</v>
      </c>
      <c r="NUU1" t="s">
        <v>10402</v>
      </c>
      <c r="NUV1" t="s">
        <v>10403</v>
      </c>
      <c r="NUW1" t="s">
        <v>10404</v>
      </c>
      <c r="NUX1" t="s">
        <v>10405</v>
      </c>
      <c r="NUY1" t="s">
        <v>10406</v>
      </c>
      <c r="NUZ1" t="s">
        <v>10407</v>
      </c>
      <c r="NVA1" t="s">
        <v>10408</v>
      </c>
      <c r="NVB1" t="s">
        <v>10409</v>
      </c>
      <c r="NVC1" t="s">
        <v>10410</v>
      </c>
      <c r="NVD1" t="s">
        <v>10411</v>
      </c>
      <c r="NVE1" t="s">
        <v>10412</v>
      </c>
      <c r="NVF1" t="s">
        <v>10413</v>
      </c>
      <c r="NVG1" t="s">
        <v>10414</v>
      </c>
      <c r="NVH1" t="s">
        <v>10415</v>
      </c>
      <c r="NVI1" t="s">
        <v>10416</v>
      </c>
      <c r="NVJ1" t="s">
        <v>10417</v>
      </c>
      <c r="NVK1" t="s">
        <v>10418</v>
      </c>
      <c r="NVL1" t="s">
        <v>10419</v>
      </c>
      <c r="NVM1" t="s">
        <v>10420</v>
      </c>
      <c r="NVN1" t="s">
        <v>10421</v>
      </c>
      <c r="NVO1" t="s">
        <v>10422</v>
      </c>
      <c r="NVP1" t="s">
        <v>10423</v>
      </c>
      <c r="NVQ1" t="s">
        <v>10424</v>
      </c>
      <c r="NVR1" t="s">
        <v>10425</v>
      </c>
      <c r="NVS1" t="s">
        <v>10426</v>
      </c>
      <c r="NVT1" t="s">
        <v>10427</v>
      </c>
      <c r="NVU1" t="s">
        <v>10428</v>
      </c>
      <c r="NVV1" t="s">
        <v>10429</v>
      </c>
      <c r="NVW1" t="s">
        <v>10430</v>
      </c>
      <c r="NVX1" t="s">
        <v>10431</v>
      </c>
      <c r="NVY1" t="s">
        <v>10432</v>
      </c>
      <c r="NVZ1" t="s">
        <v>10433</v>
      </c>
      <c r="NWA1" t="s">
        <v>10434</v>
      </c>
      <c r="NWB1" t="s">
        <v>10435</v>
      </c>
      <c r="NWC1" t="s">
        <v>10436</v>
      </c>
      <c r="NWD1" t="s">
        <v>10437</v>
      </c>
      <c r="NWE1" t="s">
        <v>10438</v>
      </c>
      <c r="NWF1" t="s">
        <v>10439</v>
      </c>
      <c r="NWG1" t="s">
        <v>10440</v>
      </c>
      <c r="NWH1" t="s">
        <v>10441</v>
      </c>
      <c r="NWI1" t="s">
        <v>10442</v>
      </c>
      <c r="NWJ1" t="s">
        <v>10443</v>
      </c>
      <c r="NWK1" t="s">
        <v>10444</v>
      </c>
      <c r="NWL1" t="s">
        <v>10445</v>
      </c>
      <c r="NWM1" t="s">
        <v>10446</v>
      </c>
      <c r="NWN1" t="s">
        <v>10447</v>
      </c>
      <c r="NWO1" t="s">
        <v>10448</v>
      </c>
      <c r="NWP1" t="s">
        <v>10449</v>
      </c>
      <c r="NWQ1" t="s">
        <v>10450</v>
      </c>
      <c r="NWR1" t="s">
        <v>10451</v>
      </c>
      <c r="NWS1" t="s">
        <v>10452</v>
      </c>
      <c r="NWT1" t="s">
        <v>10453</v>
      </c>
      <c r="NWU1" t="s">
        <v>10454</v>
      </c>
      <c r="NWV1" t="s">
        <v>10455</v>
      </c>
      <c r="NWW1" t="s">
        <v>10456</v>
      </c>
      <c r="NWX1" t="s">
        <v>10457</v>
      </c>
      <c r="NWY1" t="s">
        <v>10458</v>
      </c>
      <c r="NWZ1" t="s">
        <v>10459</v>
      </c>
      <c r="NXA1" t="s">
        <v>10460</v>
      </c>
      <c r="NXB1" t="s">
        <v>10461</v>
      </c>
      <c r="NXC1" t="s">
        <v>10462</v>
      </c>
      <c r="NXD1" t="s">
        <v>10463</v>
      </c>
      <c r="NXE1" t="s">
        <v>10464</v>
      </c>
      <c r="NXF1" t="s">
        <v>10465</v>
      </c>
      <c r="NXG1" t="s">
        <v>10466</v>
      </c>
      <c r="NXH1" t="s">
        <v>10467</v>
      </c>
      <c r="NXI1" t="s">
        <v>10468</v>
      </c>
      <c r="NXJ1" t="s">
        <v>10469</v>
      </c>
      <c r="NXK1" t="s">
        <v>10470</v>
      </c>
      <c r="NXL1" t="s">
        <v>10471</v>
      </c>
      <c r="NXM1" t="s">
        <v>10472</v>
      </c>
      <c r="NXN1" t="s">
        <v>10473</v>
      </c>
      <c r="NXO1" t="s">
        <v>10474</v>
      </c>
      <c r="NXP1" t="s">
        <v>10475</v>
      </c>
      <c r="NXQ1" t="s">
        <v>10476</v>
      </c>
      <c r="NXR1" t="s">
        <v>10477</v>
      </c>
      <c r="NXS1" t="s">
        <v>10478</v>
      </c>
      <c r="NXT1" t="s">
        <v>10479</v>
      </c>
      <c r="NXU1" t="s">
        <v>10480</v>
      </c>
      <c r="NXV1" t="s">
        <v>10481</v>
      </c>
      <c r="NXW1" t="s">
        <v>10482</v>
      </c>
      <c r="NXX1" t="s">
        <v>10483</v>
      </c>
      <c r="NXY1" t="s">
        <v>10484</v>
      </c>
      <c r="NXZ1" t="s">
        <v>10485</v>
      </c>
      <c r="NYA1" t="s">
        <v>10486</v>
      </c>
      <c r="NYB1" t="s">
        <v>10487</v>
      </c>
      <c r="NYC1" t="s">
        <v>10488</v>
      </c>
      <c r="NYD1" t="s">
        <v>10489</v>
      </c>
      <c r="NYE1" t="s">
        <v>10490</v>
      </c>
      <c r="NYF1" t="s">
        <v>10491</v>
      </c>
      <c r="NYG1" t="s">
        <v>10492</v>
      </c>
      <c r="NYH1" t="s">
        <v>10493</v>
      </c>
      <c r="NYI1" t="s">
        <v>10494</v>
      </c>
      <c r="NYJ1" t="s">
        <v>10495</v>
      </c>
      <c r="NYK1" t="s">
        <v>10496</v>
      </c>
      <c r="NYL1" t="s">
        <v>10497</v>
      </c>
      <c r="NYM1" t="s">
        <v>10498</v>
      </c>
      <c r="NYN1" t="s">
        <v>10499</v>
      </c>
      <c r="NYO1" t="s">
        <v>10500</v>
      </c>
      <c r="NYP1" t="s">
        <v>10501</v>
      </c>
      <c r="NYQ1" t="s">
        <v>10502</v>
      </c>
      <c r="NYR1" t="s">
        <v>10503</v>
      </c>
      <c r="NYS1" t="s">
        <v>10504</v>
      </c>
      <c r="NYT1" t="s">
        <v>10505</v>
      </c>
      <c r="NYU1" t="s">
        <v>10506</v>
      </c>
      <c r="NYV1" t="s">
        <v>10507</v>
      </c>
      <c r="NYW1" t="s">
        <v>10508</v>
      </c>
      <c r="NYX1" t="s">
        <v>10509</v>
      </c>
      <c r="NYY1" t="s">
        <v>10510</v>
      </c>
      <c r="NYZ1" t="s">
        <v>10511</v>
      </c>
      <c r="NZA1" t="s">
        <v>10512</v>
      </c>
      <c r="NZB1" t="s">
        <v>10513</v>
      </c>
      <c r="NZC1" t="s">
        <v>10514</v>
      </c>
      <c r="NZD1" t="s">
        <v>10515</v>
      </c>
      <c r="NZE1" t="s">
        <v>10516</v>
      </c>
      <c r="NZF1" t="s">
        <v>10517</v>
      </c>
      <c r="NZG1" t="s">
        <v>10518</v>
      </c>
      <c r="NZH1" t="s">
        <v>10519</v>
      </c>
      <c r="NZI1" t="s">
        <v>10520</v>
      </c>
      <c r="NZJ1" t="s">
        <v>10521</v>
      </c>
      <c r="NZK1" t="s">
        <v>10522</v>
      </c>
      <c r="NZL1" t="s">
        <v>10523</v>
      </c>
      <c r="NZM1" t="s">
        <v>10524</v>
      </c>
      <c r="NZN1" t="s">
        <v>10525</v>
      </c>
      <c r="NZO1" t="s">
        <v>10526</v>
      </c>
      <c r="NZP1" t="s">
        <v>10527</v>
      </c>
      <c r="NZQ1" t="s">
        <v>10528</v>
      </c>
      <c r="NZR1" t="s">
        <v>10529</v>
      </c>
      <c r="NZS1" t="s">
        <v>10530</v>
      </c>
      <c r="NZT1" t="s">
        <v>10531</v>
      </c>
      <c r="NZU1" t="s">
        <v>10532</v>
      </c>
      <c r="NZV1" t="s">
        <v>10533</v>
      </c>
      <c r="NZW1" t="s">
        <v>10534</v>
      </c>
      <c r="NZX1" t="s">
        <v>10535</v>
      </c>
      <c r="NZY1" t="s">
        <v>10536</v>
      </c>
      <c r="NZZ1" t="s">
        <v>10537</v>
      </c>
      <c r="OAA1" t="s">
        <v>10538</v>
      </c>
      <c r="OAB1" t="s">
        <v>10539</v>
      </c>
      <c r="OAC1" t="s">
        <v>10540</v>
      </c>
      <c r="OAD1" t="s">
        <v>10541</v>
      </c>
      <c r="OAE1" t="s">
        <v>10542</v>
      </c>
      <c r="OAF1" t="s">
        <v>10543</v>
      </c>
      <c r="OAG1" t="s">
        <v>10544</v>
      </c>
      <c r="OAH1" t="s">
        <v>10545</v>
      </c>
      <c r="OAI1" t="s">
        <v>10546</v>
      </c>
      <c r="OAJ1" t="s">
        <v>10547</v>
      </c>
      <c r="OAK1" t="s">
        <v>10548</v>
      </c>
      <c r="OAL1" t="s">
        <v>10549</v>
      </c>
      <c r="OAM1" t="s">
        <v>10550</v>
      </c>
      <c r="OAN1" t="s">
        <v>10551</v>
      </c>
      <c r="OAO1" t="s">
        <v>10552</v>
      </c>
      <c r="OAP1" t="s">
        <v>10553</v>
      </c>
      <c r="OAQ1" t="s">
        <v>10554</v>
      </c>
      <c r="OAR1" t="s">
        <v>10555</v>
      </c>
      <c r="OAS1" t="s">
        <v>10556</v>
      </c>
      <c r="OAT1" t="s">
        <v>10557</v>
      </c>
      <c r="OAU1" t="s">
        <v>10558</v>
      </c>
      <c r="OAV1" t="s">
        <v>10559</v>
      </c>
      <c r="OAW1" t="s">
        <v>10560</v>
      </c>
      <c r="OAX1" t="s">
        <v>10561</v>
      </c>
      <c r="OAY1" t="s">
        <v>10562</v>
      </c>
      <c r="OAZ1" t="s">
        <v>10563</v>
      </c>
      <c r="OBA1" t="s">
        <v>10564</v>
      </c>
      <c r="OBB1" t="s">
        <v>10565</v>
      </c>
      <c r="OBC1" t="s">
        <v>10566</v>
      </c>
      <c r="OBD1" t="s">
        <v>10567</v>
      </c>
      <c r="OBE1" t="s">
        <v>10568</v>
      </c>
      <c r="OBF1" t="s">
        <v>10569</v>
      </c>
      <c r="OBG1" t="s">
        <v>10570</v>
      </c>
      <c r="OBH1" t="s">
        <v>10571</v>
      </c>
      <c r="OBI1" t="s">
        <v>10572</v>
      </c>
      <c r="OBJ1" t="s">
        <v>10573</v>
      </c>
      <c r="OBK1" t="s">
        <v>10574</v>
      </c>
      <c r="OBL1" t="s">
        <v>10575</v>
      </c>
      <c r="OBM1" t="s">
        <v>10576</v>
      </c>
      <c r="OBN1" t="s">
        <v>10577</v>
      </c>
      <c r="OBO1" t="s">
        <v>10578</v>
      </c>
      <c r="OBP1" t="s">
        <v>10579</v>
      </c>
      <c r="OBQ1" t="s">
        <v>10580</v>
      </c>
      <c r="OBR1" t="s">
        <v>10581</v>
      </c>
      <c r="OBS1" t="s">
        <v>10582</v>
      </c>
      <c r="OBT1" t="s">
        <v>10583</v>
      </c>
      <c r="OBU1" t="s">
        <v>10584</v>
      </c>
      <c r="OBV1" t="s">
        <v>10585</v>
      </c>
      <c r="OBW1" t="s">
        <v>10586</v>
      </c>
      <c r="OBX1" t="s">
        <v>10587</v>
      </c>
      <c r="OBY1" t="s">
        <v>10588</v>
      </c>
      <c r="OBZ1" t="s">
        <v>10589</v>
      </c>
      <c r="OCA1" t="s">
        <v>10590</v>
      </c>
      <c r="OCB1" t="s">
        <v>10591</v>
      </c>
      <c r="OCC1" t="s">
        <v>10592</v>
      </c>
      <c r="OCD1" t="s">
        <v>10593</v>
      </c>
      <c r="OCE1" t="s">
        <v>10594</v>
      </c>
      <c r="OCF1" t="s">
        <v>10595</v>
      </c>
      <c r="OCG1" t="s">
        <v>10596</v>
      </c>
      <c r="OCH1" t="s">
        <v>10597</v>
      </c>
      <c r="OCI1" t="s">
        <v>10598</v>
      </c>
      <c r="OCJ1" t="s">
        <v>10599</v>
      </c>
      <c r="OCK1" t="s">
        <v>10600</v>
      </c>
      <c r="OCL1" t="s">
        <v>10601</v>
      </c>
      <c r="OCM1" t="s">
        <v>10602</v>
      </c>
      <c r="OCN1" t="s">
        <v>10603</v>
      </c>
      <c r="OCO1" t="s">
        <v>10604</v>
      </c>
      <c r="OCP1" t="s">
        <v>10605</v>
      </c>
      <c r="OCQ1" t="s">
        <v>10606</v>
      </c>
      <c r="OCR1" t="s">
        <v>10607</v>
      </c>
      <c r="OCS1" t="s">
        <v>10608</v>
      </c>
      <c r="OCT1" t="s">
        <v>10609</v>
      </c>
      <c r="OCU1" t="s">
        <v>10610</v>
      </c>
      <c r="OCV1" t="s">
        <v>10611</v>
      </c>
      <c r="OCW1" t="s">
        <v>10612</v>
      </c>
      <c r="OCX1" t="s">
        <v>10613</v>
      </c>
      <c r="OCY1" t="s">
        <v>10614</v>
      </c>
      <c r="OCZ1" t="s">
        <v>10615</v>
      </c>
      <c r="ODA1" t="s">
        <v>10616</v>
      </c>
      <c r="ODB1" t="s">
        <v>10617</v>
      </c>
      <c r="ODC1" t="s">
        <v>10618</v>
      </c>
      <c r="ODD1" t="s">
        <v>10619</v>
      </c>
      <c r="ODE1" t="s">
        <v>10620</v>
      </c>
      <c r="ODF1" t="s">
        <v>10621</v>
      </c>
      <c r="ODG1" t="s">
        <v>10622</v>
      </c>
      <c r="ODH1" t="s">
        <v>10623</v>
      </c>
      <c r="ODI1" t="s">
        <v>10624</v>
      </c>
      <c r="ODJ1" t="s">
        <v>10625</v>
      </c>
      <c r="ODK1" t="s">
        <v>10626</v>
      </c>
      <c r="ODL1" t="s">
        <v>10627</v>
      </c>
      <c r="ODM1" t="s">
        <v>10628</v>
      </c>
      <c r="ODN1" t="s">
        <v>10629</v>
      </c>
      <c r="ODO1" t="s">
        <v>10630</v>
      </c>
      <c r="ODP1" t="s">
        <v>10631</v>
      </c>
      <c r="ODQ1" t="s">
        <v>10632</v>
      </c>
      <c r="ODR1" t="s">
        <v>10633</v>
      </c>
      <c r="ODS1" t="s">
        <v>10634</v>
      </c>
      <c r="ODT1" t="s">
        <v>10635</v>
      </c>
      <c r="ODU1" t="s">
        <v>10636</v>
      </c>
      <c r="ODV1" t="s">
        <v>10637</v>
      </c>
      <c r="ODW1" t="s">
        <v>10638</v>
      </c>
      <c r="ODX1" t="s">
        <v>10639</v>
      </c>
      <c r="ODY1" t="s">
        <v>10640</v>
      </c>
      <c r="ODZ1" t="s">
        <v>10641</v>
      </c>
      <c r="OEA1" t="s">
        <v>10642</v>
      </c>
      <c r="OEB1" t="s">
        <v>10643</v>
      </c>
      <c r="OEC1" t="s">
        <v>10644</v>
      </c>
      <c r="OED1" t="s">
        <v>10645</v>
      </c>
      <c r="OEE1" t="s">
        <v>10646</v>
      </c>
      <c r="OEF1" t="s">
        <v>10647</v>
      </c>
      <c r="OEG1" t="s">
        <v>10648</v>
      </c>
      <c r="OEH1" t="s">
        <v>10649</v>
      </c>
      <c r="OEI1" t="s">
        <v>10650</v>
      </c>
      <c r="OEJ1" t="s">
        <v>10651</v>
      </c>
      <c r="OEK1" t="s">
        <v>10652</v>
      </c>
      <c r="OEL1" t="s">
        <v>10653</v>
      </c>
      <c r="OEM1" t="s">
        <v>10654</v>
      </c>
      <c r="OEN1" t="s">
        <v>10655</v>
      </c>
      <c r="OEO1" t="s">
        <v>10656</v>
      </c>
      <c r="OEP1" t="s">
        <v>10657</v>
      </c>
      <c r="OEQ1" t="s">
        <v>10658</v>
      </c>
      <c r="OER1" t="s">
        <v>10659</v>
      </c>
      <c r="OES1" t="s">
        <v>10660</v>
      </c>
      <c r="OET1" t="s">
        <v>10661</v>
      </c>
      <c r="OEU1" t="s">
        <v>10662</v>
      </c>
      <c r="OEV1" t="s">
        <v>10663</v>
      </c>
      <c r="OEW1" t="s">
        <v>10664</v>
      </c>
      <c r="OEX1" t="s">
        <v>10665</v>
      </c>
      <c r="OEY1" t="s">
        <v>10666</v>
      </c>
      <c r="OEZ1" t="s">
        <v>10667</v>
      </c>
      <c r="OFA1" t="s">
        <v>10668</v>
      </c>
      <c r="OFB1" t="s">
        <v>10669</v>
      </c>
      <c r="OFC1" t="s">
        <v>10670</v>
      </c>
      <c r="OFD1" t="s">
        <v>10671</v>
      </c>
      <c r="OFE1" t="s">
        <v>10672</v>
      </c>
      <c r="OFF1" t="s">
        <v>10673</v>
      </c>
      <c r="OFG1" t="s">
        <v>10674</v>
      </c>
      <c r="OFH1" t="s">
        <v>10675</v>
      </c>
      <c r="OFI1" t="s">
        <v>10676</v>
      </c>
      <c r="OFJ1" t="s">
        <v>10677</v>
      </c>
      <c r="OFK1" t="s">
        <v>10678</v>
      </c>
      <c r="OFL1" t="s">
        <v>10679</v>
      </c>
      <c r="OFM1" t="s">
        <v>10680</v>
      </c>
      <c r="OFN1" t="s">
        <v>10681</v>
      </c>
      <c r="OFO1" t="s">
        <v>10682</v>
      </c>
      <c r="OFP1" t="s">
        <v>10683</v>
      </c>
      <c r="OFQ1" t="s">
        <v>10684</v>
      </c>
      <c r="OFR1" t="s">
        <v>10685</v>
      </c>
      <c r="OFS1" t="s">
        <v>10686</v>
      </c>
      <c r="OFT1" t="s">
        <v>10687</v>
      </c>
      <c r="OFU1" t="s">
        <v>10688</v>
      </c>
      <c r="OFV1" t="s">
        <v>10689</v>
      </c>
      <c r="OFW1" t="s">
        <v>10690</v>
      </c>
      <c r="OFX1" t="s">
        <v>10691</v>
      </c>
      <c r="OFY1" t="s">
        <v>10692</v>
      </c>
      <c r="OFZ1" t="s">
        <v>10693</v>
      </c>
      <c r="OGA1" t="s">
        <v>10694</v>
      </c>
      <c r="OGB1" t="s">
        <v>10695</v>
      </c>
      <c r="OGC1" t="s">
        <v>10696</v>
      </c>
      <c r="OGD1" t="s">
        <v>10697</v>
      </c>
      <c r="OGE1" t="s">
        <v>10698</v>
      </c>
      <c r="OGF1" t="s">
        <v>10699</v>
      </c>
      <c r="OGG1" t="s">
        <v>10700</v>
      </c>
      <c r="OGH1" t="s">
        <v>10701</v>
      </c>
      <c r="OGI1" t="s">
        <v>10702</v>
      </c>
      <c r="OGJ1" t="s">
        <v>10703</v>
      </c>
      <c r="OGK1" t="s">
        <v>10704</v>
      </c>
      <c r="OGL1" t="s">
        <v>10705</v>
      </c>
      <c r="OGM1" t="s">
        <v>10706</v>
      </c>
      <c r="OGN1" t="s">
        <v>10707</v>
      </c>
      <c r="OGO1" t="s">
        <v>10708</v>
      </c>
      <c r="OGP1" t="s">
        <v>10709</v>
      </c>
      <c r="OGQ1" t="s">
        <v>10710</v>
      </c>
      <c r="OGR1" t="s">
        <v>10711</v>
      </c>
      <c r="OGS1" t="s">
        <v>10712</v>
      </c>
      <c r="OGT1" t="s">
        <v>10713</v>
      </c>
      <c r="OGU1" t="s">
        <v>10714</v>
      </c>
      <c r="OGV1" t="s">
        <v>10715</v>
      </c>
      <c r="OGW1" t="s">
        <v>10716</v>
      </c>
      <c r="OGX1" t="s">
        <v>10717</v>
      </c>
      <c r="OGY1" t="s">
        <v>10718</v>
      </c>
      <c r="OGZ1" t="s">
        <v>10719</v>
      </c>
      <c r="OHA1" t="s">
        <v>10720</v>
      </c>
      <c r="OHB1" t="s">
        <v>10721</v>
      </c>
      <c r="OHC1" t="s">
        <v>10722</v>
      </c>
      <c r="OHD1" t="s">
        <v>10723</v>
      </c>
      <c r="OHE1" t="s">
        <v>10724</v>
      </c>
      <c r="OHF1" t="s">
        <v>10725</v>
      </c>
      <c r="OHG1" t="s">
        <v>10726</v>
      </c>
      <c r="OHH1" t="s">
        <v>10727</v>
      </c>
      <c r="OHI1" t="s">
        <v>10728</v>
      </c>
      <c r="OHJ1" t="s">
        <v>10729</v>
      </c>
      <c r="OHK1" t="s">
        <v>10730</v>
      </c>
      <c r="OHL1" t="s">
        <v>10731</v>
      </c>
      <c r="OHM1" t="s">
        <v>10732</v>
      </c>
      <c r="OHN1" t="s">
        <v>10733</v>
      </c>
      <c r="OHO1" t="s">
        <v>10734</v>
      </c>
      <c r="OHP1" t="s">
        <v>10735</v>
      </c>
      <c r="OHQ1" t="s">
        <v>10736</v>
      </c>
      <c r="OHR1" t="s">
        <v>10737</v>
      </c>
      <c r="OHS1" t="s">
        <v>10738</v>
      </c>
      <c r="OHT1" t="s">
        <v>10739</v>
      </c>
      <c r="OHU1" t="s">
        <v>10740</v>
      </c>
      <c r="OHV1" t="s">
        <v>10741</v>
      </c>
      <c r="OHW1" t="s">
        <v>10742</v>
      </c>
      <c r="OHX1" t="s">
        <v>10743</v>
      </c>
      <c r="OHY1" t="s">
        <v>10744</v>
      </c>
      <c r="OHZ1" t="s">
        <v>10745</v>
      </c>
      <c r="OIA1" t="s">
        <v>10746</v>
      </c>
      <c r="OIB1" t="s">
        <v>10747</v>
      </c>
      <c r="OIC1" t="s">
        <v>10748</v>
      </c>
      <c r="OID1" t="s">
        <v>10749</v>
      </c>
      <c r="OIE1" t="s">
        <v>10750</v>
      </c>
      <c r="OIF1" t="s">
        <v>10751</v>
      </c>
      <c r="OIG1" t="s">
        <v>10752</v>
      </c>
      <c r="OIH1" t="s">
        <v>10753</v>
      </c>
      <c r="OII1" t="s">
        <v>10754</v>
      </c>
      <c r="OIJ1" t="s">
        <v>10755</v>
      </c>
      <c r="OIK1" t="s">
        <v>10756</v>
      </c>
      <c r="OIL1" t="s">
        <v>10757</v>
      </c>
      <c r="OIM1" t="s">
        <v>10758</v>
      </c>
      <c r="OIN1" t="s">
        <v>10759</v>
      </c>
      <c r="OIO1" t="s">
        <v>10760</v>
      </c>
      <c r="OIP1" t="s">
        <v>10761</v>
      </c>
      <c r="OIQ1" t="s">
        <v>10762</v>
      </c>
      <c r="OIR1" t="s">
        <v>10763</v>
      </c>
      <c r="OIS1" t="s">
        <v>10764</v>
      </c>
      <c r="OIT1" t="s">
        <v>10765</v>
      </c>
      <c r="OIU1" t="s">
        <v>10766</v>
      </c>
      <c r="OIV1" t="s">
        <v>10767</v>
      </c>
      <c r="OIW1" t="s">
        <v>10768</v>
      </c>
      <c r="OIX1" t="s">
        <v>10769</v>
      </c>
      <c r="OIY1" t="s">
        <v>10770</v>
      </c>
      <c r="OIZ1" t="s">
        <v>10771</v>
      </c>
      <c r="OJA1" t="s">
        <v>10772</v>
      </c>
      <c r="OJB1" t="s">
        <v>10773</v>
      </c>
      <c r="OJC1" t="s">
        <v>10774</v>
      </c>
      <c r="OJD1" t="s">
        <v>10775</v>
      </c>
      <c r="OJE1" t="s">
        <v>10776</v>
      </c>
      <c r="OJF1" t="s">
        <v>10777</v>
      </c>
      <c r="OJG1" t="s">
        <v>10778</v>
      </c>
      <c r="OJH1" t="s">
        <v>10779</v>
      </c>
      <c r="OJI1" t="s">
        <v>10780</v>
      </c>
      <c r="OJJ1" t="s">
        <v>10781</v>
      </c>
      <c r="OJK1" t="s">
        <v>10782</v>
      </c>
      <c r="OJL1" t="s">
        <v>10783</v>
      </c>
      <c r="OJM1" t="s">
        <v>10784</v>
      </c>
      <c r="OJN1" t="s">
        <v>10785</v>
      </c>
      <c r="OJO1" t="s">
        <v>10786</v>
      </c>
      <c r="OJP1" t="s">
        <v>10787</v>
      </c>
      <c r="OJQ1" t="s">
        <v>10788</v>
      </c>
      <c r="OJR1" t="s">
        <v>10789</v>
      </c>
      <c r="OJS1" t="s">
        <v>10790</v>
      </c>
      <c r="OJT1" t="s">
        <v>10791</v>
      </c>
      <c r="OJU1" t="s">
        <v>10792</v>
      </c>
      <c r="OJV1" t="s">
        <v>10793</v>
      </c>
      <c r="OJW1" t="s">
        <v>10794</v>
      </c>
      <c r="OJX1" t="s">
        <v>10795</v>
      </c>
      <c r="OJY1" t="s">
        <v>10796</v>
      </c>
      <c r="OJZ1" t="s">
        <v>10797</v>
      </c>
      <c r="OKA1" t="s">
        <v>10798</v>
      </c>
      <c r="OKB1" t="s">
        <v>10799</v>
      </c>
      <c r="OKC1" t="s">
        <v>10800</v>
      </c>
      <c r="OKD1" t="s">
        <v>10801</v>
      </c>
      <c r="OKE1" t="s">
        <v>10802</v>
      </c>
      <c r="OKF1" t="s">
        <v>10803</v>
      </c>
      <c r="OKG1" t="s">
        <v>10804</v>
      </c>
      <c r="OKH1" t="s">
        <v>10805</v>
      </c>
      <c r="OKI1" t="s">
        <v>10806</v>
      </c>
      <c r="OKJ1" t="s">
        <v>10807</v>
      </c>
      <c r="OKK1" t="s">
        <v>10808</v>
      </c>
      <c r="OKL1" t="s">
        <v>10809</v>
      </c>
      <c r="OKM1" t="s">
        <v>10810</v>
      </c>
      <c r="OKN1" t="s">
        <v>10811</v>
      </c>
      <c r="OKO1" t="s">
        <v>10812</v>
      </c>
      <c r="OKP1" t="s">
        <v>10813</v>
      </c>
      <c r="OKQ1" t="s">
        <v>10814</v>
      </c>
      <c r="OKR1" t="s">
        <v>10815</v>
      </c>
      <c r="OKS1" t="s">
        <v>10816</v>
      </c>
      <c r="OKT1" t="s">
        <v>10817</v>
      </c>
      <c r="OKU1" t="s">
        <v>10818</v>
      </c>
      <c r="OKV1" t="s">
        <v>10819</v>
      </c>
      <c r="OKW1" t="s">
        <v>10820</v>
      </c>
      <c r="OKX1" t="s">
        <v>10821</v>
      </c>
      <c r="OKY1" t="s">
        <v>10822</v>
      </c>
      <c r="OKZ1" t="s">
        <v>10823</v>
      </c>
      <c r="OLA1" t="s">
        <v>10824</v>
      </c>
      <c r="OLB1" t="s">
        <v>10825</v>
      </c>
      <c r="OLC1" t="s">
        <v>10826</v>
      </c>
      <c r="OLD1" t="s">
        <v>10827</v>
      </c>
      <c r="OLE1" t="s">
        <v>10828</v>
      </c>
      <c r="OLF1" t="s">
        <v>10829</v>
      </c>
      <c r="OLG1" t="s">
        <v>10830</v>
      </c>
      <c r="OLH1" t="s">
        <v>10831</v>
      </c>
      <c r="OLI1" t="s">
        <v>10832</v>
      </c>
      <c r="OLJ1" t="s">
        <v>10833</v>
      </c>
      <c r="OLK1" t="s">
        <v>10834</v>
      </c>
      <c r="OLL1" t="s">
        <v>10835</v>
      </c>
      <c r="OLM1" t="s">
        <v>10836</v>
      </c>
      <c r="OLN1" t="s">
        <v>10837</v>
      </c>
      <c r="OLO1" t="s">
        <v>10838</v>
      </c>
      <c r="OLP1" t="s">
        <v>10839</v>
      </c>
      <c r="OLQ1" t="s">
        <v>10840</v>
      </c>
      <c r="OLR1" t="s">
        <v>10841</v>
      </c>
      <c r="OLS1" t="s">
        <v>10842</v>
      </c>
      <c r="OLT1" t="s">
        <v>10843</v>
      </c>
      <c r="OLU1" t="s">
        <v>10844</v>
      </c>
      <c r="OLV1" t="s">
        <v>10845</v>
      </c>
      <c r="OLW1" t="s">
        <v>10846</v>
      </c>
      <c r="OLX1" t="s">
        <v>10847</v>
      </c>
      <c r="OLY1" t="s">
        <v>10848</v>
      </c>
      <c r="OLZ1" t="s">
        <v>10849</v>
      </c>
      <c r="OMA1" t="s">
        <v>10850</v>
      </c>
      <c r="OMB1" t="s">
        <v>10851</v>
      </c>
      <c r="OMC1" t="s">
        <v>10852</v>
      </c>
      <c r="OMD1" t="s">
        <v>10853</v>
      </c>
      <c r="OME1" t="s">
        <v>10854</v>
      </c>
      <c r="OMF1" t="s">
        <v>10855</v>
      </c>
      <c r="OMG1" t="s">
        <v>10856</v>
      </c>
      <c r="OMH1" t="s">
        <v>10857</v>
      </c>
      <c r="OMI1" t="s">
        <v>10858</v>
      </c>
      <c r="OMJ1" t="s">
        <v>10859</v>
      </c>
      <c r="OMK1" t="s">
        <v>10860</v>
      </c>
      <c r="OML1" t="s">
        <v>10861</v>
      </c>
      <c r="OMM1" t="s">
        <v>10862</v>
      </c>
      <c r="OMN1" t="s">
        <v>10863</v>
      </c>
      <c r="OMO1" t="s">
        <v>10864</v>
      </c>
      <c r="OMP1" t="s">
        <v>10865</v>
      </c>
      <c r="OMQ1" t="s">
        <v>10866</v>
      </c>
      <c r="OMR1" t="s">
        <v>10867</v>
      </c>
      <c r="OMS1" t="s">
        <v>10868</v>
      </c>
      <c r="OMT1" t="s">
        <v>10869</v>
      </c>
      <c r="OMU1" t="s">
        <v>10870</v>
      </c>
      <c r="OMV1" t="s">
        <v>10871</v>
      </c>
      <c r="OMW1" t="s">
        <v>10872</v>
      </c>
      <c r="OMX1" t="s">
        <v>10873</v>
      </c>
      <c r="OMY1" t="s">
        <v>10874</v>
      </c>
      <c r="OMZ1" t="s">
        <v>10875</v>
      </c>
      <c r="ONA1" t="s">
        <v>10876</v>
      </c>
      <c r="ONB1" t="s">
        <v>10877</v>
      </c>
      <c r="ONC1" t="s">
        <v>10878</v>
      </c>
      <c r="OND1" t="s">
        <v>10879</v>
      </c>
      <c r="ONE1" t="s">
        <v>10880</v>
      </c>
      <c r="ONF1" t="s">
        <v>10881</v>
      </c>
      <c r="ONG1" t="s">
        <v>10882</v>
      </c>
      <c r="ONH1" t="s">
        <v>10883</v>
      </c>
      <c r="ONI1" t="s">
        <v>10884</v>
      </c>
      <c r="ONJ1" t="s">
        <v>10885</v>
      </c>
      <c r="ONK1" t="s">
        <v>10886</v>
      </c>
      <c r="ONL1" t="s">
        <v>10887</v>
      </c>
      <c r="ONM1" t="s">
        <v>10888</v>
      </c>
      <c r="ONN1" t="s">
        <v>10889</v>
      </c>
      <c r="ONO1" t="s">
        <v>10890</v>
      </c>
      <c r="ONP1" t="s">
        <v>10891</v>
      </c>
      <c r="ONQ1" t="s">
        <v>10892</v>
      </c>
      <c r="ONR1" t="s">
        <v>10893</v>
      </c>
      <c r="ONS1" t="s">
        <v>10894</v>
      </c>
      <c r="ONT1" t="s">
        <v>10895</v>
      </c>
      <c r="ONU1" t="s">
        <v>10896</v>
      </c>
      <c r="ONV1" t="s">
        <v>10897</v>
      </c>
      <c r="ONW1" t="s">
        <v>10898</v>
      </c>
      <c r="ONX1" t="s">
        <v>10899</v>
      </c>
      <c r="ONY1" t="s">
        <v>10900</v>
      </c>
      <c r="ONZ1" t="s">
        <v>10901</v>
      </c>
      <c r="OOA1" t="s">
        <v>10902</v>
      </c>
      <c r="OOB1" t="s">
        <v>10903</v>
      </c>
      <c r="OOC1" t="s">
        <v>10904</v>
      </c>
      <c r="OOD1" t="s">
        <v>10905</v>
      </c>
      <c r="OOE1" t="s">
        <v>10906</v>
      </c>
      <c r="OOF1" t="s">
        <v>10907</v>
      </c>
      <c r="OOG1" t="s">
        <v>10908</v>
      </c>
      <c r="OOH1" t="s">
        <v>10909</v>
      </c>
      <c r="OOI1" t="s">
        <v>10910</v>
      </c>
      <c r="OOJ1" t="s">
        <v>10911</v>
      </c>
      <c r="OOK1" t="s">
        <v>10912</v>
      </c>
      <c r="OOL1" t="s">
        <v>10913</v>
      </c>
      <c r="OOM1" t="s">
        <v>10914</v>
      </c>
      <c r="OON1" t="s">
        <v>10915</v>
      </c>
      <c r="OOO1" t="s">
        <v>10916</v>
      </c>
      <c r="OOP1" t="s">
        <v>10917</v>
      </c>
      <c r="OOQ1" t="s">
        <v>10918</v>
      </c>
      <c r="OOR1" t="s">
        <v>10919</v>
      </c>
      <c r="OOS1" t="s">
        <v>10920</v>
      </c>
      <c r="OOT1" t="s">
        <v>10921</v>
      </c>
      <c r="OOU1" t="s">
        <v>10922</v>
      </c>
      <c r="OOV1" t="s">
        <v>10923</v>
      </c>
      <c r="OOW1" t="s">
        <v>10924</v>
      </c>
      <c r="OOX1" t="s">
        <v>10925</v>
      </c>
      <c r="OOY1" t="s">
        <v>10926</v>
      </c>
      <c r="OOZ1" t="s">
        <v>10927</v>
      </c>
      <c r="OPA1" t="s">
        <v>10928</v>
      </c>
      <c r="OPB1" t="s">
        <v>10929</v>
      </c>
      <c r="OPC1" t="s">
        <v>10930</v>
      </c>
      <c r="OPD1" t="s">
        <v>10931</v>
      </c>
      <c r="OPE1" t="s">
        <v>10932</v>
      </c>
      <c r="OPF1" t="s">
        <v>10933</v>
      </c>
      <c r="OPG1" t="s">
        <v>10934</v>
      </c>
      <c r="OPH1" t="s">
        <v>10935</v>
      </c>
      <c r="OPI1" t="s">
        <v>10936</v>
      </c>
      <c r="OPJ1" t="s">
        <v>10937</v>
      </c>
      <c r="OPK1" t="s">
        <v>10938</v>
      </c>
      <c r="OPL1" t="s">
        <v>10939</v>
      </c>
      <c r="OPM1" t="s">
        <v>10940</v>
      </c>
      <c r="OPN1" t="s">
        <v>10941</v>
      </c>
      <c r="OPO1" t="s">
        <v>10942</v>
      </c>
      <c r="OPP1" t="s">
        <v>10943</v>
      </c>
      <c r="OPQ1" t="s">
        <v>10944</v>
      </c>
      <c r="OPR1" t="s">
        <v>10945</v>
      </c>
      <c r="OPS1" t="s">
        <v>10946</v>
      </c>
      <c r="OPT1" t="s">
        <v>10947</v>
      </c>
      <c r="OPU1" t="s">
        <v>10948</v>
      </c>
      <c r="OPV1" t="s">
        <v>10949</v>
      </c>
      <c r="OPW1" t="s">
        <v>10950</v>
      </c>
      <c r="OPX1" t="s">
        <v>10951</v>
      </c>
      <c r="OPY1" t="s">
        <v>10952</v>
      </c>
      <c r="OPZ1" t="s">
        <v>10953</v>
      </c>
      <c r="OQA1" t="s">
        <v>10954</v>
      </c>
      <c r="OQB1" t="s">
        <v>10955</v>
      </c>
      <c r="OQC1" t="s">
        <v>10956</v>
      </c>
      <c r="OQD1" t="s">
        <v>10957</v>
      </c>
      <c r="OQE1" t="s">
        <v>10958</v>
      </c>
      <c r="OQF1" t="s">
        <v>10959</v>
      </c>
      <c r="OQG1" t="s">
        <v>10960</v>
      </c>
      <c r="OQH1" t="s">
        <v>10961</v>
      </c>
      <c r="OQI1" t="s">
        <v>10962</v>
      </c>
      <c r="OQJ1" t="s">
        <v>10963</v>
      </c>
      <c r="OQK1" t="s">
        <v>10964</v>
      </c>
      <c r="OQL1" t="s">
        <v>10965</v>
      </c>
      <c r="OQM1" t="s">
        <v>10966</v>
      </c>
      <c r="OQN1" t="s">
        <v>10967</v>
      </c>
      <c r="OQO1" t="s">
        <v>10968</v>
      </c>
      <c r="OQP1" t="s">
        <v>10969</v>
      </c>
      <c r="OQQ1" t="s">
        <v>10970</v>
      </c>
      <c r="OQR1" t="s">
        <v>10971</v>
      </c>
      <c r="OQS1" t="s">
        <v>10972</v>
      </c>
      <c r="OQT1" t="s">
        <v>10973</v>
      </c>
      <c r="OQU1" t="s">
        <v>10974</v>
      </c>
      <c r="OQV1" t="s">
        <v>10975</v>
      </c>
      <c r="OQW1" t="s">
        <v>10976</v>
      </c>
      <c r="OQX1" t="s">
        <v>10977</v>
      </c>
      <c r="OQY1" t="s">
        <v>10978</v>
      </c>
      <c r="OQZ1" t="s">
        <v>10979</v>
      </c>
      <c r="ORA1" t="s">
        <v>10980</v>
      </c>
      <c r="ORB1" t="s">
        <v>10981</v>
      </c>
      <c r="ORC1" t="s">
        <v>10982</v>
      </c>
      <c r="ORD1" t="s">
        <v>10983</v>
      </c>
      <c r="ORE1" t="s">
        <v>10984</v>
      </c>
      <c r="ORF1" t="s">
        <v>10985</v>
      </c>
      <c r="ORG1" t="s">
        <v>10986</v>
      </c>
      <c r="ORH1" t="s">
        <v>10987</v>
      </c>
      <c r="ORI1" t="s">
        <v>10988</v>
      </c>
      <c r="ORJ1" t="s">
        <v>10989</v>
      </c>
      <c r="ORK1" t="s">
        <v>10990</v>
      </c>
      <c r="ORL1" t="s">
        <v>10991</v>
      </c>
      <c r="ORM1" t="s">
        <v>10992</v>
      </c>
      <c r="ORN1" t="s">
        <v>10993</v>
      </c>
      <c r="ORO1" t="s">
        <v>10994</v>
      </c>
      <c r="ORP1" t="s">
        <v>10995</v>
      </c>
      <c r="ORQ1" t="s">
        <v>10996</v>
      </c>
      <c r="ORR1" t="s">
        <v>10997</v>
      </c>
      <c r="ORS1" t="s">
        <v>10998</v>
      </c>
      <c r="ORT1" t="s">
        <v>10999</v>
      </c>
      <c r="ORU1" t="s">
        <v>11000</v>
      </c>
      <c r="ORV1" t="s">
        <v>11001</v>
      </c>
      <c r="ORW1" t="s">
        <v>11002</v>
      </c>
      <c r="ORX1" t="s">
        <v>11003</v>
      </c>
      <c r="ORY1" t="s">
        <v>11004</v>
      </c>
      <c r="ORZ1" t="s">
        <v>11005</v>
      </c>
      <c r="OSA1" t="s">
        <v>11006</v>
      </c>
      <c r="OSB1" t="s">
        <v>11007</v>
      </c>
      <c r="OSC1" t="s">
        <v>11008</v>
      </c>
      <c r="OSD1" t="s">
        <v>11009</v>
      </c>
      <c r="OSE1" t="s">
        <v>11010</v>
      </c>
      <c r="OSF1" t="s">
        <v>11011</v>
      </c>
      <c r="OSG1" t="s">
        <v>11012</v>
      </c>
      <c r="OSH1" t="s">
        <v>11013</v>
      </c>
      <c r="OSI1" t="s">
        <v>11014</v>
      </c>
      <c r="OSJ1" t="s">
        <v>11015</v>
      </c>
      <c r="OSK1" t="s">
        <v>11016</v>
      </c>
      <c r="OSL1" t="s">
        <v>11017</v>
      </c>
      <c r="OSM1" t="s">
        <v>11018</v>
      </c>
      <c r="OSN1" t="s">
        <v>11019</v>
      </c>
      <c r="OSO1" t="s">
        <v>11020</v>
      </c>
      <c r="OSP1" t="s">
        <v>11021</v>
      </c>
      <c r="OSQ1" t="s">
        <v>11022</v>
      </c>
      <c r="OSR1" t="s">
        <v>11023</v>
      </c>
      <c r="OSS1" t="s">
        <v>11024</v>
      </c>
      <c r="OST1" t="s">
        <v>11025</v>
      </c>
      <c r="OSU1" t="s">
        <v>11026</v>
      </c>
      <c r="OSV1" t="s">
        <v>11027</v>
      </c>
      <c r="OSW1" t="s">
        <v>11028</v>
      </c>
      <c r="OSX1" t="s">
        <v>11029</v>
      </c>
      <c r="OSY1" t="s">
        <v>11030</v>
      </c>
      <c r="OSZ1" t="s">
        <v>11031</v>
      </c>
      <c r="OTA1" t="s">
        <v>11032</v>
      </c>
      <c r="OTB1" t="s">
        <v>11033</v>
      </c>
      <c r="OTC1" t="s">
        <v>11034</v>
      </c>
      <c r="OTD1" t="s">
        <v>11035</v>
      </c>
      <c r="OTE1" t="s">
        <v>11036</v>
      </c>
      <c r="OTF1" t="s">
        <v>11037</v>
      </c>
      <c r="OTG1" t="s">
        <v>11038</v>
      </c>
      <c r="OTH1" t="s">
        <v>11039</v>
      </c>
      <c r="OTI1" t="s">
        <v>11040</v>
      </c>
      <c r="OTJ1" t="s">
        <v>11041</v>
      </c>
      <c r="OTK1" t="s">
        <v>11042</v>
      </c>
      <c r="OTL1" t="s">
        <v>11043</v>
      </c>
      <c r="OTM1" t="s">
        <v>11044</v>
      </c>
      <c r="OTN1" t="s">
        <v>11045</v>
      </c>
      <c r="OTO1" t="s">
        <v>11046</v>
      </c>
      <c r="OTP1" t="s">
        <v>11047</v>
      </c>
      <c r="OTQ1" t="s">
        <v>11048</v>
      </c>
      <c r="OTR1" t="s">
        <v>11049</v>
      </c>
      <c r="OTS1" t="s">
        <v>11050</v>
      </c>
      <c r="OTT1" t="s">
        <v>11051</v>
      </c>
      <c r="OTU1" t="s">
        <v>11052</v>
      </c>
      <c r="OTV1" t="s">
        <v>11053</v>
      </c>
      <c r="OTW1" t="s">
        <v>11054</v>
      </c>
      <c r="OTX1" t="s">
        <v>11055</v>
      </c>
      <c r="OTY1" t="s">
        <v>11056</v>
      </c>
      <c r="OTZ1" t="s">
        <v>11057</v>
      </c>
      <c r="OUA1" t="s">
        <v>11058</v>
      </c>
      <c r="OUB1" t="s">
        <v>11059</v>
      </c>
      <c r="OUC1" t="s">
        <v>11060</v>
      </c>
      <c r="OUD1" t="s">
        <v>11061</v>
      </c>
      <c r="OUE1" t="s">
        <v>11062</v>
      </c>
      <c r="OUF1" t="s">
        <v>11063</v>
      </c>
      <c r="OUG1" t="s">
        <v>11064</v>
      </c>
      <c r="OUH1" t="s">
        <v>11065</v>
      </c>
      <c r="OUI1" t="s">
        <v>11066</v>
      </c>
      <c r="OUJ1" t="s">
        <v>11067</v>
      </c>
      <c r="OUK1" t="s">
        <v>11068</v>
      </c>
      <c r="OUL1" t="s">
        <v>11069</v>
      </c>
      <c r="OUM1" t="s">
        <v>11070</v>
      </c>
      <c r="OUN1" t="s">
        <v>11071</v>
      </c>
      <c r="OUO1" t="s">
        <v>11072</v>
      </c>
      <c r="OUP1" t="s">
        <v>11073</v>
      </c>
      <c r="OUQ1" t="s">
        <v>11074</v>
      </c>
      <c r="OUR1" t="s">
        <v>11075</v>
      </c>
      <c r="OUS1" t="s">
        <v>11076</v>
      </c>
      <c r="OUT1" t="s">
        <v>11077</v>
      </c>
      <c r="OUU1" t="s">
        <v>11078</v>
      </c>
      <c r="OUV1" t="s">
        <v>11079</v>
      </c>
      <c r="OUW1" t="s">
        <v>11080</v>
      </c>
      <c r="OUX1" t="s">
        <v>11081</v>
      </c>
      <c r="OUY1" t="s">
        <v>11082</v>
      </c>
      <c r="OUZ1" t="s">
        <v>11083</v>
      </c>
      <c r="OVA1" t="s">
        <v>11084</v>
      </c>
      <c r="OVB1" t="s">
        <v>11085</v>
      </c>
      <c r="OVC1" t="s">
        <v>11086</v>
      </c>
      <c r="OVD1" t="s">
        <v>11087</v>
      </c>
      <c r="OVE1" t="s">
        <v>11088</v>
      </c>
      <c r="OVF1" t="s">
        <v>11089</v>
      </c>
      <c r="OVG1" t="s">
        <v>11090</v>
      </c>
      <c r="OVH1" t="s">
        <v>11091</v>
      </c>
      <c r="OVI1" t="s">
        <v>11092</v>
      </c>
      <c r="OVJ1" t="s">
        <v>11093</v>
      </c>
      <c r="OVK1" t="s">
        <v>11094</v>
      </c>
      <c r="OVL1" t="s">
        <v>11095</v>
      </c>
      <c r="OVM1" t="s">
        <v>11096</v>
      </c>
      <c r="OVN1" t="s">
        <v>11097</v>
      </c>
      <c r="OVO1" t="s">
        <v>11098</v>
      </c>
      <c r="OVP1" t="s">
        <v>11099</v>
      </c>
      <c r="OVQ1" t="s">
        <v>11100</v>
      </c>
      <c r="OVR1" t="s">
        <v>11101</v>
      </c>
      <c r="OVS1" t="s">
        <v>11102</v>
      </c>
      <c r="OVT1" t="s">
        <v>11103</v>
      </c>
      <c r="OVU1" t="s">
        <v>11104</v>
      </c>
      <c r="OVV1" t="s">
        <v>11105</v>
      </c>
      <c r="OVW1" t="s">
        <v>11106</v>
      </c>
      <c r="OVX1" t="s">
        <v>11107</v>
      </c>
      <c r="OVY1" t="s">
        <v>11108</v>
      </c>
      <c r="OVZ1" t="s">
        <v>11109</v>
      </c>
      <c r="OWA1" t="s">
        <v>11110</v>
      </c>
      <c r="OWB1" t="s">
        <v>11111</v>
      </c>
      <c r="OWC1" t="s">
        <v>11112</v>
      </c>
      <c r="OWD1" t="s">
        <v>11113</v>
      </c>
      <c r="OWE1" t="s">
        <v>11114</v>
      </c>
      <c r="OWF1" t="s">
        <v>11115</v>
      </c>
      <c r="OWG1" t="s">
        <v>11116</v>
      </c>
      <c r="OWH1" t="s">
        <v>11117</v>
      </c>
      <c r="OWI1" t="s">
        <v>11118</v>
      </c>
      <c r="OWJ1" t="s">
        <v>11119</v>
      </c>
      <c r="OWK1" t="s">
        <v>11120</v>
      </c>
      <c r="OWL1" t="s">
        <v>11121</v>
      </c>
      <c r="OWM1" t="s">
        <v>11122</v>
      </c>
      <c r="OWN1" t="s">
        <v>11123</v>
      </c>
      <c r="OWO1" t="s">
        <v>11124</v>
      </c>
      <c r="OWP1" t="s">
        <v>11125</v>
      </c>
      <c r="OWQ1" t="s">
        <v>11126</v>
      </c>
      <c r="OWR1" t="s">
        <v>11127</v>
      </c>
      <c r="OWS1" t="s">
        <v>11128</v>
      </c>
      <c r="OWT1" t="s">
        <v>11129</v>
      </c>
      <c r="OWU1" t="s">
        <v>11130</v>
      </c>
      <c r="OWV1" t="s">
        <v>11131</v>
      </c>
      <c r="OWW1" t="s">
        <v>11132</v>
      </c>
      <c r="OWX1" t="s">
        <v>11133</v>
      </c>
      <c r="OWY1" t="s">
        <v>11134</v>
      </c>
      <c r="OWZ1" t="s">
        <v>11135</v>
      </c>
      <c r="OXA1" t="s">
        <v>11136</v>
      </c>
      <c r="OXB1" t="s">
        <v>11137</v>
      </c>
      <c r="OXC1" t="s">
        <v>11138</v>
      </c>
      <c r="OXD1" t="s">
        <v>11139</v>
      </c>
      <c r="OXE1" t="s">
        <v>11140</v>
      </c>
      <c r="OXF1" t="s">
        <v>11141</v>
      </c>
      <c r="OXG1" t="s">
        <v>11142</v>
      </c>
      <c r="OXH1" t="s">
        <v>11143</v>
      </c>
      <c r="OXI1" t="s">
        <v>11144</v>
      </c>
      <c r="OXJ1" t="s">
        <v>11145</v>
      </c>
      <c r="OXK1" t="s">
        <v>11146</v>
      </c>
      <c r="OXL1" t="s">
        <v>11147</v>
      </c>
      <c r="OXM1" t="s">
        <v>11148</v>
      </c>
      <c r="OXN1" t="s">
        <v>11149</v>
      </c>
      <c r="OXO1" t="s">
        <v>11150</v>
      </c>
      <c r="OXP1" t="s">
        <v>11151</v>
      </c>
      <c r="OXQ1" t="s">
        <v>11152</v>
      </c>
      <c r="OXR1" t="s">
        <v>11153</v>
      </c>
      <c r="OXS1" t="s">
        <v>11154</v>
      </c>
      <c r="OXT1" t="s">
        <v>11155</v>
      </c>
      <c r="OXU1" t="s">
        <v>11156</v>
      </c>
      <c r="OXV1" t="s">
        <v>11157</v>
      </c>
      <c r="OXW1" t="s">
        <v>11158</v>
      </c>
      <c r="OXX1" t="s">
        <v>11159</v>
      </c>
      <c r="OXY1" t="s">
        <v>11160</v>
      </c>
      <c r="OXZ1" t="s">
        <v>11161</v>
      </c>
      <c r="OYA1" t="s">
        <v>11162</v>
      </c>
      <c r="OYB1" t="s">
        <v>11163</v>
      </c>
      <c r="OYC1" t="s">
        <v>11164</v>
      </c>
      <c r="OYD1" t="s">
        <v>11165</v>
      </c>
      <c r="OYE1" t="s">
        <v>11166</v>
      </c>
      <c r="OYF1" t="s">
        <v>11167</v>
      </c>
      <c r="OYG1" t="s">
        <v>11168</v>
      </c>
      <c r="OYH1" t="s">
        <v>11169</v>
      </c>
      <c r="OYI1" t="s">
        <v>11170</v>
      </c>
      <c r="OYJ1" t="s">
        <v>11171</v>
      </c>
      <c r="OYK1" t="s">
        <v>11172</v>
      </c>
      <c r="OYL1" t="s">
        <v>11173</v>
      </c>
      <c r="OYM1" t="s">
        <v>11174</v>
      </c>
      <c r="OYN1" t="s">
        <v>11175</v>
      </c>
      <c r="OYO1" t="s">
        <v>11176</v>
      </c>
      <c r="OYP1" t="s">
        <v>11177</v>
      </c>
      <c r="OYQ1" t="s">
        <v>11178</v>
      </c>
      <c r="OYR1" t="s">
        <v>11179</v>
      </c>
      <c r="OYS1" t="s">
        <v>11180</v>
      </c>
      <c r="OYT1" t="s">
        <v>11181</v>
      </c>
      <c r="OYU1" t="s">
        <v>11182</v>
      </c>
      <c r="OYV1" t="s">
        <v>11183</v>
      </c>
      <c r="OYW1" t="s">
        <v>11184</v>
      </c>
      <c r="OYX1" t="s">
        <v>11185</v>
      </c>
      <c r="OYY1" t="s">
        <v>11186</v>
      </c>
      <c r="OYZ1" t="s">
        <v>11187</v>
      </c>
      <c r="OZA1" t="s">
        <v>11188</v>
      </c>
      <c r="OZB1" t="s">
        <v>11189</v>
      </c>
      <c r="OZC1" t="s">
        <v>11190</v>
      </c>
      <c r="OZD1" t="s">
        <v>11191</v>
      </c>
      <c r="OZE1" t="s">
        <v>11192</v>
      </c>
      <c r="OZF1" t="s">
        <v>11193</v>
      </c>
      <c r="OZG1" t="s">
        <v>11194</v>
      </c>
      <c r="OZH1" t="s">
        <v>11195</v>
      </c>
      <c r="OZI1" t="s">
        <v>11196</v>
      </c>
      <c r="OZJ1" t="s">
        <v>11197</v>
      </c>
      <c r="OZK1" t="s">
        <v>11198</v>
      </c>
      <c r="OZL1" t="s">
        <v>11199</v>
      </c>
      <c r="OZM1" t="s">
        <v>11200</v>
      </c>
      <c r="OZN1" t="s">
        <v>11201</v>
      </c>
      <c r="OZO1" t="s">
        <v>11202</v>
      </c>
      <c r="OZP1" t="s">
        <v>11203</v>
      </c>
      <c r="OZQ1" t="s">
        <v>11204</v>
      </c>
      <c r="OZR1" t="s">
        <v>11205</v>
      </c>
      <c r="OZS1" t="s">
        <v>11206</v>
      </c>
      <c r="OZT1" t="s">
        <v>11207</v>
      </c>
      <c r="OZU1" t="s">
        <v>11208</v>
      </c>
      <c r="OZV1" t="s">
        <v>11209</v>
      </c>
      <c r="OZW1" t="s">
        <v>11210</v>
      </c>
      <c r="OZX1" t="s">
        <v>11211</v>
      </c>
      <c r="OZY1" t="s">
        <v>11212</v>
      </c>
      <c r="OZZ1" t="s">
        <v>11213</v>
      </c>
      <c r="PAA1" t="s">
        <v>11214</v>
      </c>
      <c r="PAB1" t="s">
        <v>11215</v>
      </c>
      <c r="PAC1" t="s">
        <v>11216</v>
      </c>
      <c r="PAD1" t="s">
        <v>11217</v>
      </c>
      <c r="PAE1" t="s">
        <v>11218</v>
      </c>
      <c r="PAF1" t="s">
        <v>11219</v>
      </c>
      <c r="PAG1" t="s">
        <v>11220</v>
      </c>
      <c r="PAH1" t="s">
        <v>11221</v>
      </c>
      <c r="PAI1" t="s">
        <v>11222</v>
      </c>
      <c r="PAJ1" t="s">
        <v>11223</v>
      </c>
      <c r="PAK1" t="s">
        <v>11224</v>
      </c>
      <c r="PAL1" t="s">
        <v>11225</v>
      </c>
      <c r="PAM1" t="s">
        <v>11226</v>
      </c>
      <c r="PAN1" t="s">
        <v>11227</v>
      </c>
      <c r="PAO1" t="s">
        <v>11228</v>
      </c>
      <c r="PAP1" t="s">
        <v>11229</v>
      </c>
      <c r="PAQ1" t="s">
        <v>11230</v>
      </c>
      <c r="PAR1" t="s">
        <v>11231</v>
      </c>
      <c r="PAS1" t="s">
        <v>11232</v>
      </c>
      <c r="PAT1" t="s">
        <v>11233</v>
      </c>
      <c r="PAU1" t="s">
        <v>11234</v>
      </c>
      <c r="PAV1" t="s">
        <v>11235</v>
      </c>
      <c r="PAW1" t="s">
        <v>11236</v>
      </c>
      <c r="PAX1" t="s">
        <v>11237</v>
      </c>
      <c r="PAY1" t="s">
        <v>11238</v>
      </c>
      <c r="PAZ1" t="s">
        <v>11239</v>
      </c>
      <c r="PBA1" t="s">
        <v>11240</v>
      </c>
      <c r="PBB1" t="s">
        <v>11241</v>
      </c>
      <c r="PBC1" t="s">
        <v>11242</v>
      </c>
      <c r="PBD1" t="s">
        <v>11243</v>
      </c>
      <c r="PBE1" t="s">
        <v>11244</v>
      </c>
      <c r="PBF1" t="s">
        <v>11245</v>
      </c>
      <c r="PBG1" t="s">
        <v>11246</v>
      </c>
      <c r="PBH1" t="s">
        <v>11247</v>
      </c>
      <c r="PBI1" t="s">
        <v>11248</v>
      </c>
      <c r="PBJ1" t="s">
        <v>11249</v>
      </c>
      <c r="PBK1" t="s">
        <v>11250</v>
      </c>
      <c r="PBL1" t="s">
        <v>11251</v>
      </c>
      <c r="PBM1" t="s">
        <v>11252</v>
      </c>
      <c r="PBN1" t="s">
        <v>11253</v>
      </c>
      <c r="PBO1" t="s">
        <v>11254</v>
      </c>
      <c r="PBP1" t="s">
        <v>11255</v>
      </c>
      <c r="PBQ1" t="s">
        <v>11256</v>
      </c>
      <c r="PBR1" t="s">
        <v>11257</v>
      </c>
      <c r="PBS1" t="s">
        <v>11258</v>
      </c>
      <c r="PBT1" t="s">
        <v>11259</v>
      </c>
      <c r="PBU1" t="s">
        <v>11260</v>
      </c>
      <c r="PBV1" t="s">
        <v>11261</v>
      </c>
      <c r="PBW1" t="s">
        <v>11262</v>
      </c>
      <c r="PBX1" t="s">
        <v>11263</v>
      </c>
      <c r="PBY1" t="s">
        <v>11264</v>
      </c>
      <c r="PBZ1" t="s">
        <v>11265</v>
      </c>
      <c r="PCA1" t="s">
        <v>11266</v>
      </c>
      <c r="PCB1" t="s">
        <v>11267</v>
      </c>
      <c r="PCC1" t="s">
        <v>11268</v>
      </c>
      <c r="PCD1" t="s">
        <v>11269</v>
      </c>
      <c r="PCE1" t="s">
        <v>11270</v>
      </c>
      <c r="PCF1" t="s">
        <v>11271</v>
      </c>
      <c r="PCG1" t="s">
        <v>11272</v>
      </c>
      <c r="PCH1" t="s">
        <v>11273</v>
      </c>
      <c r="PCI1" t="s">
        <v>11274</v>
      </c>
      <c r="PCJ1" t="s">
        <v>11275</v>
      </c>
      <c r="PCK1" t="s">
        <v>11276</v>
      </c>
      <c r="PCL1" t="s">
        <v>11277</v>
      </c>
      <c r="PCM1" t="s">
        <v>11278</v>
      </c>
      <c r="PCN1" t="s">
        <v>11279</v>
      </c>
      <c r="PCO1" t="s">
        <v>11280</v>
      </c>
      <c r="PCP1" t="s">
        <v>11281</v>
      </c>
      <c r="PCQ1" t="s">
        <v>11282</v>
      </c>
      <c r="PCR1" t="s">
        <v>11283</v>
      </c>
      <c r="PCS1" t="s">
        <v>11284</v>
      </c>
      <c r="PCT1" t="s">
        <v>11285</v>
      </c>
      <c r="PCU1" t="s">
        <v>11286</v>
      </c>
      <c r="PCV1" t="s">
        <v>11287</v>
      </c>
      <c r="PCW1" t="s">
        <v>11288</v>
      </c>
      <c r="PCX1" t="s">
        <v>11289</v>
      </c>
      <c r="PCY1" t="s">
        <v>11290</v>
      </c>
      <c r="PCZ1" t="s">
        <v>11291</v>
      </c>
      <c r="PDA1" t="s">
        <v>11292</v>
      </c>
      <c r="PDB1" t="s">
        <v>11293</v>
      </c>
      <c r="PDC1" t="s">
        <v>11294</v>
      </c>
      <c r="PDD1" t="s">
        <v>11295</v>
      </c>
      <c r="PDE1" t="s">
        <v>11296</v>
      </c>
      <c r="PDF1" t="s">
        <v>11297</v>
      </c>
      <c r="PDG1" t="s">
        <v>11298</v>
      </c>
      <c r="PDH1" t="s">
        <v>11299</v>
      </c>
      <c r="PDI1" t="s">
        <v>11300</v>
      </c>
      <c r="PDJ1" t="s">
        <v>11301</v>
      </c>
      <c r="PDK1" t="s">
        <v>11302</v>
      </c>
      <c r="PDL1" t="s">
        <v>11303</v>
      </c>
      <c r="PDM1" t="s">
        <v>11304</v>
      </c>
      <c r="PDN1" t="s">
        <v>11305</v>
      </c>
      <c r="PDO1" t="s">
        <v>11306</v>
      </c>
      <c r="PDP1" t="s">
        <v>11307</v>
      </c>
      <c r="PDQ1" t="s">
        <v>11308</v>
      </c>
      <c r="PDR1" t="s">
        <v>11309</v>
      </c>
      <c r="PDS1" t="s">
        <v>11310</v>
      </c>
      <c r="PDT1" t="s">
        <v>11311</v>
      </c>
      <c r="PDU1" t="s">
        <v>11312</v>
      </c>
      <c r="PDV1" t="s">
        <v>11313</v>
      </c>
      <c r="PDW1" t="s">
        <v>11314</v>
      </c>
      <c r="PDX1" t="s">
        <v>11315</v>
      </c>
      <c r="PDY1" t="s">
        <v>11316</v>
      </c>
      <c r="PDZ1" t="s">
        <v>11317</v>
      </c>
      <c r="PEA1" t="s">
        <v>11318</v>
      </c>
      <c r="PEB1" t="s">
        <v>11319</v>
      </c>
      <c r="PEC1" t="s">
        <v>11320</v>
      </c>
      <c r="PED1" t="s">
        <v>11321</v>
      </c>
      <c r="PEE1" t="s">
        <v>11322</v>
      </c>
      <c r="PEF1" t="s">
        <v>11323</v>
      </c>
      <c r="PEG1" t="s">
        <v>11324</v>
      </c>
      <c r="PEH1" t="s">
        <v>11325</v>
      </c>
      <c r="PEI1" t="s">
        <v>11326</v>
      </c>
      <c r="PEJ1" t="s">
        <v>11327</v>
      </c>
      <c r="PEK1" t="s">
        <v>11328</v>
      </c>
      <c r="PEL1" t="s">
        <v>11329</v>
      </c>
      <c r="PEM1" t="s">
        <v>11330</v>
      </c>
      <c r="PEN1" t="s">
        <v>11331</v>
      </c>
      <c r="PEO1" t="s">
        <v>11332</v>
      </c>
      <c r="PEP1" t="s">
        <v>11333</v>
      </c>
      <c r="PEQ1" t="s">
        <v>11334</v>
      </c>
      <c r="PER1" t="s">
        <v>11335</v>
      </c>
      <c r="PES1" t="s">
        <v>11336</v>
      </c>
      <c r="PET1" t="s">
        <v>11337</v>
      </c>
      <c r="PEU1" t="s">
        <v>11338</v>
      </c>
      <c r="PEV1" t="s">
        <v>11339</v>
      </c>
      <c r="PEW1" t="s">
        <v>11340</v>
      </c>
      <c r="PEX1" t="s">
        <v>11341</v>
      </c>
      <c r="PEY1" t="s">
        <v>11342</v>
      </c>
      <c r="PEZ1" t="s">
        <v>11343</v>
      </c>
      <c r="PFA1" t="s">
        <v>11344</v>
      </c>
      <c r="PFB1" t="s">
        <v>11345</v>
      </c>
      <c r="PFC1" t="s">
        <v>11346</v>
      </c>
      <c r="PFD1" t="s">
        <v>11347</v>
      </c>
      <c r="PFE1" t="s">
        <v>11348</v>
      </c>
      <c r="PFF1" t="s">
        <v>11349</v>
      </c>
      <c r="PFG1" t="s">
        <v>11350</v>
      </c>
      <c r="PFH1" t="s">
        <v>11351</v>
      </c>
      <c r="PFI1" t="s">
        <v>11352</v>
      </c>
      <c r="PFJ1" t="s">
        <v>11353</v>
      </c>
      <c r="PFK1" t="s">
        <v>11354</v>
      </c>
      <c r="PFL1" t="s">
        <v>11355</v>
      </c>
      <c r="PFM1" t="s">
        <v>11356</v>
      </c>
      <c r="PFN1" t="s">
        <v>11357</v>
      </c>
      <c r="PFO1" t="s">
        <v>11358</v>
      </c>
      <c r="PFP1" t="s">
        <v>11359</v>
      </c>
      <c r="PFQ1" t="s">
        <v>11360</v>
      </c>
      <c r="PFR1" t="s">
        <v>11361</v>
      </c>
      <c r="PFS1" t="s">
        <v>11362</v>
      </c>
      <c r="PFT1" t="s">
        <v>11363</v>
      </c>
      <c r="PFU1" t="s">
        <v>11364</v>
      </c>
      <c r="PFV1" t="s">
        <v>11365</v>
      </c>
      <c r="PFW1" t="s">
        <v>11366</v>
      </c>
      <c r="PFX1" t="s">
        <v>11367</v>
      </c>
      <c r="PFY1" t="s">
        <v>11368</v>
      </c>
      <c r="PFZ1" t="s">
        <v>11369</v>
      </c>
      <c r="PGA1" t="s">
        <v>11370</v>
      </c>
      <c r="PGB1" t="s">
        <v>11371</v>
      </c>
      <c r="PGC1" t="s">
        <v>11372</v>
      </c>
      <c r="PGD1" t="s">
        <v>11373</v>
      </c>
      <c r="PGE1" t="s">
        <v>11374</v>
      </c>
      <c r="PGF1" t="s">
        <v>11375</v>
      </c>
      <c r="PGG1" t="s">
        <v>11376</v>
      </c>
      <c r="PGH1" t="s">
        <v>11377</v>
      </c>
      <c r="PGI1" t="s">
        <v>11378</v>
      </c>
      <c r="PGJ1" t="s">
        <v>11379</v>
      </c>
      <c r="PGK1" t="s">
        <v>11380</v>
      </c>
      <c r="PGL1" t="s">
        <v>11381</v>
      </c>
      <c r="PGM1" t="s">
        <v>11382</v>
      </c>
      <c r="PGN1" t="s">
        <v>11383</v>
      </c>
      <c r="PGO1" t="s">
        <v>11384</v>
      </c>
      <c r="PGP1" t="s">
        <v>11385</v>
      </c>
      <c r="PGQ1" t="s">
        <v>11386</v>
      </c>
      <c r="PGR1" t="s">
        <v>11387</v>
      </c>
      <c r="PGS1" t="s">
        <v>11388</v>
      </c>
      <c r="PGT1" t="s">
        <v>11389</v>
      </c>
      <c r="PGU1" t="s">
        <v>11390</v>
      </c>
      <c r="PGV1" t="s">
        <v>11391</v>
      </c>
      <c r="PGW1" t="s">
        <v>11392</v>
      </c>
      <c r="PGX1" t="s">
        <v>11393</v>
      </c>
      <c r="PGY1" t="s">
        <v>11394</v>
      </c>
      <c r="PGZ1" t="s">
        <v>11395</v>
      </c>
      <c r="PHA1" t="s">
        <v>11396</v>
      </c>
      <c r="PHB1" t="s">
        <v>11397</v>
      </c>
      <c r="PHC1" t="s">
        <v>11398</v>
      </c>
      <c r="PHD1" t="s">
        <v>11399</v>
      </c>
      <c r="PHE1" t="s">
        <v>11400</v>
      </c>
      <c r="PHF1" t="s">
        <v>11401</v>
      </c>
      <c r="PHG1" t="s">
        <v>11402</v>
      </c>
      <c r="PHH1" t="s">
        <v>11403</v>
      </c>
      <c r="PHI1" t="s">
        <v>11404</v>
      </c>
      <c r="PHJ1" t="s">
        <v>11405</v>
      </c>
      <c r="PHK1" t="s">
        <v>11406</v>
      </c>
      <c r="PHL1" t="s">
        <v>11407</v>
      </c>
      <c r="PHM1" t="s">
        <v>11408</v>
      </c>
      <c r="PHN1" t="s">
        <v>11409</v>
      </c>
      <c r="PHO1" t="s">
        <v>11410</v>
      </c>
      <c r="PHP1" t="s">
        <v>11411</v>
      </c>
      <c r="PHQ1" t="s">
        <v>11412</v>
      </c>
      <c r="PHR1" t="s">
        <v>11413</v>
      </c>
      <c r="PHS1" t="s">
        <v>11414</v>
      </c>
      <c r="PHT1" t="s">
        <v>11415</v>
      </c>
      <c r="PHU1" t="s">
        <v>11416</v>
      </c>
      <c r="PHV1" t="s">
        <v>11417</v>
      </c>
      <c r="PHW1" t="s">
        <v>11418</v>
      </c>
      <c r="PHX1" t="s">
        <v>11419</v>
      </c>
      <c r="PHY1" t="s">
        <v>11420</v>
      </c>
      <c r="PHZ1" t="s">
        <v>11421</v>
      </c>
      <c r="PIA1" t="s">
        <v>11422</v>
      </c>
      <c r="PIB1" t="s">
        <v>11423</v>
      </c>
      <c r="PIC1" t="s">
        <v>11424</v>
      </c>
      <c r="PID1" t="s">
        <v>11425</v>
      </c>
      <c r="PIE1" t="s">
        <v>11426</v>
      </c>
      <c r="PIF1" t="s">
        <v>11427</v>
      </c>
      <c r="PIG1" t="s">
        <v>11428</v>
      </c>
      <c r="PIH1" t="s">
        <v>11429</v>
      </c>
      <c r="PII1" t="s">
        <v>11430</v>
      </c>
      <c r="PIJ1" t="s">
        <v>11431</v>
      </c>
      <c r="PIK1" t="s">
        <v>11432</v>
      </c>
      <c r="PIL1" t="s">
        <v>11433</v>
      </c>
      <c r="PIM1" t="s">
        <v>11434</v>
      </c>
      <c r="PIN1" t="s">
        <v>11435</v>
      </c>
      <c r="PIO1" t="s">
        <v>11436</v>
      </c>
      <c r="PIP1" t="s">
        <v>11437</v>
      </c>
      <c r="PIQ1" t="s">
        <v>11438</v>
      </c>
      <c r="PIR1" t="s">
        <v>11439</v>
      </c>
      <c r="PIS1" t="s">
        <v>11440</v>
      </c>
      <c r="PIT1" t="s">
        <v>11441</v>
      </c>
      <c r="PIU1" t="s">
        <v>11442</v>
      </c>
      <c r="PIV1" t="s">
        <v>11443</v>
      </c>
      <c r="PIW1" t="s">
        <v>11444</v>
      </c>
      <c r="PIX1" t="s">
        <v>11445</v>
      </c>
      <c r="PIY1" t="s">
        <v>11446</v>
      </c>
      <c r="PIZ1" t="s">
        <v>11447</v>
      </c>
      <c r="PJA1" t="s">
        <v>11448</v>
      </c>
      <c r="PJB1" t="s">
        <v>11449</v>
      </c>
      <c r="PJC1" t="s">
        <v>11450</v>
      </c>
      <c r="PJD1" t="s">
        <v>11451</v>
      </c>
      <c r="PJE1" t="s">
        <v>11452</v>
      </c>
      <c r="PJF1" t="s">
        <v>11453</v>
      </c>
      <c r="PJG1" t="s">
        <v>11454</v>
      </c>
      <c r="PJH1" t="s">
        <v>11455</v>
      </c>
      <c r="PJI1" t="s">
        <v>11456</v>
      </c>
      <c r="PJJ1" t="s">
        <v>11457</v>
      </c>
      <c r="PJK1" t="s">
        <v>11458</v>
      </c>
      <c r="PJL1" t="s">
        <v>11459</v>
      </c>
      <c r="PJM1" t="s">
        <v>11460</v>
      </c>
      <c r="PJN1" t="s">
        <v>11461</v>
      </c>
      <c r="PJO1" t="s">
        <v>11462</v>
      </c>
      <c r="PJP1" t="s">
        <v>11463</v>
      </c>
      <c r="PJQ1" t="s">
        <v>11464</v>
      </c>
      <c r="PJR1" t="s">
        <v>11465</v>
      </c>
      <c r="PJS1" t="s">
        <v>11466</v>
      </c>
      <c r="PJT1" t="s">
        <v>11467</v>
      </c>
      <c r="PJU1" t="s">
        <v>11468</v>
      </c>
      <c r="PJV1" t="s">
        <v>11469</v>
      </c>
      <c r="PJW1" t="s">
        <v>11470</v>
      </c>
      <c r="PJX1" t="s">
        <v>11471</v>
      </c>
      <c r="PJY1" t="s">
        <v>11472</v>
      </c>
      <c r="PJZ1" t="s">
        <v>11473</v>
      </c>
      <c r="PKA1" t="s">
        <v>11474</v>
      </c>
      <c r="PKB1" t="s">
        <v>11475</v>
      </c>
      <c r="PKC1" t="s">
        <v>11476</v>
      </c>
      <c r="PKD1" t="s">
        <v>11477</v>
      </c>
      <c r="PKE1" t="s">
        <v>11478</v>
      </c>
      <c r="PKF1" t="s">
        <v>11479</v>
      </c>
      <c r="PKG1" t="s">
        <v>11480</v>
      </c>
      <c r="PKH1" t="s">
        <v>11481</v>
      </c>
      <c r="PKI1" t="s">
        <v>11482</v>
      </c>
      <c r="PKJ1" t="s">
        <v>11483</v>
      </c>
      <c r="PKK1" t="s">
        <v>11484</v>
      </c>
      <c r="PKL1" t="s">
        <v>11485</v>
      </c>
      <c r="PKM1" t="s">
        <v>11486</v>
      </c>
      <c r="PKN1" t="s">
        <v>11487</v>
      </c>
      <c r="PKO1" t="s">
        <v>11488</v>
      </c>
      <c r="PKP1" t="s">
        <v>11489</v>
      </c>
      <c r="PKQ1" t="s">
        <v>11490</v>
      </c>
      <c r="PKR1" t="s">
        <v>11491</v>
      </c>
      <c r="PKS1" t="s">
        <v>11492</v>
      </c>
      <c r="PKT1" t="s">
        <v>11493</v>
      </c>
      <c r="PKU1" t="s">
        <v>11494</v>
      </c>
      <c r="PKV1" t="s">
        <v>11495</v>
      </c>
      <c r="PKW1" t="s">
        <v>11496</v>
      </c>
      <c r="PKX1" t="s">
        <v>11497</v>
      </c>
      <c r="PKY1" t="s">
        <v>11498</v>
      </c>
      <c r="PKZ1" t="s">
        <v>11499</v>
      </c>
      <c r="PLA1" t="s">
        <v>11500</v>
      </c>
      <c r="PLB1" t="s">
        <v>11501</v>
      </c>
      <c r="PLC1" t="s">
        <v>11502</v>
      </c>
      <c r="PLD1" t="s">
        <v>11503</v>
      </c>
      <c r="PLE1" t="s">
        <v>11504</v>
      </c>
      <c r="PLF1" t="s">
        <v>11505</v>
      </c>
      <c r="PLG1" t="s">
        <v>11506</v>
      </c>
      <c r="PLH1" t="s">
        <v>11507</v>
      </c>
      <c r="PLI1" t="s">
        <v>11508</v>
      </c>
      <c r="PLJ1" t="s">
        <v>11509</v>
      </c>
      <c r="PLK1" t="s">
        <v>11510</v>
      </c>
      <c r="PLL1" t="s">
        <v>11511</v>
      </c>
      <c r="PLM1" t="s">
        <v>11512</v>
      </c>
      <c r="PLN1" t="s">
        <v>11513</v>
      </c>
      <c r="PLO1" t="s">
        <v>11514</v>
      </c>
      <c r="PLP1" t="s">
        <v>11515</v>
      </c>
      <c r="PLQ1" t="s">
        <v>11516</v>
      </c>
      <c r="PLR1" t="s">
        <v>11517</v>
      </c>
      <c r="PLS1" t="s">
        <v>11518</v>
      </c>
      <c r="PLT1" t="s">
        <v>11519</v>
      </c>
      <c r="PLU1" t="s">
        <v>11520</v>
      </c>
      <c r="PLV1" t="s">
        <v>11521</v>
      </c>
      <c r="PLW1" t="s">
        <v>11522</v>
      </c>
      <c r="PLX1" t="s">
        <v>11523</v>
      </c>
      <c r="PLY1" t="s">
        <v>11524</v>
      </c>
      <c r="PLZ1" t="s">
        <v>11525</v>
      </c>
      <c r="PMA1" t="s">
        <v>11526</v>
      </c>
      <c r="PMB1" t="s">
        <v>11527</v>
      </c>
      <c r="PMC1" t="s">
        <v>11528</v>
      </c>
      <c r="PMD1" t="s">
        <v>11529</v>
      </c>
      <c r="PME1" t="s">
        <v>11530</v>
      </c>
      <c r="PMF1" t="s">
        <v>11531</v>
      </c>
      <c r="PMG1" t="s">
        <v>11532</v>
      </c>
      <c r="PMH1" t="s">
        <v>11533</v>
      </c>
      <c r="PMI1" t="s">
        <v>11534</v>
      </c>
      <c r="PMJ1" t="s">
        <v>11535</v>
      </c>
      <c r="PMK1" t="s">
        <v>11536</v>
      </c>
      <c r="PML1" t="s">
        <v>11537</v>
      </c>
      <c r="PMM1" t="s">
        <v>11538</v>
      </c>
      <c r="PMN1" t="s">
        <v>11539</v>
      </c>
      <c r="PMO1" t="s">
        <v>11540</v>
      </c>
      <c r="PMP1" t="s">
        <v>11541</v>
      </c>
      <c r="PMQ1" t="s">
        <v>11542</v>
      </c>
      <c r="PMR1" t="s">
        <v>11543</v>
      </c>
      <c r="PMS1" t="s">
        <v>11544</v>
      </c>
      <c r="PMT1" t="s">
        <v>11545</v>
      </c>
      <c r="PMU1" t="s">
        <v>11546</v>
      </c>
      <c r="PMV1" t="s">
        <v>11547</v>
      </c>
      <c r="PMW1" t="s">
        <v>11548</v>
      </c>
      <c r="PMX1" t="s">
        <v>11549</v>
      </c>
      <c r="PMY1" t="s">
        <v>11550</v>
      </c>
      <c r="PMZ1" t="s">
        <v>11551</v>
      </c>
      <c r="PNA1" t="s">
        <v>11552</v>
      </c>
      <c r="PNB1" t="s">
        <v>11553</v>
      </c>
      <c r="PNC1" t="s">
        <v>11554</v>
      </c>
      <c r="PND1" t="s">
        <v>11555</v>
      </c>
      <c r="PNE1" t="s">
        <v>11556</v>
      </c>
      <c r="PNF1" t="s">
        <v>11557</v>
      </c>
      <c r="PNG1" t="s">
        <v>11558</v>
      </c>
      <c r="PNH1" t="s">
        <v>11559</v>
      </c>
      <c r="PNI1" t="s">
        <v>11560</v>
      </c>
      <c r="PNJ1" t="s">
        <v>11561</v>
      </c>
      <c r="PNK1" t="s">
        <v>11562</v>
      </c>
      <c r="PNL1" t="s">
        <v>11563</v>
      </c>
      <c r="PNM1" t="s">
        <v>11564</v>
      </c>
      <c r="PNN1" t="s">
        <v>11565</v>
      </c>
      <c r="PNO1" t="s">
        <v>11566</v>
      </c>
      <c r="PNP1" t="s">
        <v>11567</v>
      </c>
      <c r="PNQ1" t="s">
        <v>11568</v>
      </c>
      <c r="PNR1" t="s">
        <v>11569</v>
      </c>
      <c r="PNS1" t="s">
        <v>11570</v>
      </c>
      <c r="PNT1" t="s">
        <v>11571</v>
      </c>
      <c r="PNU1" t="s">
        <v>11572</v>
      </c>
      <c r="PNV1" t="s">
        <v>11573</v>
      </c>
      <c r="PNW1" t="s">
        <v>11574</v>
      </c>
      <c r="PNX1" t="s">
        <v>11575</v>
      </c>
      <c r="PNY1" t="s">
        <v>11576</v>
      </c>
      <c r="PNZ1" t="s">
        <v>11577</v>
      </c>
      <c r="POA1" t="s">
        <v>11578</v>
      </c>
      <c r="POB1" t="s">
        <v>11579</v>
      </c>
      <c r="POC1" t="s">
        <v>11580</v>
      </c>
      <c r="POD1" t="s">
        <v>11581</v>
      </c>
      <c r="POE1" t="s">
        <v>11582</v>
      </c>
      <c r="POF1" t="s">
        <v>11583</v>
      </c>
      <c r="POG1" t="s">
        <v>11584</v>
      </c>
      <c r="POH1" t="s">
        <v>11585</v>
      </c>
      <c r="POI1" t="s">
        <v>11586</v>
      </c>
      <c r="POJ1" t="s">
        <v>11587</v>
      </c>
      <c r="POK1" t="s">
        <v>11588</v>
      </c>
      <c r="POL1" t="s">
        <v>11589</v>
      </c>
      <c r="POM1" t="s">
        <v>11590</v>
      </c>
      <c r="PON1" t="s">
        <v>11591</v>
      </c>
      <c r="POO1" t="s">
        <v>11592</v>
      </c>
      <c r="POP1" t="s">
        <v>11593</v>
      </c>
      <c r="POQ1" t="s">
        <v>11594</v>
      </c>
      <c r="POR1" t="s">
        <v>11595</v>
      </c>
      <c r="POS1" t="s">
        <v>11596</v>
      </c>
      <c r="POT1" t="s">
        <v>11597</v>
      </c>
      <c r="POU1" t="s">
        <v>11598</v>
      </c>
      <c r="POV1" t="s">
        <v>11599</v>
      </c>
      <c r="POW1" t="s">
        <v>11600</v>
      </c>
      <c r="POX1" t="s">
        <v>11601</v>
      </c>
      <c r="POY1" t="s">
        <v>11602</v>
      </c>
      <c r="POZ1" t="s">
        <v>11603</v>
      </c>
      <c r="PPA1" t="s">
        <v>11604</v>
      </c>
      <c r="PPB1" t="s">
        <v>11605</v>
      </c>
      <c r="PPC1" t="s">
        <v>11606</v>
      </c>
      <c r="PPD1" t="s">
        <v>11607</v>
      </c>
      <c r="PPE1" t="s">
        <v>11608</v>
      </c>
      <c r="PPF1" t="s">
        <v>11609</v>
      </c>
      <c r="PPG1" t="s">
        <v>11610</v>
      </c>
      <c r="PPH1" t="s">
        <v>11611</v>
      </c>
      <c r="PPI1" t="s">
        <v>11612</v>
      </c>
      <c r="PPJ1" t="s">
        <v>11613</v>
      </c>
      <c r="PPK1" t="s">
        <v>11614</v>
      </c>
      <c r="PPL1" t="s">
        <v>11615</v>
      </c>
      <c r="PPM1" t="s">
        <v>11616</v>
      </c>
      <c r="PPN1" t="s">
        <v>11617</v>
      </c>
      <c r="PPO1" t="s">
        <v>11618</v>
      </c>
      <c r="PPP1" t="s">
        <v>11619</v>
      </c>
      <c r="PPQ1" t="s">
        <v>11620</v>
      </c>
      <c r="PPR1" t="s">
        <v>11621</v>
      </c>
      <c r="PPS1" t="s">
        <v>11622</v>
      </c>
      <c r="PPT1" t="s">
        <v>11623</v>
      </c>
      <c r="PPU1" t="s">
        <v>11624</v>
      </c>
      <c r="PPV1" t="s">
        <v>11625</v>
      </c>
      <c r="PPW1" t="s">
        <v>11626</v>
      </c>
      <c r="PPX1" t="s">
        <v>11627</v>
      </c>
      <c r="PPY1" t="s">
        <v>11628</v>
      </c>
      <c r="PPZ1" t="s">
        <v>11629</v>
      </c>
      <c r="PQA1" t="s">
        <v>11630</v>
      </c>
      <c r="PQB1" t="s">
        <v>11631</v>
      </c>
      <c r="PQC1" t="s">
        <v>11632</v>
      </c>
      <c r="PQD1" t="s">
        <v>11633</v>
      </c>
      <c r="PQE1" t="s">
        <v>11634</v>
      </c>
      <c r="PQF1" t="s">
        <v>11635</v>
      </c>
      <c r="PQG1" t="s">
        <v>11636</v>
      </c>
      <c r="PQH1" t="s">
        <v>11637</v>
      </c>
      <c r="PQI1" t="s">
        <v>11638</v>
      </c>
      <c r="PQJ1" t="s">
        <v>11639</v>
      </c>
      <c r="PQK1" t="s">
        <v>11640</v>
      </c>
      <c r="PQL1" t="s">
        <v>11641</v>
      </c>
      <c r="PQM1" t="s">
        <v>11642</v>
      </c>
      <c r="PQN1" t="s">
        <v>11643</v>
      </c>
      <c r="PQO1" t="s">
        <v>11644</v>
      </c>
      <c r="PQP1" t="s">
        <v>11645</v>
      </c>
      <c r="PQQ1" t="s">
        <v>11646</v>
      </c>
      <c r="PQR1" t="s">
        <v>11647</v>
      </c>
      <c r="PQS1" t="s">
        <v>11648</v>
      </c>
      <c r="PQT1" t="s">
        <v>11649</v>
      </c>
      <c r="PQU1" t="s">
        <v>11650</v>
      </c>
      <c r="PQV1" t="s">
        <v>11651</v>
      </c>
      <c r="PQW1" t="s">
        <v>11652</v>
      </c>
      <c r="PQX1" t="s">
        <v>11653</v>
      </c>
      <c r="PQY1" t="s">
        <v>11654</v>
      </c>
      <c r="PQZ1" t="s">
        <v>11655</v>
      </c>
      <c r="PRA1" t="s">
        <v>11656</v>
      </c>
      <c r="PRB1" t="s">
        <v>11657</v>
      </c>
      <c r="PRC1" t="s">
        <v>11658</v>
      </c>
      <c r="PRD1" t="s">
        <v>11659</v>
      </c>
      <c r="PRE1" t="s">
        <v>11660</v>
      </c>
      <c r="PRF1" t="s">
        <v>11661</v>
      </c>
      <c r="PRG1" t="s">
        <v>11662</v>
      </c>
      <c r="PRH1" t="s">
        <v>11663</v>
      </c>
      <c r="PRI1" t="s">
        <v>11664</v>
      </c>
      <c r="PRJ1" t="s">
        <v>11665</v>
      </c>
      <c r="PRK1" t="s">
        <v>11666</v>
      </c>
      <c r="PRL1" t="s">
        <v>11667</v>
      </c>
      <c r="PRM1" t="s">
        <v>11668</v>
      </c>
      <c r="PRN1" t="s">
        <v>11669</v>
      </c>
      <c r="PRO1" t="s">
        <v>11670</v>
      </c>
      <c r="PRP1" t="s">
        <v>11671</v>
      </c>
      <c r="PRQ1" t="s">
        <v>11672</v>
      </c>
      <c r="PRR1" t="s">
        <v>11673</v>
      </c>
      <c r="PRS1" t="s">
        <v>11674</v>
      </c>
      <c r="PRT1" t="s">
        <v>11675</v>
      </c>
      <c r="PRU1" t="s">
        <v>11676</v>
      </c>
      <c r="PRV1" t="s">
        <v>11677</v>
      </c>
      <c r="PRW1" t="s">
        <v>11678</v>
      </c>
      <c r="PRX1" t="s">
        <v>11679</v>
      </c>
      <c r="PRY1" t="s">
        <v>11680</v>
      </c>
      <c r="PRZ1" t="s">
        <v>11681</v>
      </c>
      <c r="PSA1" t="s">
        <v>11682</v>
      </c>
      <c r="PSB1" t="s">
        <v>11683</v>
      </c>
      <c r="PSC1" t="s">
        <v>11684</v>
      </c>
      <c r="PSD1" t="s">
        <v>11685</v>
      </c>
      <c r="PSE1" t="s">
        <v>11686</v>
      </c>
      <c r="PSF1" t="s">
        <v>11687</v>
      </c>
      <c r="PSG1" t="s">
        <v>11688</v>
      </c>
      <c r="PSH1" t="s">
        <v>11689</v>
      </c>
      <c r="PSI1" t="s">
        <v>11690</v>
      </c>
      <c r="PSJ1" t="s">
        <v>11691</v>
      </c>
      <c r="PSK1" t="s">
        <v>11692</v>
      </c>
      <c r="PSL1" t="s">
        <v>11693</v>
      </c>
      <c r="PSM1" t="s">
        <v>11694</v>
      </c>
      <c r="PSN1" t="s">
        <v>11695</v>
      </c>
      <c r="PSO1" t="s">
        <v>11696</v>
      </c>
      <c r="PSP1" t="s">
        <v>11697</v>
      </c>
      <c r="PSQ1" t="s">
        <v>11698</v>
      </c>
      <c r="PSR1" t="s">
        <v>11699</v>
      </c>
      <c r="PSS1" t="s">
        <v>11700</v>
      </c>
      <c r="PST1" t="s">
        <v>11701</v>
      </c>
      <c r="PSU1" t="s">
        <v>11702</v>
      </c>
      <c r="PSV1" t="s">
        <v>11703</v>
      </c>
      <c r="PSW1" t="s">
        <v>11704</v>
      </c>
      <c r="PSX1" t="s">
        <v>11705</v>
      </c>
      <c r="PSY1" t="s">
        <v>11706</v>
      </c>
      <c r="PSZ1" t="s">
        <v>11707</v>
      </c>
      <c r="PTA1" t="s">
        <v>11708</v>
      </c>
      <c r="PTB1" t="s">
        <v>11709</v>
      </c>
      <c r="PTC1" t="s">
        <v>11710</v>
      </c>
      <c r="PTD1" t="s">
        <v>11711</v>
      </c>
      <c r="PTE1" t="s">
        <v>11712</v>
      </c>
      <c r="PTF1" t="s">
        <v>11713</v>
      </c>
      <c r="PTG1" t="s">
        <v>11714</v>
      </c>
      <c r="PTH1" t="s">
        <v>11715</v>
      </c>
      <c r="PTI1" t="s">
        <v>11716</v>
      </c>
      <c r="PTJ1" t="s">
        <v>11717</v>
      </c>
      <c r="PTK1" t="s">
        <v>11718</v>
      </c>
      <c r="PTL1" t="s">
        <v>11719</v>
      </c>
      <c r="PTM1" t="s">
        <v>11720</v>
      </c>
      <c r="PTN1" t="s">
        <v>11721</v>
      </c>
      <c r="PTO1" t="s">
        <v>11722</v>
      </c>
      <c r="PTP1" t="s">
        <v>11723</v>
      </c>
      <c r="PTQ1" t="s">
        <v>11724</v>
      </c>
      <c r="PTR1" t="s">
        <v>11725</v>
      </c>
      <c r="PTS1" t="s">
        <v>11726</v>
      </c>
      <c r="PTT1" t="s">
        <v>11727</v>
      </c>
      <c r="PTU1" t="s">
        <v>11728</v>
      </c>
      <c r="PTV1" t="s">
        <v>11729</v>
      </c>
      <c r="PTW1" t="s">
        <v>11730</v>
      </c>
      <c r="PTX1" t="s">
        <v>11731</v>
      </c>
      <c r="PTY1" t="s">
        <v>11732</v>
      </c>
      <c r="PTZ1" t="s">
        <v>11733</v>
      </c>
      <c r="PUA1" t="s">
        <v>11734</v>
      </c>
      <c r="PUB1" t="s">
        <v>11735</v>
      </c>
      <c r="PUC1" t="s">
        <v>11736</v>
      </c>
      <c r="PUD1" t="s">
        <v>11737</v>
      </c>
      <c r="PUE1" t="s">
        <v>11738</v>
      </c>
      <c r="PUF1" t="s">
        <v>11739</v>
      </c>
      <c r="PUG1" t="s">
        <v>11740</v>
      </c>
      <c r="PUH1" t="s">
        <v>11741</v>
      </c>
      <c r="PUI1" t="s">
        <v>11742</v>
      </c>
      <c r="PUJ1" t="s">
        <v>11743</v>
      </c>
      <c r="PUK1" t="s">
        <v>11744</v>
      </c>
      <c r="PUL1" t="s">
        <v>11745</v>
      </c>
      <c r="PUM1" t="s">
        <v>11746</v>
      </c>
      <c r="PUN1" t="s">
        <v>11747</v>
      </c>
      <c r="PUO1" t="s">
        <v>11748</v>
      </c>
      <c r="PUP1" t="s">
        <v>11749</v>
      </c>
      <c r="PUQ1" t="s">
        <v>11750</v>
      </c>
      <c r="PUR1" t="s">
        <v>11751</v>
      </c>
      <c r="PUS1" t="s">
        <v>11752</v>
      </c>
      <c r="PUT1" t="s">
        <v>11753</v>
      </c>
      <c r="PUU1" t="s">
        <v>11754</v>
      </c>
      <c r="PUV1" t="s">
        <v>11755</v>
      </c>
      <c r="PUW1" t="s">
        <v>11756</v>
      </c>
      <c r="PUX1" t="s">
        <v>11757</v>
      </c>
      <c r="PUY1" t="s">
        <v>11758</v>
      </c>
      <c r="PUZ1" t="s">
        <v>11759</v>
      </c>
      <c r="PVA1" t="s">
        <v>11760</v>
      </c>
      <c r="PVB1" t="s">
        <v>11761</v>
      </c>
      <c r="PVC1" t="s">
        <v>11762</v>
      </c>
      <c r="PVD1" t="s">
        <v>11763</v>
      </c>
      <c r="PVE1" t="s">
        <v>11764</v>
      </c>
      <c r="PVF1" t="s">
        <v>11765</v>
      </c>
      <c r="PVG1" t="s">
        <v>11766</v>
      </c>
      <c r="PVH1" t="s">
        <v>11767</v>
      </c>
      <c r="PVI1" t="s">
        <v>11768</v>
      </c>
      <c r="PVJ1" t="s">
        <v>11769</v>
      </c>
      <c r="PVK1" t="s">
        <v>11770</v>
      </c>
      <c r="PVL1" t="s">
        <v>11771</v>
      </c>
      <c r="PVM1" t="s">
        <v>11772</v>
      </c>
      <c r="PVN1" t="s">
        <v>11773</v>
      </c>
      <c r="PVO1" t="s">
        <v>11774</v>
      </c>
      <c r="PVP1" t="s">
        <v>11775</v>
      </c>
      <c r="PVQ1" t="s">
        <v>11776</v>
      </c>
      <c r="PVR1" t="s">
        <v>11777</v>
      </c>
      <c r="PVS1" t="s">
        <v>11778</v>
      </c>
      <c r="PVT1" t="s">
        <v>11779</v>
      </c>
      <c r="PVU1" t="s">
        <v>11780</v>
      </c>
      <c r="PVV1" t="s">
        <v>11781</v>
      </c>
      <c r="PVW1" t="s">
        <v>11782</v>
      </c>
      <c r="PVX1" t="s">
        <v>11783</v>
      </c>
      <c r="PVY1" t="s">
        <v>11784</v>
      </c>
      <c r="PVZ1" t="s">
        <v>11785</v>
      </c>
      <c r="PWA1" t="s">
        <v>11786</v>
      </c>
      <c r="PWB1" t="s">
        <v>11787</v>
      </c>
      <c r="PWC1" t="s">
        <v>11788</v>
      </c>
      <c r="PWD1" t="s">
        <v>11789</v>
      </c>
      <c r="PWE1" t="s">
        <v>11790</v>
      </c>
      <c r="PWF1" t="s">
        <v>11791</v>
      </c>
      <c r="PWG1" t="s">
        <v>11792</v>
      </c>
      <c r="PWH1" t="s">
        <v>11793</v>
      </c>
      <c r="PWI1" t="s">
        <v>11794</v>
      </c>
      <c r="PWJ1" t="s">
        <v>11795</v>
      </c>
      <c r="PWK1" t="s">
        <v>11796</v>
      </c>
      <c r="PWL1" t="s">
        <v>11797</v>
      </c>
      <c r="PWM1" t="s">
        <v>11798</v>
      </c>
      <c r="PWN1" t="s">
        <v>11799</v>
      </c>
      <c r="PWO1" t="s">
        <v>11800</v>
      </c>
      <c r="PWP1" t="s">
        <v>11801</v>
      </c>
      <c r="PWQ1" t="s">
        <v>11802</v>
      </c>
      <c r="PWR1" t="s">
        <v>11803</v>
      </c>
      <c r="PWS1" t="s">
        <v>11804</v>
      </c>
      <c r="PWT1" t="s">
        <v>11805</v>
      </c>
      <c r="PWU1" t="s">
        <v>11806</v>
      </c>
      <c r="PWV1" t="s">
        <v>11807</v>
      </c>
      <c r="PWW1" t="s">
        <v>11808</v>
      </c>
      <c r="PWX1" t="s">
        <v>11809</v>
      </c>
      <c r="PWY1" t="s">
        <v>11810</v>
      </c>
      <c r="PWZ1" t="s">
        <v>11811</v>
      </c>
      <c r="PXA1" t="s">
        <v>11812</v>
      </c>
      <c r="PXB1" t="s">
        <v>11813</v>
      </c>
      <c r="PXC1" t="s">
        <v>11814</v>
      </c>
      <c r="PXD1" t="s">
        <v>11815</v>
      </c>
      <c r="PXE1" t="s">
        <v>11816</v>
      </c>
      <c r="PXF1" t="s">
        <v>11817</v>
      </c>
      <c r="PXG1" t="s">
        <v>11818</v>
      </c>
      <c r="PXH1" t="s">
        <v>11819</v>
      </c>
      <c r="PXI1" t="s">
        <v>11820</v>
      </c>
      <c r="PXJ1" t="s">
        <v>11821</v>
      </c>
      <c r="PXK1" t="s">
        <v>11822</v>
      </c>
      <c r="PXL1" t="s">
        <v>11823</v>
      </c>
      <c r="PXM1" t="s">
        <v>11824</v>
      </c>
      <c r="PXN1" t="s">
        <v>11825</v>
      </c>
      <c r="PXO1" t="s">
        <v>11826</v>
      </c>
      <c r="PXP1" t="s">
        <v>11827</v>
      </c>
      <c r="PXQ1" t="s">
        <v>11828</v>
      </c>
      <c r="PXR1" t="s">
        <v>11829</v>
      </c>
      <c r="PXS1" t="s">
        <v>11830</v>
      </c>
      <c r="PXT1" t="s">
        <v>11831</v>
      </c>
      <c r="PXU1" t="s">
        <v>11832</v>
      </c>
      <c r="PXV1" t="s">
        <v>11833</v>
      </c>
      <c r="PXW1" t="s">
        <v>11834</v>
      </c>
      <c r="PXX1" t="s">
        <v>11835</v>
      </c>
      <c r="PXY1" t="s">
        <v>11836</v>
      </c>
      <c r="PXZ1" t="s">
        <v>11837</v>
      </c>
      <c r="PYA1" t="s">
        <v>11838</v>
      </c>
      <c r="PYB1" t="s">
        <v>11839</v>
      </c>
      <c r="PYC1" t="s">
        <v>11840</v>
      </c>
      <c r="PYD1" t="s">
        <v>11841</v>
      </c>
      <c r="PYE1" t="s">
        <v>11842</v>
      </c>
      <c r="PYF1" t="s">
        <v>11843</v>
      </c>
      <c r="PYG1" t="s">
        <v>11844</v>
      </c>
      <c r="PYH1" t="s">
        <v>11845</v>
      </c>
      <c r="PYI1" t="s">
        <v>11846</v>
      </c>
      <c r="PYJ1" t="s">
        <v>11847</v>
      </c>
      <c r="PYK1" t="s">
        <v>11848</v>
      </c>
      <c r="PYL1" t="s">
        <v>11849</v>
      </c>
      <c r="PYM1" t="s">
        <v>11850</v>
      </c>
      <c r="PYN1" t="s">
        <v>11851</v>
      </c>
      <c r="PYO1" t="s">
        <v>11852</v>
      </c>
      <c r="PYP1" t="s">
        <v>11853</v>
      </c>
      <c r="PYQ1" t="s">
        <v>11854</v>
      </c>
      <c r="PYR1" t="s">
        <v>11855</v>
      </c>
      <c r="PYS1" t="s">
        <v>11856</v>
      </c>
      <c r="PYT1" t="s">
        <v>11857</v>
      </c>
      <c r="PYU1" t="s">
        <v>11858</v>
      </c>
      <c r="PYV1" t="s">
        <v>11859</v>
      </c>
      <c r="PYW1" t="s">
        <v>11860</v>
      </c>
      <c r="PYX1" t="s">
        <v>11861</v>
      </c>
      <c r="PYY1" t="s">
        <v>11862</v>
      </c>
      <c r="PYZ1" t="s">
        <v>11863</v>
      </c>
      <c r="PZA1" t="s">
        <v>11864</v>
      </c>
      <c r="PZB1" t="s">
        <v>11865</v>
      </c>
      <c r="PZC1" t="s">
        <v>11866</v>
      </c>
      <c r="PZD1" t="s">
        <v>11867</v>
      </c>
      <c r="PZE1" t="s">
        <v>11868</v>
      </c>
      <c r="PZF1" t="s">
        <v>11869</v>
      </c>
      <c r="PZG1" t="s">
        <v>11870</v>
      </c>
      <c r="PZH1" t="s">
        <v>11871</v>
      </c>
      <c r="PZI1" t="s">
        <v>11872</v>
      </c>
      <c r="PZJ1" t="s">
        <v>11873</v>
      </c>
      <c r="PZK1" t="s">
        <v>11874</v>
      </c>
      <c r="PZL1" t="s">
        <v>11875</v>
      </c>
      <c r="PZM1" t="s">
        <v>11876</v>
      </c>
      <c r="PZN1" t="s">
        <v>11877</v>
      </c>
      <c r="PZO1" t="s">
        <v>11878</v>
      </c>
      <c r="PZP1" t="s">
        <v>11879</v>
      </c>
      <c r="PZQ1" t="s">
        <v>11880</v>
      </c>
      <c r="PZR1" t="s">
        <v>11881</v>
      </c>
      <c r="PZS1" t="s">
        <v>11882</v>
      </c>
      <c r="PZT1" t="s">
        <v>11883</v>
      </c>
      <c r="PZU1" t="s">
        <v>11884</v>
      </c>
      <c r="PZV1" t="s">
        <v>11885</v>
      </c>
      <c r="PZW1" t="s">
        <v>11886</v>
      </c>
      <c r="PZX1" t="s">
        <v>11887</v>
      </c>
      <c r="PZY1" t="s">
        <v>11888</v>
      </c>
      <c r="PZZ1" t="s">
        <v>11889</v>
      </c>
      <c r="QAA1" t="s">
        <v>11890</v>
      </c>
      <c r="QAB1" t="s">
        <v>11891</v>
      </c>
      <c r="QAC1" t="s">
        <v>11892</v>
      </c>
      <c r="QAD1" t="s">
        <v>11893</v>
      </c>
      <c r="QAE1" t="s">
        <v>11894</v>
      </c>
      <c r="QAF1" t="s">
        <v>11895</v>
      </c>
      <c r="QAG1" t="s">
        <v>11896</v>
      </c>
      <c r="QAH1" t="s">
        <v>11897</v>
      </c>
      <c r="QAI1" t="s">
        <v>11898</v>
      </c>
      <c r="QAJ1" t="s">
        <v>11899</v>
      </c>
      <c r="QAK1" t="s">
        <v>11900</v>
      </c>
      <c r="QAL1" t="s">
        <v>11901</v>
      </c>
      <c r="QAM1" t="s">
        <v>11902</v>
      </c>
      <c r="QAN1" t="s">
        <v>11903</v>
      </c>
      <c r="QAO1" t="s">
        <v>11904</v>
      </c>
      <c r="QAP1" t="s">
        <v>11905</v>
      </c>
      <c r="QAQ1" t="s">
        <v>11906</v>
      </c>
      <c r="QAR1" t="s">
        <v>11907</v>
      </c>
      <c r="QAS1" t="s">
        <v>11908</v>
      </c>
      <c r="QAT1" t="s">
        <v>11909</v>
      </c>
      <c r="QAU1" t="s">
        <v>11910</v>
      </c>
      <c r="QAV1" t="s">
        <v>11911</v>
      </c>
      <c r="QAW1" t="s">
        <v>11912</v>
      </c>
      <c r="QAX1" t="s">
        <v>11913</v>
      </c>
      <c r="QAY1" t="s">
        <v>11914</v>
      </c>
      <c r="QAZ1" t="s">
        <v>11915</v>
      </c>
      <c r="QBA1" t="s">
        <v>11916</v>
      </c>
      <c r="QBB1" t="s">
        <v>11917</v>
      </c>
      <c r="QBC1" t="s">
        <v>11918</v>
      </c>
      <c r="QBD1" t="s">
        <v>11919</v>
      </c>
      <c r="QBE1" t="s">
        <v>11920</v>
      </c>
      <c r="QBF1" t="s">
        <v>11921</v>
      </c>
      <c r="QBG1" t="s">
        <v>11922</v>
      </c>
      <c r="QBH1" t="s">
        <v>11923</v>
      </c>
      <c r="QBI1" t="s">
        <v>11924</v>
      </c>
      <c r="QBJ1" t="s">
        <v>11925</v>
      </c>
      <c r="QBK1" t="s">
        <v>11926</v>
      </c>
      <c r="QBL1" t="s">
        <v>11927</v>
      </c>
      <c r="QBM1" t="s">
        <v>11928</v>
      </c>
      <c r="QBN1" t="s">
        <v>11929</v>
      </c>
      <c r="QBO1" t="s">
        <v>11930</v>
      </c>
      <c r="QBP1" t="s">
        <v>11931</v>
      </c>
      <c r="QBQ1" t="s">
        <v>11932</v>
      </c>
      <c r="QBR1" t="s">
        <v>11933</v>
      </c>
      <c r="QBS1" t="s">
        <v>11934</v>
      </c>
      <c r="QBT1" t="s">
        <v>11935</v>
      </c>
      <c r="QBU1" t="s">
        <v>11936</v>
      </c>
      <c r="QBV1" t="s">
        <v>11937</v>
      </c>
      <c r="QBW1" t="s">
        <v>11938</v>
      </c>
      <c r="QBX1" t="s">
        <v>11939</v>
      </c>
      <c r="QBY1" t="s">
        <v>11940</v>
      </c>
      <c r="QBZ1" t="s">
        <v>11941</v>
      </c>
      <c r="QCA1" t="s">
        <v>11942</v>
      </c>
      <c r="QCB1" t="s">
        <v>11943</v>
      </c>
      <c r="QCC1" t="s">
        <v>11944</v>
      </c>
      <c r="QCD1" t="s">
        <v>11945</v>
      </c>
      <c r="QCE1" t="s">
        <v>11946</v>
      </c>
      <c r="QCF1" t="s">
        <v>11947</v>
      </c>
      <c r="QCG1" t="s">
        <v>11948</v>
      </c>
      <c r="QCH1" t="s">
        <v>11949</v>
      </c>
      <c r="QCI1" t="s">
        <v>11950</v>
      </c>
      <c r="QCJ1" t="s">
        <v>11951</v>
      </c>
      <c r="QCK1" t="s">
        <v>11952</v>
      </c>
      <c r="QCL1" t="s">
        <v>11953</v>
      </c>
      <c r="QCM1" t="s">
        <v>11954</v>
      </c>
      <c r="QCN1" t="s">
        <v>11955</v>
      </c>
      <c r="QCO1" t="s">
        <v>11956</v>
      </c>
      <c r="QCP1" t="s">
        <v>11957</v>
      </c>
      <c r="QCQ1" t="s">
        <v>11958</v>
      </c>
      <c r="QCR1" t="s">
        <v>11959</v>
      </c>
      <c r="QCS1" t="s">
        <v>11960</v>
      </c>
      <c r="QCT1" t="s">
        <v>11961</v>
      </c>
      <c r="QCU1" t="s">
        <v>11962</v>
      </c>
      <c r="QCV1" t="s">
        <v>11963</v>
      </c>
      <c r="QCW1" t="s">
        <v>11964</v>
      </c>
      <c r="QCX1" t="s">
        <v>11965</v>
      </c>
      <c r="QCY1" t="s">
        <v>11966</v>
      </c>
      <c r="QCZ1" t="s">
        <v>11967</v>
      </c>
      <c r="QDA1" t="s">
        <v>11968</v>
      </c>
      <c r="QDB1" t="s">
        <v>11969</v>
      </c>
      <c r="QDC1" t="s">
        <v>11970</v>
      </c>
      <c r="QDD1" t="s">
        <v>11971</v>
      </c>
      <c r="QDE1" t="s">
        <v>11972</v>
      </c>
      <c r="QDF1" t="s">
        <v>11973</v>
      </c>
      <c r="QDG1" t="s">
        <v>11974</v>
      </c>
      <c r="QDH1" t="s">
        <v>11975</v>
      </c>
      <c r="QDI1" t="s">
        <v>11976</v>
      </c>
      <c r="QDJ1" t="s">
        <v>11977</v>
      </c>
      <c r="QDK1" t="s">
        <v>11978</v>
      </c>
      <c r="QDL1" t="s">
        <v>11979</v>
      </c>
      <c r="QDM1" t="s">
        <v>11980</v>
      </c>
      <c r="QDN1" t="s">
        <v>11981</v>
      </c>
      <c r="QDO1" t="s">
        <v>11982</v>
      </c>
      <c r="QDP1" t="s">
        <v>11983</v>
      </c>
      <c r="QDQ1" t="s">
        <v>11984</v>
      </c>
      <c r="QDR1" t="s">
        <v>11985</v>
      </c>
      <c r="QDS1" t="s">
        <v>11986</v>
      </c>
      <c r="QDT1" t="s">
        <v>11987</v>
      </c>
      <c r="QDU1" t="s">
        <v>11988</v>
      </c>
      <c r="QDV1" t="s">
        <v>11989</v>
      </c>
      <c r="QDW1" t="s">
        <v>11990</v>
      </c>
      <c r="QDX1" t="s">
        <v>11991</v>
      </c>
      <c r="QDY1" t="s">
        <v>11992</v>
      </c>
      <c r="QDZ1" t="s">
        <v>11993</v>
      </c>
      <c r="QEA1" t="s">
        <v>11994</v>
      </c>
      <c r="QEB1" t="s">
        <v>11995</v>
      </c>
      <c r="QEC1" t="s">
        <v>11996</v>
      </c>
      <c r="QED1" t="s">
        <v>11997</v>
      </c>
      <c r="QEE1" t="s">
        <v>11998</v>
      </c>
      <c r="QEF1" t="s">
        <v>11999</v>
      </c>
      <c r="QEG1" t="s">
        <v>12000</v>
      </c>
      <c r="QEH1" t="s">
        <v>12001</v>
      </c>
      <c r="QEI1" t="s">
        <v>12002</v>
      </c>
      <c r="QEJ1" t="s">
        <v>12003</v>
      </c>
      <c r="QEK1" t="s">
        <v>12004</v>
      </c>
      <c r="QEL1" t="s">
        <v>12005</v>
      </c>
      <c r="QEM1" t="s">
        <v>12006</v>
      </c>
      <c r="QEN1" t="s">
        <v>12007</v>
      </c>
      <c r="QEO1" t="s">
        <v>12008</v>
      </c>
      <c r="QEP1" t="s">
        <v>12009</v>
      </c>
      <c r="QEQ1" t="s">
        <v>12010</v>
      </c>
      <c r="QER1" t="s">
        <v>12011</v>
      </c>
      <c r="QES1" t="s">
        <v>12012</v>
      </c>
      <c r="QET1" t="s">
        <v>12013</v>
      </c>
      <c r="QEU1" t="s">
        <v>12014</v>
      </c>
      <c r="QEV1" t="s">
        <v>12015</v>
      </c>
      <c r="QEW1" t="s">
        <v>12016</v>
      </c>
      <c r="QEX1" t="s">
        <v>12017</v>
      </c>
      <c r="QEY1" t="s">
        <v>12018</v>
      </c>
      <c r="QEZ1" t="s">
        <v>12019</v>
      </c>
      <c r="QFA1" t="s">
        <v>12020</v>
      </c>
      <c r="QFB1" t="s">
        <v>12021</v>
      </c>
      <c r="QFC1" t="s">
        <v>12022</v>
      </c>
      <c r="QFD1" t="s">
        <v>12023</v>
      </c>
      <c r="QFE1" t="s">
        <v>12024</v>
      </c>
      <c r="QFF1" t="s">
        <v>12025</v>
      </c>
      <c r="QFG1" t="s">
        <v>12026</v>
      </c>
      <c r="QFH1" t="s">
        <v>12027</v>
      </c>
      <c r="QFI1" t="s">
        <v>12028</v>
      </c>
      <c r="QFJ1" t="s">
        <v>12029</v>
      </c>
      <c r="QFK1" t="s">
        <v>12030</v>
      </c>
      <c r="QFL1" t="s">
        <v>12031</v>
      </c>
      <c r="QFM1" t="s">
        <v>12032</v>
      </c>
      <c r="QFN1" t="s">
        <v>12033</v>
      </c>
      <c r="QFO1" t="s">
        <v>12034</v>
      </c>
      <c r="QFP1" t="s">
        <v>12035</v>
      </c>
      <c r="QFQ1" t="s">
        <v>12036</v>
      </c>
      <c r="QFR1" t="s">
        <v>12037</v>
      </c>
      <c r="QFS1" t="s">
        <v>12038</v>
      </c>
      <c r="QFT1" t="s">
        <v>12039</v>
      </c>
      <c r="QFU1" t="s">
        <v>12040</v>
      </c>
      <c r="QFV1" t="s">
        <v>12041</v>
      </c>
      <c r="QFW1" t="s">
        <v>12042</v>
      </c>
      <c r="QFX1" t="s">
        <v>12043</v>
      </c>
      <c r="QFY1" t="s">
        <v>12044</v>
      </c>
      <c r="QFZ1" t="s">
        <v>12045</v>
      </c>
      <c r="QGA1" t="s">
        <v>12046</v>
      </c>
      <c r="QGB1" t="s">
        <v>12047</v>
      </c>
      <c r="QGC1" t="s">
        <v>12048</v>
      </c>
      <c r="QGD1" t="s">
        <v>12049</v>
      </c>
      <c r="QGE1" t="s">
        <v>12050</v>
      </c>
      <c r="QGF1" t="s">
        <v>12051</v>
      </c>
      <c r="QGG1" t="s">
        <v>12052</v>
      </c>
      <c r="QGH1" t="s">
        <v>12053</v>
      </c>
      <c r="QGI1" t="s">
        <v>12054</v>
      </c>
      <c r="QGJ1" t="s">
        <v>12055</v>
      </c>
      <c r="QGK1" t="s">
        <v>12056</v>
      </c>
      <c r="QGL1" t="s">
        <v>12057</v>
      </c>
      <c r="QGM1" t="s">
        <v>12058</v>
      </c>
      <c r="QGN1" t="s">
        <v>12059</v>
      </c>
      <c r="QGO1" t="s">
        <v>12060</v>
      </c>
      <c r="QGP1" t="s">
        <v>12061</v>
      </c>
      <c r="QGQ1" t="s">
        <v>12062</v>
      </c>
      <c r="QGR1" t="s">
        <v>12063</v>
      </c>
      <c r="QGS1" t="s">
        <v>12064</v>
      </c>
      <c r="QGT1" t="s">
        <v>12065</v>
      </c>
      <c r="QGU1" t="s">
        <v>12066</v>
      </c>
      <c r="QGV1" t="s">
        <v>12067</v>
      </c>
      <c r="QGW1" t="s">
        <v>12068</v>
      </c>
      <c r="QGX1" t="s">
        <v>12069</v>
      </c>
      <c r="QGY1" t="s">
        <v>12070</v>
      </c>
      <c r="QGZ1" t="s">
        <v>12071</v>
      </c>
      <c r="QHA1" t="s">
        <v>12072</v>
      </c>
      <c r="QHB1" t="s">
        <v>12073</v>
      </c>
      <c r="QHC1" t="s">
        <v>12074</v>
      </c>
      <c r="QHD1" t="s">
        <v>12075</v>
      </c>
      <c r="QHE1" t="s">
        <v>12076</v>
      </c>
      <c r="QHF1" t="s">
        <v>12077</v>
      </c>
      <c r="QHG1" t="s">
        <v>12078</v>
      </c>
      <c r="QHH1" t="s">
        <v>12079</v>
      </c>
      <c r="QHI1" t="s">
        <v>12080</v>
      </c>
      <c r="QHJ1" t="s">
        <v>12081</v>
      </c>
      <c r="QHK1" t="s">
        <v>12082</v>
      </c>
      <c r="QHL1" t="s">
        <v>12083</v>
      </c>
      <c r="QHM1" t="s">
        <v>12084</v>
      </c>
      <c r="QHN1" t="s">
        <v>12085</v>
      </c>
      <c r="QHO1" t="s">
        <v>12086</v>
      </c>
      <c r="QHP1" t="s">
        <v>12087</v>
      </c>
      <c r="QHQ1" t="s">
        <v>12088</v>
      </c>
      <c r="QHR1" t="s">
        <v>12089</v>
      </c>
      <c r="QHS1" t="s">
        <v>12090</v>
      </c>
      <c r="QHT1" t="s">
        <v>12091</v>
      </c>
      <c r="QHU1" t="s">
        <v>12092</v>
      </c>
      <c r="QHV1" t="s">
        <v>12093</v>
      </c>
      <c r="QHW1" t="s">
        <v>12094</v>
      </c>
      <c r="QHX1" t="s">
        <v>12095</v>
      </c>
      <c r="QHY1" t="s">
        <v>12096</v>
      </c>
      <c r="QHZ1" t="s">
        <v>12097</v>
      </c>
      <c r="QIA1" t="s">
        <v>12098</v>
      </c>
      <c r="QIB1" t="s">
        <v>12099</v>
      </c>
      <c r="QIC1" t="s">
        <v>12100</v>
      </c>
      <c r="QID1" t="s">
        <v>12101</v>
      </c>
      <c r="QIE1" t="s">
        <v>12102</v>
      </c>
      <c r="QIF1" t="s">
        <v>12103</v>
      </c>
      <c r="QIG1" t="s">
        <v>12104</v>
      </c>
      <c r="QIH1" t="s">
        <v>12105</v>
      </c>
      <c r="QII1" t="s">
        <v>12106</v>
      </c>
      <c r="QIJ1" t="s">
        <v>12107</v>
      </c>
      <c r="QIK1" t="s">
        <v>12108</v>
      </c>
      <c r="QIL1" t="s">
        <v>12109</v>
      </c>
      <c r="QIM1" t="s">
        <v>12110</v>
      </c>
      <c r="QIN1" t="s">
        <v>12111</v>
      </c>
      <c r="QIO1" t="s">
        <v>12112</v>
      </c>
      <c r="QIP1" t="s">
        <v>12113</v>
      </c>
      <c r="QIQ1" t="s">
        <v>12114</v>
      </c>
      <c r="QIR1" t="s">
        <v>12115</v>
      </c>
      <c r="QIS1" t="s">
        <v>12116</v>
      </c>
      <c r="QIT1" t="s">
        <v>12117</v>
      </c>
      <c r="QIU1" t="s">
        <v>12118</v>
      </c>
      <c r="QIV1" t="s">
        <v>12119</v>
      </c>
      <c r="QIW1" t="s">
        <v>12120</v>
      </c>
      <c r="QIX1" t="s">
        <v>12121</v>
      </c>
      <c r="QIY1" t="s">
        <v>12122</v>
      </c>
      <c r="QIZ1" t="s">
        <v>12123</v>
      </c>
      <c r="QJA1" t="s">
        <v>12124</v>
      </c>
      <c r="QJB1" t="s">
        <v>12125</v>
      </c>
      <c r="QJC1" t="s">
        <v>12126</v>
      </c>
      <c r="QJD1" t="s">
        <v>12127</v>
      </c>
      <c r="QJE1" t="s">
        <v>12128</v>
      </c>
      <c r="QJF1" t="s">
        <v>12129</v>
      </c>
      <c r="QJG1" t="s">
        <v>12130</v>
      </c>
      <c r="QJH1" t="s">
        <v>12131</v>
      </c>
      <c r="QJI1" t="s">
        <v>12132</v>
      </c>
      <c r="QJJ1" t="s">
        <v>12133</v>
      </c>
      <c r="QJK1" t="s">
        <v>12134</v>
      </c>
      <c r="QJL1" t="s">
        <v>12135</v>
      </c>
      <c r="QJM1" t="s">
        <v>12136</v>
      </c>
      <c r="QJN1" t="s">
        <v>12137</v>
      </c>
      <c r="QJO1" t="s">
        <v>12138</v>
      </c>
      <c r="QJP1" t="s">
        <v>12139</v>
      </c>
      <c r="QJQ1" t="s">
        <v>12140</v>
      </c>
      <c r="QJR1" t="s">
        <v>12141</v>
      </c>
      <c r="QJS1" t="s">
        <v>12142</v>
      </c>
      <c r="QJT1" t="s">
        <v>12143</v>
      </c>
      <c r="QJU1" t="s">
        <v>12144</v>
      </c>
      <c r="QJV1" t="s">
        <v>12145</v>
      </c>
      <c r="QJW1" t="s">
        <v>12146</v>
      </c>
      <c r="QJX1" t="s">
        <v>12147</v>
      </c>
      <c r="QJY1" t="s">
        <v>12148</v>
      </c>
      <c r="QJZ1" t="s">
        <v>12149</v>
      </c>
      <c r="QKA1" t="s">
        <v>12150</v>
      </c>
      <c r="QKB1" t="s">
        <v>12151</v>
      </c>
      <c r="QKC1" t="s">
        <v>12152</v>
      </c>
      <c r="QKD1" t="s">
        <v>12153</v>
      </c>
      <c r="QKE1" t="s">
        <v>12154</v>
      </c>
      <c r="QKF1" t="s">
        <v>12155</v>
      </c>
      <c r="QKG1" t="s">
        <v>12156</v>
      </c>
      <c r="QKH1" t="s">
        <v>12157</v>
      </c>
      <c r="QKI1" t="s">
        <v>12158</v>
      </c>
      <c r="QKJ1" t="s">
        <v>12159</v>
      </c>
      <c r="QKK1" t="s">
        <v>12160</v>
      </c>
      <c r="QKL1" t="s">
        <v>12161</v>
      </c>
      <c r="QKM1" t="s">
        <v>12162</v>
      </c>
      <c r="QKN1" t="s">
        <v>12163</v>
      </c>
      <c r="QKO1" t="s">
        <v>12164</v>
      </c>
      <c r="QKP1" t="s">
        <v>12165</v>
      </c>
      <c r="QKQ1" t="s">
        <v>12166</v>
      </c>
      <c r="QKR1" t="s">
        <v>12167</v>
      </c>
      <c r="QKS1" t="s">
        <v>12168</v>
      </c>
      <c r="QKT1" t="s">
        <v>12169</v>
      </c>
      <c r="QKU1" t="s">
        <v>12170</v>
      </c>
      <c r="QKV1" t="s">
        <v>12171</v>
      </c>
      <c r="QKW1" t="s">
        <v>12172</v>
      </c>
      <c r="QKX1" t="s">
        <v>12173</v>
      </c>
      <c r="QKY1" t="s">
        <v>12174</v>
      </c>
      <c r="QKZ1" t="s">
        <v>12175</v>
      </c>
      <c r="QLA1" t="s">
        <v>12176</v>
      </c>
      <c r="QLB1" t="s">
        <v>12177</v>
      </c>
      <c r="QLC1" t="s">
        <v>12178</v>
      </c>
      <c r="QLD1" t="s">
        <v>12179</v>
      </c>
      <c r="QLE1" t="s">
        <v>12180</v>
      </c>
      <c r="QLF1" t="s">
        <v>12181</v>
      </c>
      <c r="QLG1" t="s">
        <v>12182</v>
      </c>
      <c r="QLH1" t="s">
        <v>12183</v>
      </c>
      <c r="QLI1" t="s">
        <v>12184</v>
      </c>
      <c r="QLJ1" t="s">
        <v>12185</v>
      </c>
      <c r="QLK1" t="s">
        <v>12186</v>
      </c>
      <c r="QLL1" t="s">
        <v>12187</v>
      </c>
      <c r="QLM1" t="s">
        <v>12188</v>
      </c>
      <c r="QLN1" t="s">
        <v>12189</v>
      </c>
      <c r="QLO1" t="s">
        <v>12190</v>
      </c>
      <c r="QLP1" t="s">
        <v>12191</v>
      </c>
      <c r="QLQ1" t="s">
        <v>12192</v>
      </c>
      <c r="QLR1" t="s">
        <v>12193</v>
      </c>
      <c r="QLS1" t="s">
        <v>12194</v>
      </c>
      <c r="QLT1" t="s">
        <v>12195</v>
      </c>
      <c r="QLU1" t="s">
        <v>12196</v>
      </c>
      <c r="QLV1" t="s">
        <v>12197</v>
      </c>
      <c r="QLW1" t="s">
        <v>12198</v>
      </c>
      <c r="QLX1" t="s">
        <v>12199</v>
      </c>
      <c r="QLY1" t="s">
        <v>12200</v>
      </c>
      <c r="QLZ1" t="s">
        <v>12201</v>
      </c>
      <c r="QMA1" t="s">
        <v>12202</v>
      </c>
      <c r="QMB1" t="s">
        <v>12203</v>
      </c>
      <c r="QMC1" t="s">
        <v>12204</v>
      </c>
      <c r="QMD1" t="s">
        <v>12205</v>
      </c>
      <c r="QME1" t="s">
        <v>12206</v>
      </c>
      <c r="QMF1" t="s">
        <v>12207</v>
      </c>
      <c r="QMG1" t="s">
        <v>12208</v>
      </c>
      <c r="QMH1" t="s">
        <v>12209</v>
      </c>
      <c r="QMI1" t="s">
        <v>12210</v>
      </c>
      <c r="QMJ1" t="s">
        <v>12211</v>
      </c>
      <c r="QMK1" t="s">
        <v>12212</v>
      </c>
      <c r="QML1" t="s">
        <v>12213</v>
      </c>
      <c r="QMM1" t="s">
        <v>12214</v>
      </c>
      <c r="QMN1" t="s">
        <v>12215</v>
      </c>
      <c r="QMO1" t="s">
        <v>12216</v>
      </c>
      <c r="QMP1" t="s">
        <v>12217</v>
      </c>
      <c r="QMQ1" t="s">
        <v>12218</v>
      </c>
      <c r="QMR1" t="s">
        <v>12219</v>
      </c>
      <c r="QMS1" t="s">
        <v>12220</v>
      </c>
      <c r="QMT1" t="s">
        <v>12221</v>
      </c>
      <c r="QMU1" t="s">
        <v>12222</v>
      </c>
      <c r="QMV1" t="s">
        <v>12223</v>
      </c>
      <c r="QMW1" t="s">
        <v>12224</v>
      </c>
      <c r="QMX1" t="s">
        <v>12225</v>
      </c>
      <c r="QMY1" t="s">
        <v>12226</v>
      </c>
      <c r="QMZ1" t="s">
        <v>12227</v>
      </c>
      <c r="QNA1" t="s">
        <v>12228</v>
      </c>
      <c r="QNB1" t="s">
        <v>12229</v>
      </c>
      <c r="QNC1" t="s">
        <v>12230</v>
      </c>
      <c r="QND1" t="s">
        <v>12231</v>
      </c>
      <c r="QNE1" t="s">
        <v>12232</v>
      </c>
      <c r="QNF1" t="s">
        <v>12233</v>
      </c>
      <c r="QNG1" t="s">
        <v>12234</v>
      </c>
      <c r="QNH1" t="s">
        <v>12235</v>
      </c>
      <c r="QNI1" t="s">
        <v>12236</v>
      </c>
      <c r="QNJ1" t="s">
        <v>12237</v>
      </c>
      <c r="QNK1" t="s">
        <v>12238</v>
      </c>
      <c r="QNL1" t="s">
        <v>12239</v>
      </c>
      <c r="QNM1" t="s">
        <v>12240</v>
      </c>
      <c r="QNN1" t="s">
        <v>12241</v>
      </c>
      <c r="QNO1" t="s">
        <v>12242</v>
      </c>
      <c r="QNP1" t="s">
        <v>12243</v>
      </c>
      <c r="QNQ1" t="s">
        <v>12244</v>
      </c>
      <c r="QNR1" t="s">
        <v>12245</v>
      </c>
      <c r="QNS1" t="s">
        <v>12246</v>
      </c>
      <c r="QNT1" t="s">
        <v>12247</v>
      </c>
      <c r="QNU1" t="s">
        <v>12248</v>
      </c>
      <c r="QNV1" t="s">
        <v>12249</v>
      </c>
      <c r="QNW1" t="s">
        <v>12250</v>
      </c>
      <c r="QNX1" t="s">
        <v>12251</v>
      </c>
      <c r="QNY1" t="s">
        <v>12252</v>
      </c>
      <c r="QNZ1" t="s">
        <v>12253</v>
      </c>
      <c r="QOA1" t="s">
        <v>12254</v>
      </c>
      <c r="QOB1" t="s">
        <v>12255</v>
      </c>
      <c r="QOC1" t="s">
        <v>12256</v>
      </c>
      <c r="QOD1" t="s">
        <v>12257</v>
      </c>
      <c r="QOE1" t="s">
        <v>12258</v>
      </c>
      <c r="QOF1" t="s">
        <v>12259</v>
      </c>
      <c r="QOG1" t="s">
        <v>12260</v>
      </c>
      <c r="QOH1" t="s">
        <v>12261</v>
      </c>
      <c r="QOI1" t="s">
        <v>12262</v>
      </c>
      <c r="QOJ1" t="s">
        <v>12263</v>
      </c>
      <c r="QOK1" t="s">
        <v>12264</v>
      </c>
      <c r="QOL1" t="s">
        <v>12265</v>
      </c>
      <c r="QOM1" t="s">
        <v>12266</v>
      </c>
      <c r="QON1" t="s">
        <v>12267</v>
      </c>
      <c r="QOO1" t="s">
        <v>12268</v>
      </c>
      <c r="QOP1" t="s">
        <v>12269</v>
      </c>
      <c r="QOQ1" t="s">
        <v>12270</v>
      </c>
      <c r="QOR1" t="s">
        <v>12271</v>
      </c>
      <c r="QOS1" t="s">
        <v>12272</v>
      </c>
      <c r="QOT1" t="s">
        <v>12273</v>
      </c>
      <c r="QOU1" t="s">
        <v>12274</v>
      </c>
      <c r="QOV1" t="s">
        <v>12275</v>
      </c>
      <c r="QOW1" t="s">
        <v>12276</v>
      </c>
      <c r="QOX1" t="s">
        <v>12277</v>
      </c>
      <c r="QOY1" t="s">
        <v>12278</v>
      </c>
      <c r="QOZ1" t="s">
        <v>12279</v>
      </c>
      <c r="QPA1" t="s">
        <v>12280</v>
      </c>
      <c r="QPB1" t="s">
        <v>12281</v>
      </c>
      <c r="QPC1" t="s">
        <v>12282</v>
      </c>
      <c r="QPD1" t="s">
        <v>12283</v>
      </c>
      <c r="QPE1" t="s">
        <v>12284</v>
      </c>
      <c r="QPF1" t="s">
        <v>12285</v>
      </c>
      <c r="QPG1" t="s">
        <v>12286</v>
      </c>
      <c r="QPH1" t="s">
        <v>12287</v>
      </c>
      <c r="QPI1" t="s">
        <v>12288</v>
      </c>
      <c r="QPJ1" t="s">
        <v>12289</v>
      </c>
      <c r="QPK1" t="s">
        <v>12290</v>
      </c>
      <c r="QPL1" t="s">
        <v>12291</v>
      </c>
      <c r="QPM1" t="s">
        <v>12292</v>
      </c>
      <c r="QPN1" t="s">
        <v>12293</v>
      </c>
      <c r="QPO1" t="s">
        <v>12294</v>
      </c>
      <c r="QPP1" t="s">
        <v>12295</v>
      </c>
      <c r="QPQ1" t="s">
        <v>12296</v>
      </c>
      <c r="QPR1" t="s">
        <v>12297</v>
      </c>
      <c r="QPS1" t="s">
        <v>12298</v>
      </c>
      <c r="QPT1" t="s">
        <v>12299</v>
      </c>
      <c r="QPU1" t="s">
        <v>12300</v>
      </c>
      <c r="QPV1" t="s">
        <v>12301</v>
      </c>
      <c r="QPW1" t="s">
        <v>12302</v>
      </c>
      <c r="QPX1" t="s">
        <v>12303</v>
      </c>
      <c r="QPY1" t="s">
        <v>12304</v>
      </c>
      <c r="QPZ1" t="s">
        <v>12305</v>
      </c>
      <c r="QQA1" t="s">
        <v>12306</v>
      </c>
      <c r="QQB1" t="s">
        <v>12307</v>
      </c>
      <c r="QQC1" t="s">
        <v>12308</v>
      </c>
      <c r="QQD1" t="s">
        <v>12309</v>
      </c>
      <c r="QQE1" t="s">
        <v>12310</v>
      </c>
      <c r="QQF1" t="s">
        <v>12311</v>
      </c>
      <c r="QQG1" t="s">
        <v>12312</v>
      </c>
      <c r="QQH1" t="s">
        <v>12313</v>
      </c>
      <c r="QQI1" t="s">
        <v>12314</v>
      </c>
      <c r="QQJ1" t="s">
        <v>12315</v>
      </c>
      <c r="QQK1" t="s">
        <v>12316</v>
      </c>
      <c r="QQL1" t="s">
        <v>12317</v>
      </c>
      <c r="QQM1" t="s">
        <v>12318</v>
      </c>
      <c r="QQN1" t="s">
        <v>12319</v>
      </c>
      <c r="QQO1" t="s">
        <v>12320</v>
      </c>
      <c r="QQP1" t="s">
        <v>12321</v>
      </c>
      <c r="QQQ1" t="s">
        <v>12322</v>
      </c>
      <c r="QQR1" t="s">
        <v>12323</v>
      </c>
      <c r="QQS1" t="s">
        <v>12324</v>
      </c>
      <c r="QQT1" t="s">
        <v>12325</v>
      </c>
      <c r="QQU1" t="s">
        <v>12326</v>
      </c>
      <c r="QQV1" t="s">
        <v>12327</v>
      </c>
      <c r="QQW1" t="s">
        <v>12328</v>
      </c>
      <c r="QQX1" t="s">
        <v>12329</v>
      </c>
      <c r="QQY1" t="s">
        <v>12330</v>
      </c>
      <c r="QQZ1" t="s">
        <v>12331</v>
      </c>
      <c r="QRA1" t="s">
        <v>12332</v>
      </c>
      <c r="QRB1" t="s">
        <v>12333</v>
      </c>
      <c r="QRC1" t="s">
        <v>12334</v>
      </c>
      <c r="QRD1" t="s">
        <v>12335</v>
      </c>
      <c r="QRE1" t="s">
        <v>12336</v>
      </c>
      <c r="QRF1" t="s">
        <v>12337</v>
      </c>
      <c r="QRG1" t="s">
        <v>12338</v>
      </c>
      <c r="QRH1" t="s">
        <v>12339</v>
      </c>
      <c r="QRI1" t="s">
        <v>12340</v>
      </c>
      <c r="QRJ1" t="s">
        <v>12341</v>
      </c>
      <c r="QRK1" t="s">
        <v>12342</v>
      </c>
      <c r="QRL1" t="s">
        <v>12343</v>
      </c>
      <c r="QRM1" t="s">
        <v>12344</v>
      </c>
      <c r="QRN1" t="s">
        <v>12345</v>
      </c>
      <c r="QRO1" t="s">
        <v>12346</v>
      </c>
      <c r="QRP1" t="s">
        <v>12347</v>
      </c>
      <c r="QRQ1" t="s">
        <v>12348</v>
      </c>
      <c r="QRR1" t="s">
        <v>12349</v>
      </c>
      <c r="QRS1" t="s">
        <v>12350</v>
      </c>
      <c r="QRT1" t="s">
        <v>12351</v>
      </c>
      <c r="QRU1" t="s">
        <v>12352</v>
      </c>
      <c r="QRV1" t="s">
        <v>12353</v>
      </c>
      <c r="QRW1" t="s">
        <v>12354</v>
      </c>
      <c r="QRX1" t="s">
        <v>12355</v>
      </c>
      <c r="QRY1" t="s">
        <v>12356</v>
      </c>
      <c r="QRZ1" t="s">
        <v>12357</v>
      </c>
      <c r="QSA1" t="s">
        <v>12358</v>
      </c>
      <c r="QSB1" t="s">
        <v>12359</v>
      </c>
      <c r="QSC1" t="s">
        <v>12360</v>
      </c>
      <c r="QSD1" t="s">
        <v>12361</v>
      </c>
      <c r="QSE1" t="s">
        <v>12362</v>
      </c>
      <c r="QSF1" t="s">
        <v>12363</v>
      </c>
      <c r="QSG1" t="s">
        <v>12364</v>
      </c>
      <c r="QSH1" t="s">
        <v>12365</v>
      </c>
      <c r="QSI1" t="s">
        <v>12366</v>
      </c>
      <c r="QSJ1" t="s">
        <v>12367</v>
      </c>
      <c r="QSK1" t="s">
        <v>12368</v>
      </c>
      <c r="QSL1" t="s">
        <v>12369</v>
      </c>
      <c r="QSM1" t="s">
        <v>12370</v>
      </c>
      <c r="QSN1" t="s">
        <v>12371</v>
      </c>
      <c r="QSO1" t="s">
        <v>12372</v>
      </c>
      <c r="QSP1" t="s">
        <v>12373</v>
      </c>
      <c r="QSQ1" t="s">
        <v>12374</v>
      </c>
      <c r="QSR1" t="s">
        <v>12375</v>
      </c>
      <c r="QSS1" t="s">
        <v>12376</v>
      </c>
      <c r="QST1" t="s">
        <v>12377</v>
      </c>
      <c r="QSU1" t="s">
        <v>12378</v>
      </c>
      <c r="QSV1" t="s">
        <v>12379</v>
      </c>
      <c r="QSW1" t="s">
        <v>12380</v>
      </c>
      <c r="QSX1" t="s">
        <v>12381</v>
      </c>
      <c r="QSY1" t="s">
        <v>12382</v>
      </c>
      <c r="QSZ1" t="s">
        <v>12383</v>
      </c>
      <c r="QTA1" t="s">
        <v>12384</v>
      </c>
      <c r="QTB1" t="s">
        <v>12385</v>
      </c>
      <c r="QTC1" t="s">
        <v>12386</v>
      </c>
      <c r="QTD1" t="s">
        <v>12387</v>
      </c>
      <c r="QTE1" t="s">
        <v>12388</v>
      </c>
      <c r="QTF1" t="s">
        <v>12389</v>
      </c>
      <c r="QTG1" t="s">
        <v>12390</v>
      </c>
      <c r="QTH1" t="s">
        <v>12391</v>
      </c>
      <c r="QTI1" t="s">
        <v>12392</v>
      </c>
      <c r="QTJ1" t="s">
        <v>12393</v>
      </c>
      <c r="QTK1" t="s">
        <v>12394</v>
      </c>
      <c r="QTL1" t="s">
        <v>12395</v>
      </c>
      <c r="QTM1" t="s">
        <v>12396</v>
      </c>
      <c r="QTN1" t="s">
        <v>12397</v>
      </c>
      <c r="QTO1" t="s">
        <v>12398</v>
      </c>
      <c r="QTP1" t="s">
        <v>12399</v>
      </c>
      <c r="QTQ1" t="s">
        <v>12400</v>
      </c>
      <c r="QTR1" t="s">
        <v>12401</v>
      </c>
      <c r="QTS1" t="s">
        <v>12402</v>
      </c>
      <c r="QTT1" t="s">
        <v>12403</v>
      </c>
      <c r="QTU1" t="s">
        <v>12404</v>
      </c>
      <c r="QTV1" t="s">
        <v>12405</v>
      </c>
      <c r="QTW1" t="s">
        <v>12406</v>
      </c>
      <c r="QTX1" t="s">
        <v>12407</v>
      </c>
      <c r="QTY1" t="s">
        <v>12408</v>
      </c>
      <c r="QTZ1" t="s">
        <v>12409</v>
      </c>
      <c r="QUA1" t="s">
        <v>12410</v>
      </c>
      <c r="QUB1" t="s">
        <v>12411</v>
      </c>
      <c r="QUC1" t="s">
        <v>12412</v>
      </c>
      <c r="QUD1" t="s">
        <v>12413</v>
      </c>
      <c r="QUE1" t="s">
        <v>12414</v>
      </c>
      <c r="QUF1" t="s">
        <v>12415</v>
      </c>
      <c r="QUG1" t="s">
        <v>12416</v>
      </c>
      <c r="QUH1" t="s">
        <v>12417</v>
      </c>
      <c r="QUI1" t="s">
        <v>12418</v>
      </c>
      <c r="QUJ1" t="s">
        <v>12419</v>
      </c>
      <c r="QUK1" t="s">
        <v>12420</v>
      </c>
      <c r="QUL1" t="s">
        <v>12421</v>
      </c>
      <c r="QUM1" t="s">
        <v>12422</v>
      </c>
      <c r="QUN1" t="s">
        <v>12423</v>
      </c>
      <c r="QUO1" t="s">
        <v>12424</v>
      </c>
      <c r="QUP1" t="s">
        <v>12425</v>
      </c>
      <c r="QUQ1" t="s">
        <v>12426</v>
      </c>
      <c r="QUR1" t="s">
        <v>12427</v>
      </c>
      <c r="QUS1" t="s">
        <v>12428</v>
      </c>
      <c r="QUT1" t="s">
        <v>12429</v>
      </c>
      <c r="QUU1" t="s">
        <v>12430</v>
      </c>
      <c r="QUV1" t="s">
        <v>12431</v>
      </c>
      <c r="QUW1" t="s">
        <v>12432</v>
      </c>
      <c r="QUX1" t="s">
        <v>12433</v>
      </c>
      <c r="QUY1" t="s">
        <v>12434</v>
      </c>
      <c r="QUZ1" t="s">
        <v>12435</v>
      </c>
      <c r="QVA1" t="s">
        <v>12436</v>
      </c>
      <c r="QVB1" t="s">
        <v>12437</v>
      </c>
      <c r="QVC1" t="s">
        <v>12438</v>
      </c>
      <c r="QVD1" t="s">
        <v>12439</v>
      </c>
      <c r="QVE1" t="s">
        <v>12440</v>
      </c>
      <c r="QVF1" t="s">
        <v>12441</v>
      </c>
      <c r="QVG1" t="s">
        <v>12442</v>
      </c>
      <c r="QVH1" t="s">
        <v>12443</v>
      </c>
      <c r="QVI1" t="s">
        <v>12444</v>
      </c>
      <c r="QVJ1" t="s">
        <v>12445</v>
      </c>
      <c r="QVK1" t="s">
        <v>12446</v>
      </c>
      <c r="QVL1" t="s">
        <v>12447</v>
      </c>
      <c r="QVM1" t="s">
        <v>12448</v>
      </c>
      <c r="QVN1" t="s">
        <v>12449</v>
      </c>
      <c r="QVO1" t="s">
        <v>12450</v>
      </c>
      <c r="QVP1" t="s">
        <v>12451</v>
      </c>
      <c r="QVQ1" t="s">
        <v>12452</v>
      </c>
      <c r="QVR1" t="s">
        <v>12453</v>
      </c>
      <c r="QVS1" t="s">
        <v>12454</v>
      </c>
      <c r="QVT1" t="s">
        <v>12455</v>
      </c>
      <c r="QVU1" t="s">
        <v>12456</v>
      </c>
      <c r="QVV1" t="s">
        <v>12457</v>
      </c>
      <c r="QVW1" t="s">
        <v>12458</v>
      </c>
      <c r="QVX1" t="s">
        <v>12459</v>
      </c>
      <c r="QVY1" t="s">
        <v>12460</v>
      </c>
      <c r="QVZ1" t="s">
        <v>12461</v>
      </c>
      <c r="QWA1" t="s">
        <v>12462</v>
      </c>
      <c r="QWB1" t="s">
        <v>12463</v>
      </c>
      <c r="QWC1" t="s">
        <v>12464</v>
      </c>
      <c r="QWD1" t="s">
        <v>12465</v>
      </c>
      <c r="QWE1" t="s">
        <v>12466</v>
      </c>
      <c r="QWF1" t="s">
        <v>12467</v>
      </c>
      <c r="QWG1" t="s">
        <v>12468</v>
      </c>
      <c r="QWH1" t="s">
        <v>12469</v>
      </c>
      <c r="QWI1" t="s">
        <v>12470</v>
      </c>
      <c r="QWJ1" t="s">
        <v>12471</v>
      </c>
      <c r="QWK1" t="s">
        <v>12472</v>
      </c>
      <c r="QWL1" t="s">
        <v>12473</v>
      </c>
      <c r="QWM1" t="s">
        <v>12474</v>
      </c>
      <c r="QWN1" t="s">
        <v>12475</v>
      </c>
      <c r="QWO1" t="s">
        <v>12476</v>
      </c>
      <c r="QWP1" t="s">
        <v>12477</v>
      </c>
      <c r="QWQ1" t="s">
        <v>12478</v>
      </c>
      <c r="QWR1" t="s">
        <v>12479</v>
      </c>
      <c r="QWS1" t="s">
        <v>12480</v>
      </c>
      <c r="QWT1" t="s">
        <v>12481</v>
      </c>
      <c r="QWU1" t="s">
        <v>12482</v>
      </c>
      <c r="QWV1" t="s">
        <v>12483</v>
      </c>
      <c r="QWW1" t="s">
        <v>12484</v>
      </c>
      <c r="QWX1" t="s">
        <v>12485</v>
      </c>
      <c r="QWY1" t="s">
        <v>12486</v>
      </c>
      <c r="QWZ1" t="s">
        <v>12487</v>
      </c>
      <c r="QXA1" t="s">
        <v>12488</v>
      </c>
      <c r="QXB1" t="s">
        <v>12489</v>
      </c>
      <c r="QXC1" t="s">
        <v>12490</v>
      </c>
      <c r="QXD1" t="s">
        <v>12491</v>
      </c>
      <c r="QXE1" t="s">
        <v>12492</v>
      </c>
      <c r="QXF1" t="s">
        <v>12493</v>
      </c>
      <c r="QXG1" t="s">
        <v>12494</v>
      </c>
      <c r="QXH1" t="s">
        <v>12495</v>
      </c>
      <c r="QXI1" t="s">
        <v>12496</v>
      </c>
      <c r="QXJ1" t="s">
        <v>12497</v>
      </c>
      <c r="QXK1" t="s">
        <v>12498</v>
      </c>
      <c r="QXL1" t="s">
        <v>12499</v>
      </c>
      <c r="QXM1" t="s">
        <v>12500</v>
      </c>
      <c r="QXN1" t="s">
        <v>12501</v>
      </c>
      <c r="QXO1" t="s">
        <v>12502</v>
      </c>
      <c r="QXP1" t="s">
        <v>12503</v>
      </c>
      <c r="QXQ1" t="s">
        <v>12504</v>
      </c>
      <c r="QXR1" t="s">
        <v>12505</v>
      </c>
      <c r="QXS1" t="s">
        <v>12506</v>
      </c>
      <c r="QXT1" t="s">
        <v>12507</v>
      </c>
      <c r="QXU1" t="s">
        <v>12508</v>
      </c>
      <c r="QXV1" t="s">
        <v>12509</v>
      </c>
      <c r="QXW1" t="s">
        <v>12510</v>
      </c>
      <c r="QXX1" t="s">
        <v>12511</v>
      </c>
      <c r="QXY1" t="s">
        <v>12512</v>
      </c>
      <c r="QXZ1" t="s">
        <v>12513</v>
      </c>
      <c r="QYA1" t="s">
        <v>12514</v>
      </c>
      <c r="QYB1" t="s">
        <v>12515</v>
      </c>
      <c r="QYC1" t="s">
        <v>12516</v>
      </c>
      <c r="QYD1" t="s">
        <v>12517</v>
      </c>
      <c r="QYE1" t="s">
        <v>12518</v>
      </c>
      <c r="QYF1" t="s">
        <v>12519</v>
      </c>
      <c r="QYG1" t="s">
        <v>12520</v>
      </c>
      <c r="QYH1" t="s">
        <v>12521</v>
      </c>
      <c r="QYI1" t="s">
        <v>12522</v>
      </c>
      <c r="QYJ1" t="s">
        <v>12523</v>
      </c>
      <c r="QYK1" t="s">
        <v>12524</v>
      </c>
      <c r="QYL1" t="s">
        <v>12525</v>
      </c>
      <c r="QYM1" t="s">
        <v>12526</v>
      </c>
      <c r="QYN1" t="s">
        <v>12527</v>
      </c>
      <c r="QYO1" t="s">
        <v>12528</v>
      </c>
      <c r="QYP1" t="s">
        <v>12529</v>
      </c>
      <c r="QYQ1" t="s">
        <v>12530</v>
      </c>
      <c r="QYR1" t="s">
        <v>12531</v>
      </c>
      <c r="QYS1" t="s">
        <v>12532</v>
      </c>
      <c r="QYT1" t="s">
        <v>12533</v>
      </c>
      <c r="QYU1" t="s">
        <v>12534</v>
      </c>
      <c r="QYV1" t="s">
        <v>12535</v>
      </c>
      <c r="QYW1" t="s">
        <v>12536</v>
      </c>
      <c r="QYX1" t="s">
        <v>12537</v>
      </c>
      <c r="QYY1" t="s">
        <v>12538</v>
      </c>
      <c r="QYZ1" t="s">
        <v>12539</v>
      </c>
      <c r="QZA1" t="s">
        <v>12540</v>
      </c>
      <c r="QZB1" t="s">
        <v>12541</v>
      </c>
      <c r="QZC1" t="s">
        <v>12542</v>
      </c>
      <c r="QZD1" t="s">
        <v>12543</v>
      </c>
      <c r="QZE1" t="s">
        <v>12544</v>
      </c>
      <c r="QZF1" t="s">
        <v>12545</v>
      </c>
      <c r="QZG1" t="s">
        <v>12546</v>
      </c>
      <c r="QZH1" t="s">
        <v>12547</v>
      </c>
      <c r="QZI1" t="s">
        <v>12548</v>
      </c>
      <c r="QZJ1" t="s">
        <v>12549</v>
      </c>
      <c r="QZK1" t="s">
        <v>12550</v>
      </c>
      <c r="QZL1" t="s">
        <v>12551</v>
      </c>
      <c r="QZM1" t="s">
        <v>12552</v>
      </c>
      <c r="QZN1" t="s">
        <v>12553</v>
      </c>
      <c r="QZO1" t="s">
        <v>12554</v>
      </c>
      <c r="QZP1" t="s">
        <v>12555</v>
      </c>
      <c r="QZQ1" t="s">
        <v>12556</v>
      </c>
      <c r="QZR1" t="s">
        <v>12557</v>
      </c>
      <c r="QZS1" t="s">
        <v>12558</v>
      </c>
      <c r="QZT1" t="s">
        <v>12559</v>
      </c>
      <c r="QZU1" t="s">
        <v>12560</v>
      </c>
      <c r="QZV1" t="s">
        <v>12561</v>
      </c>
      <c r="QZW1" t="s">
        <v>12562</v>
      </c>
      <c r="QZX1" t="s">
        <v>12563</v>
      </c>
      <c r="QZY1" t="s">
        <v>12564</v>
      </c>
      <c r="QZZ1" t="s">
        <v>12565</v>
      </c>
      <c r="RAA1" t="s">
        <v>12566</v>
      </c>
      <c r="RAB1" t="s">
        <v>12567</v>
      </c>
      <c r="RAC1" t="s">
        <v>12568</v>
      </c>
      <c r="RAD1" t="s">
        <v>12569</v>
      </c>
      <c r="RAE1" t="s">
        <v>12570</v>
      </c>
      <c r="RAF1" t="s">
        <v>12571</v>
      </c>
      <c r="RAG1" t="s">
        <v>12572</v>
      </c>
      <c r="RAH1" t="s">
        <v>12573</v>
      </c>
      <c r="RAI1" t="s">
        <v>12574</v>
      </c>
      <c r="RAJ1" t="s">
        <v>12575</v>
      </c>
      <c r="RAK1" t="s">
        <v>12576</v>
      </c>
      <c r="RAL1" t="s">
        <v>12577</v>
      </c>
      <c r="RAM1" t="s">
        <v>12578</v>
      </c>
      <c r="RAN1" t="s">
        <v>12579</v>
      </c>
      <c r="RAO1" t="s">
        <v>12580</v>
      </c>
      <c r="RAP1" t="s">
        <v>12581</v>
      </c>
      <c r="RAQ1" t="s">
        <v>12582</v>
      </c>
      <c r="RAR1" t="s">
        <v>12583</v>
      </c>
      <c r="RAS1" t="s">
        <v>12584</v>
      </c>
      <c r="RAT1" t="s">
        <v>12585</v>
      </c>
      <c r="RAU1" t="s">
        <v>12586</v>
      </c>
      <c r="RAV1" t="s">
        <v>12587</v>
      </c>
      <c r="RAW1" t="s">
        <v>12588</v>
      </c>
      <c r="RAX1" t="s">
        <v>12589</v>
      </c>
      <c r="RAY1" t="s">
        <v>12590</v>
      </c>
      <c r="RAZ1" t="s">
        <v>12591</v>
      </c>
      <c r="RBA1" t="s">
        <v>12592</v>
      </c>
      <c r="RBB1" t="s">
        <v>12593</v>
      </c>
      <c r="RBC1" t="s">
        <v>12594</v>
      </c>
      <c r="RBD1" t="s">
        <v>12595</v>
      </c>
      <c r="RBE1" t="s">
        <v>12596</v>
      </c>
      <c r="RBF1" t="s">
        <v>12597</v>
      </c>
      <c r="RBG1" t="s">
        <v>12598</v>
      </c>
      <c r="RBH1" t="s">
        <v>12599</v>
      </c>
      <c r="RBI1" t="s">
        <v>12600</v>
      </c>
      <c r="RBJ1" t="s">
        <v>12601</v>
      </c>
      <c r="RBK1" t="s">
        <v>12602</v>
      </c>
      <c r="RBL1" t="s">
        <v>12603</v>
      </c>
      <c r="RBM1" t="s">
        <v>12604</v>
      </c>
      <c r="RBN1" t="s">
        <v>12605</v>
      </c>
      <c r="RBO1" t="s">
        <v>12606</v>
      </c>
      <c r="RBP1" t="s">
        <v>12607</v>
      </c>
      <c r="RBQ1" t="s">
        <v>12608</v>
      </c>
      <c r="RBR1" t="s">
        <v>12609</v>
      </c>
      <c r="RBS1" t="s">
        <v>12610</v>
      </c>
      <c r="RBT1" t="s">
        <v>12611</v>
      </c>
      <c r="RBU1" t="s">
        <v>12612</v>
      </c>
      <c r="RBV1" t="s">
        <v>12613</v>
      </c>
      <c r="RBW1" t="s">
        <v>12614</v>
      </c>
      <c r="RBX1" t="s">
        <v>12615</v>
      </c>
      <c r="RBY1" t="s">
        <v>12616</v>
      </c>
      <c r="RBZ1" t="s">
        <v>12617</v>
      </c>
      <c r="RCA1" t="s">
        <v>12618</v>
      </c>
      <c r="RCB1" t="s">
        <v>12619</v>
      </c>
      <c r="RCC1" t="s">
        <v>12620</v>
      </c>
      <c r="RCD1" t="s">
        <v>12621</v>
      </c>
      <c r="RCE1" t="s">
        <v>12622</v>
      </c>
      <c r="RCF1" t="s">
        <v>12623</v>
      </c>
      <c r="RCG1" t="s">
        <v>12624</v>
      </c>
      <c r="RCH1" t="s">
        <v>12625</v>
      </c>
      <c r="RCI1" t="s">
        <v>12626</v>
      </c>
      <c r="RCJ1" t="s">
        <v>12627</v>
      </c>
      <c r="RCK1" t="s">
        <v>12628</v>
      </c>
      <c r="RCL1" t="s">
        <v>12629</v>
      </c>
      <c r="RCM1" t="s">
        <v>12630</v>
      </c>
      <c r="RCN1" t="s">
        <v>12631</v>
      </c>
      <c r="RCO1" t="s">
        <v>12632</v>
      </c>
      <c r="RCP1" t="s">
        <v>12633</v>
      </c>
      <c r="RCQ1" t="s">
        <v>12634</v>
      </c>
      <c r="RCR1" t="s">
        <v>12635</v>
      </c>
      <c r="RCS1" t="s">
        <v>12636</v>
      </c>
      <c r="RCT1" t="s">
        <v>12637</v>
      </c>
      <c r="RCU1" t="s">
        <v>12638</v>
      </c>
      <c r="RCV1" t="s">
        <v>12639</v>
      </c>
      <c r="RCW1" t="s">
        <v>12640</v>
      </c>
      <c r="RCX1" t="s">
        <v>12641</v>
      </c>
      <c r="RCY1" t="s">
        <v>12642</v>
      </c>
      <c r="RCZ1" t="s">
        <v>12643</v>
      </c>
      <c r="RDA1" t="s">
        <v>12644</v>
      </c>
      <c r="RDB1" t="s">
        <v>12645</v>
      </c>
      <c r="RDC1" t="s">
        <v>12646</v>
      </c>
      <c r="RDD1" t="s">
        <v>12647</v>
      </c>
      <c r="RDE1" t="s">
        <v>12648</v>
      </c>
      <c r="RDF1" t="s">
        <v>12649</v>
      </c>
      <c r="RDG1" t="s">
        <v>12650</v>
      </c>
      <c r="RDH1" t="s">
        <v>12651</v>
      </c>
      <c r="RDI1" t="s">
        <v>12652</v>
      </c>
      <c r="RDJ1" t="s">
        <v>12653</v>
      </c>
      <c r="RDK1" t="s">
        <v>12654</v>
      </c>
      <c r="RDL1" t="s">
        <v>12655</v>
      </c>
      <c r="RDM1" t="s">
        <v>12656</v>
      </c>
      <c r="RDN1" t="s">
        <v>12657</v>
      </c>
      <c r="RDO1" t="s">
        <v>12658</v>
      </c>
      <c r="RDP1" t="s">
        <v>12659</v>
      </c>
      <c r="RDQ1" t="s">
        <v>12660</v>
      </c>
      <c r="RDR1" t="s">
        <v>12661</v>
      </c>
      <c r="RDS1" t="s">
        <v>12662</v>
      </c>
      <c r="RDT1" t="s">
        <v>12663</v>
      </c>
      <c r="RDU1" t="s">
        <v>12664</v>
      </c>
      <c r="RDV1" t="s">
        <v>12665</v>
      </c>
      <c r="RDW1" t="s">
        <v>12666</v>
      </c>
      <c r="RDX1" t="s">
        <v>12667</v>
      </c>
      <c r="RDY1" t="s">
        <v>12668</v>
      </c>
      <c r="RDZ1" t="s">
        <v>12669</v>
      </c>
      <c r="REA1" t="s">
        <v>12670</v>
      </c>
      <c r="REB1" t="s">
        <v>12671</v>
      </c>
      <c r="REC1" t="s">
        <v>12672</v>
      </c>
      <c r="RED1" t="s">
        <v>12673</v>
      </c>
      <c r="REE1" t="s">
        <v>12674</v>
      </c>
      <c r="REF1" t="s">
        <v>12675</v>
      </c>
      <c r="REG1" t="s">
        <v>12676</v>
      </c>
      <c r="REH1" t="s">
        <v>12677</v>
      </c>
      <c r="REI1" t="s">
        <v>12678</v>
      </c>
      <c r="REJ1" t="s">
        <v>12679</v>
      </c>
      <c r="REK1" t="s">
        <v>12680</v>
      </c>
      <c r="REL1" t="s">
        <v>12681</v>
      </c>
      <c r="REM1" t="s">
        <v>12682</v>
      </c>
      <c r="REN1" t="s">
        <v>12683</v>
      </c>
      <c r="REO1" t="s">
        <v>12684</v>
      </c>
      <c r="REP1" t="s">
        <v>12685</v>
      </c>
      <c r="REQ1" t="s">
        <v>12686</v>
      </c>
      <c r="RER1" t="s">
        <v>12687</v>
      </c>
      <c r="RES1" t="s">
        <v>12688</v>
      </c>
      <c r="RET1" t="s">
        <v>12689</v>
      </c>
      <c r="REU1" t="s">
        <v>12690</v>
      </c>
      <c r="REV1" t="s">
        <v>12691</v>
      </c>
      <c r="REW1" t="s">
        <v>12692</v>
      </c>
      <c r="REX1" t="s">
        <v>12693</v>
      </c>
      <c r="REY1" t="s">
        <v>12694</v>
      </c>
      <c r="REZ1" t="s">
        <v>12695</v>
      </c>
      <c r="RFA1" t="s">
        <v>12696</v>
      </c>
      <c r="RFB1" t="s">
        <v>12697</v>
      </c>
      <c r="RFC1" t="s">
        <v>12698</v>
      </c>
      <c r="RFD1" t="s">
        <v>12699</v>
      </c>
      <c r="RFE1" t="s">
        <v>12700</v>
      </c>
      <c r="RFF1" t="s">
        <v>12701</v>
      </c>
      <c r="RFG1" t="s">
        <v>12702</v>
      </c>
      <c r="RFH1" t="s">
        <v>12703</v>
      </c>
      <c r="RFI1" t="s">
        <v>12704</v>
      </c>
      <c r="RFJ1" t="s">
        <v>12705</v>
      </c>
      <c r="RFK1" t="s">
        <v>12706</v>
      </c>
      <c r="RFL1" t="s">
        <v>12707</v>
      </c>
      <c r="RFM1" t="s">
        <v>12708</v>
      </c>
      <c r="RFN1" t="s">
        <v>12709</v>
      </c>
      <c r="RFO1" t="s">
        <v>12710</v>
      </c>
      <c r="RFP1" t="s">
        <v>12711</v>
      </c>
      <c r="RFQ1" t="s">
        <v>12712</v>
      </c>
      <c r="RFR1" t="s">
        <v>12713</v>
      </c>
      <c r="RFS1" t="s">
        <v>12714</v>
      </c>
      <c r="RFT1" t="s">
        <v>12715</v>
      </c>
      <c r="RFU1" t="s">
        <v>12716</v>
      </c>
      <c r="RFV1" t="s">
        <v>12717</v>
      </c>
      <c r="RFW1" t="s">
        <v>12718</v>
      </c>
      <c r="RFX1" t="s">
        <v>12719</v>
      </c>
      <c r="RFY1" t="s">
        <v>12720</v>
      </c>
      <c r="RFZ1" t="s">
        <v>12721</v>
      </c>
      <c r="RGA1" t="s">
        <v>12722</v>
      </c>
      <c r="RGB1" t="s">
        <v>12723</v>
      </c>
      <c r="RGC1" t="s">
        <v>12724</v>
      </c>
      <c r="RGD1" t="s">
        <v>12725</v>
      </c>
      <c r="RGE1" t="s">
        <v>12726</v>
      </c>
      <c r="RGF1" t="s">
        <v>12727</v>
      </c>
      <c r="RGG1" t="s">
        <v>12728</v>
      </c>
      <c r="RGH1" t="s">
        <v>12729</v>
      </c>
      <c r="RGI1" t="s">
        <v>12730</v>
      </c>
      <c r="RGJ1" t="s">
        <v>12731</v>
      </c>
      <c r="RGK1" t="s">
        <v>12732</v>
      </c>
      <c r="RGL1" t="s">
        <v>12733</v>
      </c>
      <c r="RGM1" t="s">
        <v>12734</v>
      </c>
      <c r="RGN1" t="s">
        <v>12735</v>
      </c>
      <c r="RGO1" t="s">
        <v>12736</v>
      </c>
      <c r="RGP1" t="s">
        <v>12737</v>
      </c>
      <c r="RGQ1" t="s">
        <v>12738</v>
      </c>
      <c r="RGR1" t="s">
        <v>12739</v>
      </c>
      <c r="RGS1" t="s">
        <v>12740</v>
      </c>
      <c r="RGT1" t="s">
        <v>12741</v>
      </c>
      <c r="RGU1" t="s">
        <v>12742</v>
      </c>
      <c r="RGV1" t="s">
        <v>12743</v>
      </c>
      <c r="RGW1" t="s">
        <v>12744</v>
      </c>
      <c r="RGX1" t="s">
        <v>12745</v>
      </c>
      <c r="RGY1" t="s">
        <v>12746</v>
      </c>
      <c r="RGZ1" t="s">
        <v>12747</v>
      </c>
      <c r="RHA1" t="s">
        <v>12748</v>
      </c>
      <c r="RHB1" t="s">
        <v>12749</v>
      </c>
      <c r="RHC1" t="s">
        <v>12750</v>
      </c>
      <c r="RHD1" t="s">
        <v>12751</v>
      </c>
      <c r="RHE1" t="s">
        <v>12752</v>
      </c>
      <c r="RHF1" t="s">
        <v>12753</v>
      </c>
      <c r="RHG1" t="s">
        <v>12754</v>
      </c>
      <c r="RHH1" t="s">
        <v>12755</v>
      </c>
      <c r="RHI1" t="s">
        <v>12756</v>
      </c>
      <c r="RHJ1" t="s">
        <v>12757</v>
      </c>
      <c r="RHK1" t="s">
        <v>12758</v>
      </c>
      <c r="RHL1" t="s">
        <v>12759</v>
      </c>
      <c r="RHM1" t="s">
        <v>12760</v>
      </c>
      <c r="RHN1" t="s">
        <v>12761</v>
      </c>
      <c r="RHO1" t="s">
        <v>12762</v>
      </c>
      <c r="RHP1" t="s">
        <v>12763</v>
      </c>
      <c r="RHQ1" t="s">
        <v>12764</v>
      </c>
      <c r="RHR1" t="s">
        <v>12765</v>
      </c>
      <c r="RHS1" t="s">
        <v>12766</v>
      </c>
      <c r="RHT1" t="s">
        <v>12767</v>
      </c>
      <c r="RHU1" t="s">
        <v>12768</v>
      </c>
      <c r="RHV1" t="s">
        <v>12769</v>
      </c>
      <c r="RHW1" t="s">
        <v>12770</v>
      </c>
      <c r="RHX1" t="s">
        <v>12771</v>
      </c>
      <c r="RHY1" t="s">
        <v>12772</v>
      </c>
      <c r="RHZ1" t="s">
        <v>12773</v>
      </c>
      <c r="RIA1" t="s">
        <v>12774</v>
      </c>
      <c r="RIB1" t="s">
        <v>12775</v>
      </c>
      <c r="RIC1" t="s">
        <v>12776</v>
      </c>
      <c r="RID1" t="s">
        <v>12777</v>
      </c>
      <c r="RIE1" t="s">
        <v>12778</v>
      </c>
      <c r="RIF1" t="s">
        <v>12779</v>
      </c>
      <c r="RIG1" t="s">
        <v>12780</v>
      </c>
      <c r="RIH1" t="s">
        <v>12781</v>
      </c>
      <c r="RII1" t="s">
        <v>12782</v>
      </c>
      <c r="RIJ1" t="s">
        <v>12783</v>
      </c>
      <c r="RIK1" t="s">
        <v>12784</v>
      </c>
      <c r="RIL1" t="s">
        <v>12785</v>
      </c>
      <c r="RIM1" t="s">
        <v>12786</v>
      </c>
      <c r="RIN1" t="s">
        <v>12787</v>
      </c>
      <c r="RIO1" t="s">
        <v>12788</v>
      </c>
      <c r="RIP1" t="s">
        <v>12789</v>
      </c>
      <c r="RIQ1" t="s">
        <v>12790</v>
      </c>
      <c r="RIR1" t="s">
        <v>12791</v>
      </c>
      <c r="RIS1" t="s">
        <v>12792</v>
      </c>
      <c r="RIT1" t="s">
        <v>12793</v>
      </c>
      <c r="RIU1" t="s">
        <v>12794</v>
      </c>
      <c r="RIV1" t="s">
        <v>12795</v>
      </c>
      <c r="RIW1" t="s">
        <v>12796</v>
      </c>
      <c r="RIX1" t="s">
        <v>12797</v>
      </c>
      <c r="RIY1" t="s">
        <v>12798</v>
      </c>
      <c r="RIZ1" t="s">
        <v>12799</v>
      </c>
      <c r="RJA1" t="s">
        <v>12800</v>
      </c>
      <c r="RJB1" t="s">
        <v>12801</v>
      </c>
      <c r="RJC1" t="s">
        <v>12802</v>
      </c>
      <c r="RJD1" t="s">
        <v>12803</v>
      </c>
      <c r="RJE1" t="s">
        <v>12804</v>
      </c>
      <c r="RJF1" t="s">
        <v>12805</v>
      </c>
      <c r="RJG1" t="s">
        <v>12806</v>
      </c>
      <c r="RJH1" t="s">
        <v>12807</v>
      </c>
      <c r="RJI1" t="s">
        <v>12808</v>
      </c>
      <c r="RJJ1" t="s">
        <v>12809</v>
      </c>
      <c r="RJK1" t="s">
        <v>12810</v>
      </c>
      <c r="RJL1" t="s">
        <v>12811</v>
      </c>
      <c r="RJM1" t="s">
        <v>12812</v>
      </c>
      <c r="RJN1" t="s">
        <v>12813</v>
      </c>
      <c r="RJO1" t="s">
        <v>12814</v>
      </c>
      <c r="RJP1" t="s">
        <v>12815</v>
      </c>
      <c r="RJQ1" t="s">
        <v>12816</v>
      </c>
      <c r="RJR1" t="s">
        <v>12817</v>
      </c>
      <c r="RJS1" t="s">
        <v>12818</v>
      </c>
      <c r="RJT1" t="s">
        <v>12819</v>
      </c>
      <c r="RJU1" t="s">
        <v>12820</v>
      </c>
      <c r="RJV1" t="s">
        <v>12821</v>
      </c>
      <c r="RJW1" t="s">
        <v>12822</v>
      </c>
      <c r="RJX1" t="s">
        <v>12823</v>
      </c>
      <c r="RJY1" t="s">
        <v>12824</v>
      </c>
      <c r="RJZ1" t="s">
        <v>12825</v>
      </c>
      <c r="RKA1" t="s">
        <v>12826</v>
      </c>
      <c r="RKB1" t="s">
        <v>12827</v>
      </c>
      <c r="RKC1" t="s">
        <v>12828</v>
      </c>
      <c r="RKD1" t="s">
        <v>12829</v>
      </c>
      <c r="RKE1" t="s">
        <v>12830</v>
      </c>
      <c r="RKF1" t="s">
        <v>12831</v>
      </c>
      <c r="RKG1" t="s">
        <v>12832</v>
      </c>
      <c r="RKH1" t="s">
        <v>12833</v>
      </c>
      <c r="RKI1" t="s">
        <v>12834</v>
      </c>
      <c r="RKJ1" t="s">
        <v>12835</v>
      </c>
      <c r="RKK1" t="s">
        <v>12836</v>
      </c>
      <c r="RKL1" t="s">
        <v>12837</v>
      </c>
      <c r="RKM1" t="s">
        <v>12838</v>
      </c>
      <c r="RKN1" t="s">
        <v>12839</v>
      </c>
      <c r="RKO1" t="s">
        <v>12840</v>
      </c>
      <c r="RKP1" t="s">
        <v>12841</v>
      </c>
      <c r="RKQ1" t="s">
        <v>12842</v>
      </c>
      <c r="RKR1" t="s">
        <v>12843</v>
      </c>
      <c r="RKS1" t="s">
        <v>12844</v>
      </c>
      <c r="RKT1" t="s">
        <v>12845</v>
      </c>
      <c r="RKU1" t="s">
        <v>12846</v>
      </c>
      <c r="RKV1" t="s">
        <v>12847</v>
      </c>
      <c r="RKW1" t="s">
        <v>12848</v>
      </c>
      <c r="RKX1" t="s">
        <v>12849</v>
      </c>
      <c r="RKY1" t="s">
        <v>12850</v>
      </c>
      <c r="RKZ1" t="s">
        <v>12851</v>
      </c>
      <c r="RLA1" t="s">
        <v>12852</v>
      </c>
      <c r="RLB1" t="s">
        <v>12853</v>
      </c>
      <c r="RLC1" t="s">
        <v>12854</v>
      </c>
      <c r="RLD1" t="s">
        <v>12855</v>
      </c>
      <c r="RLE1" t="s">
        <v>12856</v>
      </c>
      <c r="RLF1" t="s">
        <v>12857</v>
      </c>
      <c r="RLG1" t="s">
        <v>12858</v>
      </c>
      <c r="RLH1" t="s">
        <v>12859</v>
      </c>
      <c r="RLI1" t="s">
        <v>12860</v>
      </c>
      <c r="RLJ1" t="s">
        <v>12861</v>
      </c>
      <c r="RLK1" t="s">
        <v>12862</v>
      </c>
      <c r="RLL1" t="s">
        <v>12863</v>
      </c>
      <c r="RLM1" t="s">
        <v>12864</v>
      </c>
      <c r="RLN1" t="s">
        <v>12865</v>
      </c>
      <c r="RLO1" t="s">
        <v>12866</v>
      </c>
      <c r="RLP1" t="s">
        <v>12867</v>
      </c>
      <c r="RLQ1" t="s">
        <v>12868</v>
      </c>
      <c r="RLR1" t="s">
        <v>12869</v>
      </c>
      <c r="RLS1" t="s">
        <v>12870</v>
      </c>
      <c r="RLT1" t="s">
        <v>12871</v>
      </c>
      <c r="RLU1" t="s">
        <v>12872</v>
      </c>
      <c r="RLV1" t="s">
        <v>12873</v>
      </c>
      <c r="RLW1" t="s">
        <v>12874</v>
      </c>
      <c r="RLX1" t="s">
        <v>12875</v>
      </c>
      <c r="RLY1" t="s">
        <v>12876</v>
      </c>
      <c r="RLZ1" t="s">
        <v>12877</v>
      </c>
      <c r="RMA1" t="s">
        <v>12878</v>
      </c>
      <c r="RMB1" t="s">
        <v>12879</v>
      </c>
      <c r="RMC1" t="s">
        <v>12880</v>
      </c>
      <c r="RMD1" t="s">
        <v>12881</v>
      </c>
      <c r="RME1" t="s">
        <v>12882</v>
      </c>
      <c r="RMF1" t="s">
        <v>12883</v>
      </c>
      <c r="RMG1" t="s">
        <v>12884</v>
      </c>
      <c r="RMH1" t="s">
        <v>12885</v>
      </c>
      <c r="RMI1" t="s">
        <v>12886</v>
      </c>
      <c r="RMJ1" t="s">
        <v>12887</v>
      </c>
      <c r="RMK1" t="s">
        <v>12888</v>
      </c>
      <c r="RML1" t="s">
        <v>12889</v>
      </c>
      <c r="RMM1" t="s">
        <v>12890</v>
      </c>
      <c r="RMN1" t="s">
        <v>12891</v>
      </c>
      <c r="RMO1" t="s">
        <v>12892</v>
      </c>
      <c r="RMP1" t="s">
        <v>12893</v>
      </c>
      <c r="RMQ1" t="s">
        <v>12894</v>
      </c>
      <c r="RMR1" t="s">
        <v>12895</v>
      </c>
      <c r="RMS1" t="s">
        <v>12896</v>
      </c>
      <c r="RMT1" t="s">
        <v>12897</v>
      </c>
      <c r="RMU1" t="s">
        <v>12898</v>
      </c>
      <c r="RMV1" t="s">
        <v>12899</v>
      </c>
      <c r="RMW1" t="s">
        <v>12900</v>
      </c>
      <c r="RMX1" t="s">
        <v>12901</v>
      </c>
      <c r="RMY1" t="s">
        <v>12902</v>
      </c>
      <c r="RMZ1" t="s">
        <v>12903</v>
      </c>
      <c r="RNA1" t="s">
        <v>12904</v>
      </c>
      <c r="RNB1" t="s">
        <v>12905</v>
      </c>
      <c r="RNC1" t="s">
        <v>12906</v>
      </c>
      <c r="RND1" t="s">
        <v>12907</v>
      </c>
      <c r="RNE1" t="s">
        <v>12908</v>
      </c>
      <c r="RNF1" t="s">
        <v>12909</v>
      </c>
      <c r="RNG1" t="s">
        <v>12910</v>
      </c>
      <c r="RNH1" t="s">
        <v>12911</v>
      </c>
      <c r="RNI1" t="s">
        <v>12912</v>
      </c>
      <c r="RNJ1" t="s">
        <v>12913</v>
      </c>
      <c r="RNK1" t="s">
        <v>12914</v>
      </c>
      <c r="RNL1" t="s">
        <v>12915</v>
      </c>
      <c r="RNM1" t="s">
        <v>12916</v>
      </c>
      <c r="RNN1" t="s">
        <v>12917</v>
      </c>
      <c r="RNO1" t="s">
        <v>12918</v>
      </c>
      <c r="RNP1" t="s">
        <v>12919</v>
      </c>
      <c r="RNQ1" t="s">
        <v>12920</v>
      </c>
      <c r="RNR1" t="s">
        <v>12921</v>
      </c>
      <c r="RNS1" t="s">
        <v>12922</v>
      </c>
      <c r="RNT1" t="s">
        <v>12923</v>
      </c>
      <c r="RNU1" t="s">
        <v>12924</v>
      </c>
      <c r="RNV1" t="s">
        <v>12925</v>
      </c>
      <c r="RNW1" t="s">
        <v>12926</v>
      </c>
      <c r="RNX1" t="s">
        <v>12927</v>
      </c>
      <c r="RNY1" t="s">
        <v>12928</v>
      </c>
      <c r="RNZ1" t="s">
        <v>12929</v>
      </c>
      <c r="ROA1" t="s">
        <v>12930</v>
      </c>
      <c r="ROB1" t="s">
        <v>12931</v>
      </c>
      <c r="ROC1" t="s">
        <v>12932</v>
      </c>
      <c r="ROD1" t="s">
        <v>12933</v>
      </c>
      <c r="ROE1" t="s">
        <v>12934</v>
      </c>
      <c r="ROF1" t="s">
        <v>12935</v>
      </c>
      <c r="ROG1" t="s">
        <v>12936</v>
      </c>
      <c r="ROH1" t="s">
        <v>12937</v>
      </c>
      <c r="ROI1" t="s">
        <v>12938</v>
      </c>
      <c r="ROJ1" t="s">
        <v>12939</v>
      </c>
      <c r="ROK1" t="s">
        <v>12940</v>
      </c>
      <c r="ROL1" t="s">
        <v>12941</v>
      </c>
      <c r="ROM1" t="s">
        <v>12942</v>
      </c>
      <c r="RON1" t="s">
        <v>12943</v>
      </c>
      <c r="ROO1" t="s">
        <v>12944</v>
      </c>
      <c r="ROP1" t="s">
        <v>12945</v>
      </c>
      <c r="ROQ1" t="s">
        <v>12946</v>
      </c>
      <c r="ROR1" t="s">
        <v>12947</v>
      </c>
      <c r="ROS1" t="s">
        <v>12948</v>
      </c>
      <c r="ROT1" t="s">
        <v>12949</v>
      </c>
      <c r="ROU1" t="s">
        <v>12950</v>
      </c>
      <c r="ROV1" t="s">
        <v>12951</v>
      </c>
      <c r="ROW1" t="s">
        <v>12952</v>
      </c>
      <c r="ROX1" t="s">
        <v>12953</v>
      </c>
      <c r="ROY1" t="s">
        <v>12954</v>
      </c>
      <c r="ROZ1" t="s">
        <v>12955</v>
      </c>
      <c r="RPA1" t="s">
        <v>12956</v>
      </c>
      <c r="RPB1" t="s">
        <v>12957</v>
      </c>
      <c r="RPC1" t="s">
        <v>12958</v>
      </c>
      <c r="RPD1" t="s">
        <v>12959</v>
      </c>
      <c r="RPE1" t="s">
        <v>12960</v>
      </c>
      <c r="RPF1" t="s">
        <v>12961</v>
      </c>
      <c r="RPG1" t="s">
        <v>12962</v>
      </c>
      <c r="RPH1" t="s">
        <v>12963</v>
      </c>
      <c r="RPI1" t="s">
        <v>12964</v>
      </c>
      <c r="RPJ1" t="s">
        <v>12965</v>
      </c>
      <c r="RPK1" t="s">
        <v>12966</v>
      </c>
      <c r="RPL1" t="s">
        <v>12967</v>
      </c>
      <c r="RPM1" t="s">
        <v>12968</v>
      </c>
      <c r="RPN1" t="s">
        <v>12969</v>
      </c>
      <c r="RPO1" t="s">
        <v>12970</v>
      </c>
      <c r="RPP1" t="s">
        <v>12971</v>
      </c>
      <c r="RPQ1" t="s">
        <v>12972</v>
      </c>
      <c r="RPR1" t="s">
        <v>12973</v>
      </c>
      <c r="RPS1" t="s">
        <v>12974</v>
      </c>
      <c r="RPT1" t="s">
        <v>12975</v>
      </c>
      <c r="RPU1" t="s">
        <v>12976</v>
      </c>
      <c r="RPV1" t="s">
        <v>12977</v>
      </c>
      <c r="RPW1" t="s">
        <v>12978</v>
      </c>
      <c r="RPX1" t="s">
        <v>12979</v>
      </c>
      <c r="RPY1" t="s">
        <v>12980</v>
      </c>
      <c r="RPZ1" t="s">
        <v>12981</v>
      </c>
      <c r="RQA1" t="s">
        <v>12982</v>
      </c>
      <c r="RQB1" t="s">
        <v>12983</v>
      </c>
      <c r="RQC1" t="s">
        <v>12984</v>
      </c>
      <c r="RQD1" t="s">
        <v>12985</v>
      </c>
      <c r="RQE1" t="s">
        <v>12986</v>
      </c>
      <c r="RQF1" t="s">
        <v>12987</v>
      </c>
      <c r="RQG1" t="s">
        <v>12988</v>
      </c>
      <c r="RQH1" t="s">
        <v>12989</v>
      </c>
      <c r="RQI1" t="s">
        <v>12990</v>
      </c>
      <c r="RQJ1" t="s">
        <v>12991</v>
      </c>
      <c r="RQK1" t="s">
        <v>12992</v>
      </c>
      <c r="RQL1" t="s">
        <v>12993</v>
      </c>
      <c r="RQM1" t="s">
        <v>12994</v>
      </c>
      <c r="RQN1" t="s">
        <v>12995</v>
      </c>
      <c r="RQO1" t="s">
        <v>12996</v>
      </c>
      <c r="RQP1" t="s">
        <v>12997</v>
      </c>
      <c r="RQQ1" t="s">
        <v>12998</v>
      </c>
      <c r="RQR1" t="s">
        <v>12999</v>
      </c>
      <c r="RQS1" t="s">
        <v>13000</v>
      </c>
      <c r="RQT1" t="s">
        <v>13001</v>
      </c>
      <c r="RQU1" t="s">
        <v>13002</v>
      </c>
      <c r="RQV1" t="s">
        <v>13003</v>
      </c>
      <c r="RQW1" t="s">
        <v>13004</v>
      </c>
      <c r="RQX1" t="s">
        <v>13005</v>
      </c>
      <c r="RQY1" t="s">
        <v>13006</v>
      </c>
      <c r="RQZ1" t="s">
        <v>13007</v>
      </c>
      <c r="RRA1" t="s">
        <v>13008</v>
      </c>
      <c r="RRB1" t="s">
        <v>13009</v>
      </c>
      <c r="RRC1" t="s">
        <v>13010</v>
      </c>
      <c r="RRD1" t="s">
        <v>13011</v>
      </c>
      <c r="RRE1" t="s">
        <v>13012</v>
      </c>
      <c r="RRF1" t="s">
        <v>13013</v>
      </c>
      <c r="RRG1" t="s">
        <v>13014</v>
      </c>
      <c r="RRH1" t="s">
        <v>13015</v>
      </c>
      <c r="RRI1" t="s">
        <v>13016</v>
      </c>
      <c r="RRJ1" t="s">
        <v>13017</v>
      </c>
      <c r="RRK1" t="s">
        <v>13018</v>
      </c>
      <c r="RRL1" t="s">
        <v>13019</v>
      </c>
      <c r="RRM1" t="s">
        <v>13020</v>
      </c>
      <c r="RRN1" t="s">
        <v>13021</v>
      </c>
      <c r="RRO1" t="s">
        <v>13022</v>
      </c>
      <c r="RRP1" t="s">
        <v>13023</v>
      </c>
      <c r="RRQ1" t="s">
        <v>13024</v>
      </c>
      <c r="RRR1" t="s">
        <v>13025</v>
      </c>
      <c r="RRS1" t="s">
        <v>13026</v>
      </c>
      <c r="RRT1" t="s">
        <v>13027</v>
      </c>
      <c r="RRU1" t="s">
        <v>13028</v>
      </c>
      <c r="RRV1" t="s">
        <v>13029</v>
      </c>
      <c r="RRW1" t="s">
        <v>13030</v>
      </c>
      <c r="RRX1" t="s">
        <v>13031</v>
      </c>
      <c r="RRY1" t="s">
        <v>13032</v>
      </c>
      <c r="RRZ1" t="s">
        <v>13033</v>
      </c>
      <c r="RSA1" t="s">
        <v>13034</v>
      </c>
      <c r="RSB1" t="s">
        <v>13035</v>
      </c>
      <c r="RSC1" t="s">
        <v>13036</v>
      </c>
      <c r="RSD1" t="s">
        <v>13037</v>
      </c>
      <c r="RSE1" t="s">
        <v>13038</v>
      </c>
      <c r="RSF1" t="s">
        <v>13039</v>
      </c>
      <c r="RSG1" t="s">
        <v>13040</v>
      </c>
      <c r="RSH1" t="s">
        <v>13041</v>
      </c>
      <c r="RSI1" t="s">
        <v>13042</v>
      </c>
      <c r="RSJ1" t="s">
        <v>13043</v>
      </c>
      <c r="RSK1" t="s">
        <v>13044</v>
      </c>
      <c r="RSL1" t="s">
        <v>13045</v>
      </c>
      <c r="RSM1" t="s">
        <v>13046</v>
      </c>
      <c r="RSN1" t="s">
        <v>13047</v>
      </c>
      <c r="RSO1" t="s">
        <v>13048</v>
      </c>
      <c r="RSP1" t="s">
        <v>13049</v>
      </c>
      <c r="RSQ1" t="s">
        <v>13050</v>
      </c>
      <c r="RSR1" t="s">
        <v>13051</v>
      </c>
      <c r="RSS1" t="s">
        <v>13052</v>
      </c>
      <c r="RST1" t="s">
        <v>13053</v>
      </c>
      <c r="RSU1" t="s">
        <v>13054</v>
      </c>
      <c r="RSV1" t="s">
        <v>13055</v>
      </c>
      <c r="RSW1" t="s">
        <v>13056</v>
      </c>
      <c r="RSX1" t="s">
        <v>13057</v>
      </c>
      <c r="RSY1" t="s">
        <v>13058</v>
      </c>
      <c r="RSZ1" t="s">
        <v>13059</v>
      </c>
      <c r="RTA1" t="s">
        <v>13060</v>
      </c>
      <c r="RTB1" t="s">
        <v>13061</v>
      </c>
      <c r="RTC1" t="s">
        <v>13062</v>
      </c>
      <c r="RTD1" t="s">
        <v>13063</v>
      </c>
      <c r="RTE1" t="s">
        <v>13064</v>
      </c>
      <c r="RTF1" t="s">
        <v>13065</v>
      </c>
      <c r="RTG1" t="s">
        <v>13066</v>
      </c>
      <c r="RTH1" t="s">
        <v>13067</v>
      </c>
      <c r="RTI1" t="s">
        <v>13068</v>
      </c>
      <c r="RTJ1" t="s">
        <v>13069</v>
      </c>
      <c r="RTK1" t="s">
        <v>13070</v>
      </c>
      <c r="RTL1" t="s">
        <v>13071</v>
      </c>
      <c r="RTM1" t="s">
        <v>13072</v>
      </c>
      <c r="RTN1" t="s">
        <v>13073</v>
      </c>
      <c r="RTO1" t="s">
        <v>13074</v>
      </c>
      <c r="RTP1" t="s">
        <v>13075</v>
      </c>
      <c r="RTQ1" t="s">
        <v>13076</v>
      </c>
      <c r="RTR1" t="s">
        <v>13077</v>
      </c>
      <c r="RTS1" t="s">
        <v>13078</v>
      </c>
      <c r="RTT1" t="s">
        <v>13079</v>
      </c>
      <c r="RTU1" t="s">
        <v>13080</v>
      </c>
      <c r="RTV1" t="s">
        <v>13081</v>
      </c>
      <c r="RTW1" t="s">
        <v>13082</v>
      </c>
      <c r="RTX1" t="s">
        <v>13083</v>
      </c>
      <c r="RTY1" t="s">
        <v>13084</v>
      </c>
      <c r="RTZ1" t="s">
        <v>13085</v>
      </c>
      <c r="RUA1" t="s">
        <v>13086</v>
      </c>
      <c r="RUB1" t="s">
        <v>13087</v>
      </c>
      <c r="RUC1" t="s">
        <v>13088</v>
      </c>
      <c r="RUD1" t="s">
        <v>13089</v>
      </c>
      <c r="RUE1" t="s">
        <v>13090</v>
      </c>
      <c r="RUF1" t="s">
        <v>13091</v>
      </c>
      <c r="RUG1" t="s">
        <v>13092</v>
      </c>
      <c r="RUH1" t="s">
        <v>13093</v>
      </c>
      <c r="RUI1" t="s">
        <v>13094</v>
      </c>
      <c r="RUJ1" t="s">
        <v>13095</v>
      </c>
      <c r="RUK1" t="s">
        <v>13096</v>
      </c>
      <c r="RUL1" t="s">
        <v>13097</v>
      </c>
      <c r="RUM1" t="s">
        <v>13098</v>
      </c>
      <c r="RUN1" t="s">
        <v>13099</v>
      </c>
      <c r="RUO1" t="s">
        <v>13100</v>
      </c>
      <c r="RUP1" t="s">
        <v>13101</v>
      </c>
      <c r="RUQ1" t="s">
        <v>13102</v>
      </c>
      <c r="RUR1" t="s">
        <v>13103</v>
      </c>
      <c r="RUS1" t="s">
        <v>13104</v>
      </c>
      <c r="RUT1" t="s">
        <v>13105</v>
      </c>
      <c r="RUU1" t="s">
        <v>13106</v>
      </c>
      <c r="RUV1" t="s">
        <v>13107</v>
      </c>
      <c r="RUW1" t="s">
        <v>13108</v>
      </c>
      <c r="RUX1" t="s">
        <v>13109</v>
      </c>
      <c r="RUY1" t="s">
        <v>13110</v>
      </c>
      <c r="RUZ1" t="s">
        <v>13111</v>
      </c>
      <c r="RVA1" t="s">
        <v>13112</v>
      </c>
      <c r="RVB1" t="s">
        <v>13113</v>
      </c>
      <c r="RVC1" t="s">
        <v>13114</v>
      </c>
      <c r="RVD1" t="s">
        <v>13115</v>
      </c>
      <c r="RVE1" t="s">
        <v>13116</v>
      </c>
      <c r="RVF1" t="s">
        <v>13117</v>
      </c>
      <c r="RVG1" t="s">
        <v>13118</v>
      </c>
      <c r="RVH1" t="s">
        <v>13119</v>
      </c>
      <c r="RVI1" t="s">
        <v>13120</v>
      </c>
      <c r="RVJ1" t="s">
        <v>13121</v>
      </c>
      <c r="RVK1" t="s">
        <v>13122</v>
      </c>
      <c r="RVL1" t="s">
        <v>13123</v>
      </c>
      <c r="RVM1" t="s">
        <v>13124</v>
      </c>
      <c r="RVN1" t="s">
        <v>13125</v>
      </c>
      <c r="RVO1" t="s">
        <v>13126</v>
      </c>
      <c r="RVP1" t="s">
        <v>13127</v>
      </c>
      <c r="RVQ1" t="s">
        <v>13128</v>
      </c>
      <c r="RVR1" t="s">
        <v>13129</v>
      </c>
      <c r="RVS1" t="s">
        <v>13130</v>
      </c>
      <c r="RVT1" t="s">
        <v>13131</v>
      </c>
      <c r="RVU1" t="s">
        <v>13132</v>
      </c>
      <c r="RVV1" t="s">
        <v>13133</v>
      </c>
      <c r="RVW1" t="s">
        <v>13134</v>
      </c>
      <c r="RVX1" t="s">
        <v>13135</v>
      </c>
      <c r="RVY1" t="s">
        <v>13136</v>
      </c>
      <c r="RVZ1" t="s">
        <v>13137</v>
      </c>
      <c r="RWA1" t="s">
        <v>13138</v>
      </c>
      <c r="RWB1" t="s">
        <v>13139</v>
      </c>
      <c r="RWC1" t="s">
        <v>13140</v>
      </c>
      <c r="RWD1" t="s">
        <v>13141</v>
      </c>
      <c r="RWE1" t="s">
        <v>13142</v>
      </c>
      <c r="RWF1" t="s">
        <v>13143</v>
      </c>
      <c r="RWG1" t="s">
        <v>13144</v>
      </c>
      <c r="RWH1" t="s">
        <v>13145</v>
      </c>
      <c r="RWI1" t="s">
        <v>13146</v>
      </c>
      <c r="RWJ1" t="s">
        <v>13147</v>
      </c>
      <c r="RWK1" t="s">
        <v>13148</v>
      </c>
      <c r="RWL1" t="s">
        <v>13149</v>
      </c>
      <c r="RWM1" t="s">
        <v>13150</v>
      </c>
      <c r="RWN1" t="s">
        <v>13151</v>
      </c>
      <c r="RWO1" t="s">
        <v>13152</v>
      </c>
      <c r="RWP1" t="s">
        <v>13153</v>
      </c>
      <c r="RWQ1" t="s">
        <v>13154</v>
      </c>
      <c r="RWR1" t="s">
        <v>13155</v>
      </c>
      <c r="RWS1" t="s">
        <v>13156</v>
      </c>
      <c r="RWT1" t="s">
        <v>13157</v>
      </c>
      <c r="RWU1" t="s">
        <v>13158</v>
      </c>
      <c r="RWV1" t="s">
        <v>13159</v>
      </c>
      <c r="RWW1" t="s">
        <v>13160</v>
      </c>
      <c r="RWX1" t="s">
        <v>13161</v>
      </c>
      <c r="RWY1" t="s">
        <v>13162</v>
      </c>
      <c r="RWZ1" t="s">
        <v>13163</v>
      </c>
      <c r="RXA1" t="s">
        <v>13164</v>
      </c>
      <c r="RXB1" t="s">
        <v>13165</v>
      </c>
      <c r="RXC1" t="s">
        <v>13166</v>
      </c>
      <c r="RXD1" t="s">
        <v>13167</v>
      </c>
      <c r="RXE1" t="s">
        <v>13168</v>
      </c>
      <c r="RXF1" t="s">
        <v>13169</v>
      </c>
      <c r="RXG1" t="s">
        <v>13170</v>
      </c>
      <c r="RXH1" t="s">
        <v>13171</v>
      </c>
      <c r="RXI1" t="s">
        <v>13172</v>
      </c>
      <c r="RXJ1" t="s">
        <v>13173</v>
      </c>
      <c r="RXK1" t="s">
        <v>13174</v>
      </c>
      <c r="RXL1" t="s">
        <v>13175</v>
      </c>
      <c r="RXM1" t="s">
        <v>13176</v>
      </c>
      <c r="RXN1" t="s">
        <v>13177</v>
      </c>
      <c r="RXO1" t="s">
        <v>13178</v>
      </c>
      <c r="RXP1" t="s">
        <v>13179</v>
      </c>
      <c r="RXQ1" t="s">
        <v>13180</v>
      </c>
      <c r="RXR1" t="s">
        <v>13181</v>
      </c>
      <c r="RXS1" t="s">
        <v>13182</v>
      </c>
      <c r="RXT1" t="s">
        <v>13183</v>
      </c>
      <c r="RXU1" t="s">
        <v>13184</v>
      </c>
      <c r="RXV1" t="s">
        <v>13185</v>
      </c>
      <c r="RXW1" t="s">
        <v>13186</v>
      </c>
      <c r="RXX1" t="s">
        <v>13187</v>
      </c>
      <c r="RXY1" t="s">
        <v>13188</v>
      </c>
      <c r="RXZ1" t="s">
        <v>13189</v>
      </c>
      <c r="RYA1" t="s">
        <v>13190</v>
      </c>
      <c r="RYB1" t="s">
        <v>13191</v>
      </c>
      <c r="RYC1" t="s">
        <v>13192</v>
      </c>
      <c r="RYD1" t="s">
        <v>13193</v>
      </c>
      <c r="RYE1" t="s">
        <v>13194</v>
      </c>
      <c r="RYF1" t="s">
        <v>13195</v>
      </c>
      <c r="RYG1" t="s">
        <v>13196</v>
      </c>
      <c r="RYH1" t="s">
        <v>13197</v>
      </c>
      <c r="RYI1" t="s">
        <v>13198</v>
      </c>
      <c r="RYJ1" t="s">
        <v>13199</v>
      </c>
      <c r="RYK1" t="s">
        <v>13200</v>
      </c>
      <c r="RYL1" t="s">
        <v>13201</v>
      </c>
      <c r="RYM1" t="s">
        <v>13202</v>
      </c>
      <c r="RYN1" t="s">
        <v>13203</v>
      </c>
      <c r="RYO1" t="s">
        <v>13204</v>
      </c>
      <c r="RYP1" t="s">
        <v>13205</v>
      </c>
      <c r="RYQ1" t="s">
        <v>13206</v>
      </c>
      <c r="RYR1" t="s">
        <v>13207</v>
      </c>
      <c r="RYS1" t="s">
        <v>13208</v>
      </c>
      <c r="RYT1" t="s">
        <v>13209</v>
      </c>
      <c r="RYU1" t="s">
        <v>13210</v>
      </c>
      <c r="RYV1" t="s">
        <v>13211</v>
      </c>
      <c r="RYW1" t="s">
        <v>13212</v>
      </c>
      <c r="RYX1" t="s">
        <v>13213</v>
      </c>
      <c r="RYY1" t="s">
        <v>13214</v>
      </c>
      <c r="RYZ1" t="s">
        <v>13215</v>
      </c>
      <c r="RZA1" t="s">
        <v>13216</v>
      </c>
      <c r="RZB1" t="s">
        <v>13217</v>
      </c>
      <c r="RZC1" t="s">
        <v>13218</v>
      </c>
      <c r="RZD1" t="s">
        <v>13219</v>
      </c>
      <c r="RZE1" t="s">
        <v>13220</v>
      </c>
      <c r="RZF1" t="s">
        <v>13221</v>
      </c>
      <c r="RZG1" t="s">
        <v>13222</v>
      </c>
      <c r="RZH1" t="s">
        <v>13223</v>
      </c>
      <c r="RZI1" t="s">
        <v>13224</v>
      </c>
      <c r="RZJ1" t="s">
        <v>13225</v>
      </c>
      <c r="RZK1" t="s">
        <v>13226</v>
      </c>
      <c r="RZL1" t="s">
        <v>13227</v>
      </c>
      <c r="RZM1" t="s">
        <v>13228</v>
      </c>
      <c r="RZN1" t="s">
        <v>13229</v>
      </c>
      <c r="RZO1" t="s">
        <v>13230</v>
      </c>
      <c r="RZP1" t="s">
        <v>13231</v>
      </c>
      <c r="RZQ1" t="s">
        <v>13232</v>
      </c>
      <c r="RZR1" t="s">
        <v>13233</v>
      </c>
      <c r="RZS1" t="s">
        <v>13234</v>
      </c>
      <c r="RZT1" t="s">
        <v>13235</v>
      </c>
      <c r="RZU1" t="s">
        <v>13236</v>
      </c>
      <c r="RZV1" t="s">
        <v>13237</v>
      </c>
      <c r="RZW1" t="s">
        <v>13238</v>
      </c>
      <c r="RZX1" t="s">
        <v>13239</v>
      </c>
      <c r="RZY1" t="s">
        <v>13240</v>
      </c>
      <c r="RZZ1" t="s">
        <v>13241</v>
      </c>
      <c r="SAA1" t="s">
        <v>13242</v>
      </c>
      <c r="SAB1" t="s">
        <v>13243</v>
      </c>
      <c r="SAC1" t="s">
        <v>13244</v>
      </c>
      <c r="SAD1" t="s">
        <v>13245</v>
      </c>
      <c r="SAE1" t="s">
        <v>13246</v>
      </c>
      <c r="SAF1" t="s">
        <v>13247</v>
      </c>
      <c r="SAG1" t="s">
        <v>13248</v>
      </c>
      <c r="SAH1" t="s">
        <v>13249</v>
      </c>
      <c r="SAI1" t="s">
        <v>13250</v>
      </c>
      <c r="SAJ1" t="s">
        <v>13251</v>
      </c>
      <c r="SAK1" t="s">
        <v>13252</v>
      </c>
      <c r="SAL1" t="s">
        <v>13253</v>
      </c>
      <c r="SAM1" t="s">
        <v>13254</v>
      </c>
      <c r="SAN1" t="s">
        <v>13255</v>
      </c>
      <c r="SAO1" t="s">
        <v>13256</v>
      </c>
      <c r="SAP1" t="s">
        <v>13257</v>
      </c>
      <c r="SAQ1" t="s">
        <v>13258</v>
      </c>
      <c r="SAR1" t="s">
        <v>13259</v>
      </c>
      <c r="SAS1" t="s">
        <v>13260</v>
      </c>
      <c r="SAT1" t="s">
        <v>13261</v>
      </c>
      <c r="SAU1" t="s">
        <v>13262</v>
      </c>
      <c r="SAV1" t="s">
        <v>13263</v>
      </c>
      <c r="SAW1" t="s">
        <v>13264</v>
      </c>
      <c r="SAX1" t="s">
        <v>13265</v>
      </c>
      <c r="SAY1" t="s">
        <v>13266</v>
      </c>
      <c r="SAZ1" t="s">
        <v>13267</v>
      </c>
      <c r="SBA1" t="s">
        <v>13268</v>
      </c>
      <c r="SBB1" t="s">
        <v>13269</v>
      </c>
      <c r="SBC1" t="s">
        <v>13270</v>
      </c>
      <c r="SBD1" t="s">
        <v>13271</v>
      </c>
      <c r="SBE1" t="s">
        <v>13272</v>
      </c>
      <c r="SBF1" t="s">
        <v>13273</v>
      </c>
      <c r="SBG1" t="s">
        <v>13274</v>
      </c>
      <c r="SBH1" t="s">
        <v>13275</v>
      </c>
      <c r="SBI1" t="s">
        <v>13276</v>
      </c>
      <c r="SBJ1" t="s">
        <v>13277</v>
      </c>
      <c r="SBK1" t="s">
        <v>13278</v>
      </c>
      <c r="SBL1" t="s">
        <v>13279</v>
      </c>
      <c r="SBM1" t="s">
        <v>13280</v>
      </c>
      <c r="SBN1" t="s">
        <v>13281</v>
      </c>
      <c r="SBO1" t="s">
        <v>13282</v>
      </c>
      <c r="SBP1" t="s">
        <v>13283</v>
      </c>
      <c r="SBQ1" t="s">
        <v>13284</v>
      </c>
      <c r="SBR1" t="s">
        <v>13285</v>
      </c>
      <c r="SBS1" t="s">
        <v>13286</v>
      </c>
      <c r="SBT1" t="s">
        <v>13287</v>
      </c>
      <c r="SBU1" t="s">
        <v>13288</v>
      </c>
      <c r="SBV1" t="s">
        <v>13289</v>
      </c>
      <c r="SBW1" t="s">
        <v>13290</v>
      </c>
      <c r="SBX1" t="s">
        <v>13291</v>
      </c>
      <c r="SBY1" t="s">
        <v>13292</v>
      </c>
      <c r="SBZ1" t="s">
        <v>13293</v>
      </c>
      <c r="SCA1" t="s">
        <v>13294</v>
      </c>
      <c r="SCB1" t="s">
        <v>13295</v>
      </c>
      <c r="SCC1" t="s">
        <v>13296</v>
      </c>
      <c r="SCD1" t="s">
        <v>13297</v>
      </c>
      <c r="SCE1" t="s">
        <v>13298</v>
      </c>
      <c r="SCF1" t="s">
        <v>13299</v>
      </c>
      <c r="SCG1" t="s">
        <v>13300</v>
      </c>
      <c r="SCH1" t="s">
        <v>13301</v>
      </c>
      <c r="SCI1" t="s">
        <v>13302</v>
      </c>
      <c r="SCJ1" t="s">
        <v>13303</v>
      </c>
      <c r="SCK1" t="s">
        <v>13304</v>
      </c>
      <c r="SCL1" t="s">
        <v>13305</v>
      </c>
      <c r="SCM1" t="s">
        <v>13306</v>
      </c>
      <c r="SCN1" t="s">
        <v>13307</v>
      </c>
      <c r="SCO1" t="s">
        <v>13308</v>
      </c>
      <c r="SCP1" t="s">
        <v>13309</v>
      </c>
      <c r="SCQ1" t="s">
        <v>13310</v>
      </c>
      <c r="SCR1" t="s">
        <v>13311</v>
      </c>
      <c r="SCS1" t="s">
        <v>13312</v>
      </c>
      <c r="SCT1" t="s">
        <v>13313</v>
      </c>
      <c r="SCU1" t="s">
        <v>13314</v>
      </c>
      <c r="SCV1" t="s">
        <v>13315</v>
      </c>
      <c r="SCW1" t="s">
        <v>13316</v>
      </c>
      <c r="SCX1" t="s">
        <v>13317</v>
      </c>
      <c r="SCY1" t="s">
        <v>13318</v>
      </c>
      <c r="SCZ1" t="s">
        <v>13319</v>
      </c>
      <c r="SDA1" t="s">
        <v>13320</v>
      </c>
      <c r="SDB1" t="s">
        <v>13321</v>
      </c>
      <c r="SDC1" t="s">
        <v>13322</v>
      </c>
      <c r="SDD1" t="s">
        <v>13323</v>
      </c>
      <c r="SDE1" t="s">
        <v>13324</v>
      </c>
      <c r="SDF1" t="s">
        <v>13325</v>
      </c>
      <c r="SDG1" t="s">
        <v>13326</v>
      </c>
      <c r="SDH1" t="s">
        <v>13327</v>
      </c>
      <c r="SDI1" t="s">
        <v>13328</v>
      </c>
      <c r="SDJ1" t="s">
        <v>13329</v>
      </c>
      <c r="SDK1" t="s">
        <v>13330</v>
      </c>
      <c r="SDL1" t="s">
        <v>13331</v>
      </c>
      <c r="SDM1" t="s">
        <v>13332</v>
      </c>
      <c r="SDN1" t="s">
        <v>13333</v>
      </c>
      <c r="SDO1" t="s">
        <v>13334</v>
      </c>
      <c r="SDP1" t="s">
        <v>13335</v>
      </c>
      <c r="SDQ1" t="s">
        <v>13336</v>
      </c>
      <c r="SDR1" t="s">
        <v>13337</v>
      </c>
      <c r="SDS1" t="s">
        <v>13338</v>
      </c>
      <c r="SDT1" t="s">
        <v>13339</v>
      </c>
      <c r="SDU1" t="s">
        <v>13340</v>
      </c>
      <c r="SDV1" t="s">
        <v>13341</v>
      </c>
      <c r="SDW1" t="s">
        <v>13342</v>
      </c>
      <c r="SDX1" t="s">
        <v>13343</v>
      </c>
      <c r="SDY1" t="s">
        <v>13344</v>
      </c>
      <c r="SDZ1" t="s">
        <v>13345</v>
      </c>
      <c r="SEA1" t="s">
        <v>13346</v>
      </c>
      <c r="SEB1" t="s">
        <v>13347</v>
      </c>
      <c r="SEC1" t="s">
        <v>13348</v>
      </c>
      <c r="SED1" t="s">
        <v>13349</v>
      </c>
      <c r="SEE1" t="s">
        <v>13350</v>
      </c>
      <c r="SEF1" t="s">
        <v>13351</v>
      </c>
      <c r="SEG1" t="s">
        <v>13352</v>
      </c>
      <c r="SEH1" t="s">
        <v>13353</v>
      </c>
      <c r="SEI1" t="s">
        <v>13354</v>
      </c>
      <c r="SEJ1" t="s">
        <v>13355</v>
      </c>
      <c r="SEK1" t="s">
        <v>13356</v>
      </c>
      <c r="SEL1" t="s">
        <v>13357</v>
      </c>
      <c r="SEM1" t="s">
        <v>13358</v>
      </c>
      <c r="SEN1" t="s">
        <v>13359</v>
      </c>
      <c r="SEO1" t="s">
        <v>13360</v>
      </c>
      <c r="SEP1" t="s">
        <v>13361</v>
      </c>
      <c r="SEQ1" t="s">
        <v>13362</v>
      </c>
      <c r="SER1" t="s">
        <v>13363</v>
      </c>
      <c r="SES1" t="s">
        <v>13364</v>
      </c>
      <c r="SET1" t="s">
        <v>13365</v>
      </c>
      <c r="SEU1" t="s">
        <v>13366</v>
      </c>
      <c r="SEV1" t="s">
        <v>13367</v>
      </c>
      <c r="SEW1" t="s">
        <v>13368</v>
      </c>
      <c r="SEX1" t="s">
        <v>13369</v>
      </c>
      <c r="SEY1" t="s">
        <v>13370</v>
      </c>
      <c r="SEZ1" t="s">
        <v>13371</v>
      </c>
      <c r="SFA1" t="s">
        <v>13372</v>
      </c>
      <c r="SFB1" t="s">
        <v>13373</v>
      </c>
      <c r="SFC1" t="s">
        <v>13374</v>
      </c>
      <c r="SFD1" t="s">
        <v>13375</v>
      </c>
      <c r="SFE1" t="s">
        <v>13376</v>
      </c>
      <c r="SFF1" t="s">
        <v>13377</v>
      </c>
      <c r="SFG1" t="s">
        <v>13378</v>
      </c>
      <c r="SFH1" t="s">
        <v>13379</v>
      </c>
      <c r="SFI1" t="s">
        <v>13380</v>
      </c>
      <c r="SFJ1" t="s">
        <v>13381</v>
      </c>
      <c r="SFK1" t="s">
        <v>13382</v>
      </c>
      <c r="SFL1" t="s">
        <v>13383</v>
      </c>
      <c r="SFM1" t="s">
        <v>13384</v>
      </c>
      <c r="SFN1" t="s">
        <v>13385</v>
      </c>
      <c r="SFO1" t="s">
        <v>13386</v>
      </c>
      <c r="SFP1" t="s">
        <v>13387</v>
      </c>
      <c r="SFQ1" t="s">
        <v>13388</v>
      </c>
      <c r="SFR1" t="s">
        <v>13389</v>
      </c>
      <c r="SFS1" t="s">
        <v>13390</v>
      </c>
      <c r="SFT1" t="s">
        <v>13391</v>
      </c>
      <c r="SFU1" t="s">
        <v>13392</v>
      </c>
      <c r="SFV1" t="s">
        <v>13393</v>
      </c>
      <c r="SFW1" t="s">
        <v>13394</v>
      </c>
      <c r="SFX1" t="s">
        <v>13395</v>
      </c>
      <c r="SFY1" t="s">
        <v>13396</v>
      </c>
      <c r="SFZ1" t="s">
        <v>13397</v>
      </c>
      <c r="SGA1" t="s">
        <v>13398</v>
      </c>
      <c r="SGB1" t="s">
        <v>13399</v>
      </c>
      <c r="SGC1" t="s">
        <v>13400</v>
      </c>
      <c r="SGD1" t="s">
        <v>13401</v>
      </c>
      <c r="SGE1" t="s">
        <v>13402</v>
      </c>
      <c r="SGF1" t="s">
        <v>13403</v>
      </c>
      <c r="SGG1" t="s">
        <v>13404</v>
      </c>
      <c r="SGH1" t="s">
        <v>13405</v>
      </c>
      <c r="SGI1" t="s">
        <v>13406</v>
      </c>
      <c r="SGJ1" t="s">
        <v>13407</v>
      </c>
      <c r="SGK1" t="s">
        <v>13408</v>
      </c>
      <c r="SGL1" t="s">
        <v>13409</v>
      </c>
      <c r="SGM1" t="s">
        <v>13410</v>
      </c>
      <c r="SGN1" t="s">
        <v>13411</v>
      </c>
      <c r="SGO1" t="s">
        <v>13412</v>
      </c>
      <c r="SGP1" t="s">
        <v>13413</v>
      </c>
      <c r="SGQ1" t="s">
        <v>13414</v>
      </c>
      <c r="SGR1" t="s">
        <v>13415</v>
      </c>
      <c r="SGS1" t="s">
        <v>13416</v>
      </c>
      <c r="SGT1" t="s">
        <v>13417</v>
      </c>
      <c r="SGU1" t="s">
        <v>13418</v>
      </c>
      <c r="SGV1" t="s">
        <v>13419</v>
      </c>
      <c r="SGW1" t="s">
        <v>13420</v>
      </c>
      <c r="SGX1" t="s">
        <v>13421</v>
      </c>
      <c r="SGY1" t="s">
        <v>13422</v>
      </c>
      <c r="SGZ1" t="s">
        <v>13423</v>
      </c>
      <c r="SHA1" t="s">
        <v>13424</v>
      </c>
      <c r="SHB1" t="s">
        <v>13425</v>
      </c>
      <c r="SHC1" t="s">
        <v>13426</v>
      </c>
      <c r="SHD1" t="s">
        <v>13427</v>
      </c>
      <c r="SHE1" t="s">
        <v>13428</v>
      </c>
      <c r="SHF1" t="s">
        <v>13429</v>
      </c>
      <c r="SHG1" t="s">
        <v>13430</v>
      </c>
      <c r="SHH1" t="s">
        <v>13431</v>
      </c>
      <c r="SHI1" t="s">
        <v>13432</v>
      </c>
      <c r="SHJ1" t="s">
        <v>13433</v>
      </c>
      <c r="SHK1" t="s">
        <v>13434</v>
      </c>
      <c r="SHL1" t="s">
        <v>13435</v>
      </c>
      <c r="SHM1" t="s">
        <v>13436</v>
      </c>
      <c r="SHN1" t="s">
        <v>13437</v>
      </c>
      <c r="SHO1" t="s">
        <v>13438</v>
      </c>
      <c r="SHP1" t="s">
        <v>13439</v>
      </c>
      <c r="SHQ1" t="s">
        <v>13440</v>
      </c>
      <c r="SHR1" t="s">
        <v>13441</v>
      </c>
      <c r="SHS1" t="s">
        <v>13442</v>
      </c>
      <c r="SHT1" t="s">
        <v>13443</v>
      </c>
      <c r="SHU1" t="s">
        <v>13444</v>
      </c>
      <c r="SHV1" t="s">
        <v>13445</v>
      </c>
      <c r="SHW1" t="s">
        <v>13446</v>
      </c>
      <c r="SHX1" t="s">
        <v>13447</v>
      </c>
      <c r="SHY1" t="s">
        <v>13448</v>
      </c>
      <c r="SHZ1" t="s">
        <v>13449</v>
      </c>
      <c r="SIA1" t="s">
        <v>13450</v>
      </c>
      <c r="SIB1" t="s">
        <v>13451</v>
      </c>
      <c r="SIC1" t="s">
        <v>13452</v>
      </c>
      <c r="SID1" t="s">
        <v>13453</v>
      </c>
      <c r="SIE1" t="s">
        <v>13454</v>
      </c>
      <c r="SIF1" t="s">
        <v>13455</v>
      </c>
      <c r="SIG1" t="s">
        <v>13456</v>
      </c>
      <c r="SIH1" t="s">
        <v>13457</v>
      </c>
      <c r="SII1" t="s">
        <v>13458</v>
      </c>
      <c r="SIJ1" t="s">
        <v>13459</v>
      </c>
      <c r="SIK1" t="s">
        <v>13460</v>
      </c>
      <c r="SIL1" t="s">
        <v>13461</v>
      </c>
      <c r="SIM1" t="s">
        <v>13462</v>
      </c>
      <c r="SIN1" t="s">
        <v>13463</v>
      </c>
      <c r="SIO1" t="s">
        <v>13464</v>
      </c>
      <c r="SIP1" t="s">
        <v>13465</v>
      </c>
      <c r="SIQ1" t="s">
        <v>13466</v>
      </c>
      <c r="SIR1" t="s">
        <v>13467</v>
      </c>
      <c r="SIS1" t="s">
        <v>13468</v>
      </c>
      <c r="SIT1" t="s">
        <v>13469</v>
      </c>
      <c r="SIU1" t="s">
        <v>13470</v>
      </c>
      <c r="SIV1" t="s">
        <v>13471</v>
      </c>
      <c r="SIW1" t="s">
        <v>13472</v>
      </c>
      <c r="SIX1" t="s">
        <v>13473</v>
      </c>
      <c r="SIY1" t="s">
        <v>13474</v>
      </c>
      <c r="SIZ1" t="s">
        <v>13475</v>
      </c>
      <c r="SJA1" t="s">
        <v>13476</v>
      </c>
      <c r="SJB1" t="s">
        <v>13477</v>
      </c>
      <c r="SJC1" t="s">
        <v>13478</v>
      </c>
      <c r="SJD1" t="s">
        <v>13479</v>
      </c>
      <c r="SJE1" t="s">
        <v>13480</v>
      </c>
      <c r="SJF1" t="s">
        <v>13481</v>
      </c>
      <c r="SJG1" t="s">
        <v>13482</v>
      </c>
      <c r="SJH1" t="s">
        <v>13483</v>
      </c>
      <c r="SJI1" t="s">
        <v>13484</v>
      </c>
      <c r="SJJ1" t="s">
        <v>13485</v>
      </c>
      <c r="SJK1" t="s">
        <v>13486</v>
      </c>
      <c r="SJL1" t="s">
        <v>13487</v>
      </c>
      <c r="SJM1" t="s">
        <v>13488</v>
      </c>
      <c r="SJN1" t="s">
        <v>13489</v>
      </c>
      <c r="SJO1" t="s">
        <v>13490</v>
      </c>
      <c r="SJP1" t="s">
        <v>13491</v>
      </c>
      <c r="SJQ1" t="s">
        <v>13492</v>
      </c>
      <c r="SJR1" t="s">
        <v>13493</v>
      </c>
      <c r="SJS1" t="s">
        <v>13494</v>
      </c>
      <c r="SJT1" t="s">
        <v>13495</v>
      </c>
      <c r="SJU1" t="s">
        <v>13496</v>
      </c>
      <c r="SJV1" t="s">
        <v>13497</v>
      </c>
      <c r="SJW1" t="s">
        <v>13498</v>
      </c>
      <c r="SJX1" t="s">
        <v>13499</v>
      </c>
      <c r="SJY1" t="s">
        <v>13500</v>
      </c>
      <c r="SJZ1" t="s">
        <v>13501</v>
      </c>
      <c r="SKA1" t="s">
        <v>13502</v>
      </c>
      <c r="SKB1" t="s">
        <v>13503</v>
      </c>
      <c r="SKC1" t="s">
        <v>13504</v>
      </c>
      <c r="SKD1" t="s">
        <v>13505</v>
      </c>
      <c r="SKE1" t="s">
        <v>13506</v>
      </c>
      <c r="SKF1" t="s">
        <v>13507</v>
      </c>
      <c r="SKG1" t="s">
        <v>13508</v>
      </c>
      <c r="SKH1" t="s">
        <v>13509</v>
      </c>
      <c r="SKI1" t="s">
        <v>13510</v>
      </c>
      <c r="SKJ1" t="s">
        <v>13511</v>
      </c>
      <c r="SKK1" t="s">
        <v>13512</v>
      </c>
      <c r="SKL1" t="s">
        <v>13513</v>
      </c>
      <c r="SKM1" t="s">
        <v>13514</v>
      </c>
      <c r="SKN1" t="s">
        <v>13515</v>
      </c>
      <c r="SKO1" t="s">
        <v>13516</v>
      </c>
      <c r="SKP1" t="s">
        <v>13517</v>
      </c>
      <c r="SKQ1" t="s">
        <v>13518</v>
      </c>
      <c r="SKR1" t="s">
        <v>13519</v>
      </c>
      <c r="SKS1" t="s">
        <v>13520</v>
      </c>
      <c r="SKT1" t="s">
        <v>13521</v>
      </c>
      <c r="SKU1" t="s">
        <v>13522</v>
      </c>
      <c r="SKV1" t="s">
        <v>13523</v>
      </c>
      <c r="SKW1" t="s">
        <v>13524</v>
      </c>
      <c r="SKX1" t="s">
        <v>13525</v>
      </c>
      <c r="SKY1" t="s">
        <v>13526</v>
      </c>
      <c r="SKZ1" t="s">
        <v>13527</v>
      </c>
      <c r="SLA1" t="s">
        <v>13528</v>
      </c>
      <c r="SLB1" t="s">
        <v>13529</v>
      </c>
      <c r="SLC1" t="s">
        <v>13530</v>
      </c>
      <c r="SLD1" t="s">
        <v>13531</v>
      </c>
      <c r="SLE1" t="s">
        <v>13532</v>
      </c>
      <c r="SLF1" t="s">
        <v>13533</v>
      </c>
      <c r="SLG1" t="s">
        <v>13534</v>
      </c>
      <c r="SLH1" t="s">
        <v>13535</v>
      </c>
      <c r="SLI1" t="s">
        <v>13536</v>
      </c>
      <c r="SLJ1" t="s">
        <v>13537</v>
      </c>
      <c r="SLK1" t="s">
        <v>13538</v>
      </c>
      <c r="SLL1" t="s">
        <v>13539</v>
      </c>
      <c r="SLM1" t="s">
        <v>13540</v>
      </c>
      <c r="SLN1" t="s">
        <v>13541</v>
      </c>
      <c r="SLO1" t="s">
        <v>13542</v>
      </c>
      <c r="SLP1" t="s">
        <v>13543</v>
      </c>
      <c r="SLQ1" t="s">
        <v>13544</v>
      </c>
      <c r="SLR1" t="s">
        <v>13545</v>
      </c>
      <c r="SLS1" t="s">
        <v>13546</v>
      </c>
      <c r="SLT1" t="s">
        <v>13547</v>
      </c>
      <c r="SLU1" t="s">
        <v>13548</v>
      </c>
      <c r="SLV1" t="s">
        <v>13549</v>
      </c>
      <c r="SLW1" t="s">
        <v>13550</v>
      </c>
      <c r="SLX1" t="s">
        <v>13551</v>
      </c>
      <c r="SLY1" t="s">
        <v>13552</v>
      </c>
      <c r="SLZ1" t="s">
        <v>13553</v>
      </c>
      <c r="SMA1" t="s">
        <v>13554</v>
      </c>
      <c r="SMB1" t="s">
        <v>13555</v>
      </c>
      <c r="SMC1" t="s">
        <v>13556</v>
      </c>
      <c r="SMD1" t="s">
        <v>13557</v>
      </c>
      <c r="SME1" t="s">
        <v>13558</v>
      </c>
      <c r="SMF1" t="s">
        <v>13559</v>
      </c>
      <c r="SMG1" t="s">
        <v>13560</v>
      </c>
      <c r="SMH1" t="s">
        <v>13561</v>
      </c>
      <c r="SMI1" t="s">
        <v>13562</v>
      </c>
      <c r="SMJ1" t="s">
        <v>13563</v>
      </c>
      <c r="SMK1" t="s">
        <v>13564</v>
      </c>
      <c r="SML1" t="s">
        <v>13565</v>
      </c>
      <c r="SMM1" t="s">
        <v>13566</v>
      </c>
      <c r="SMN1" t="s">
        <v>13567</v>
      </c>
      <c r="SMO1" t="s">
        <v>13568</v>
      </c>
      <c r="SMP1" t="s">
        <v>13569</v>
      </c>
      <c r="SMQ1" t="s">
        <v>13570</v>
      </c>
      <c r="SMR1" t="s">
        <v>13571</v>
      </c>
      <c r="SMS1" t="s">
        <v>13572</v>
      </c>
      <c r="SMT1" t="s">
        <v>13573</v>
      </c>
      <c r="SMU1" t="s">
        <v>13574</v>
      </c>
      <c r="SMV1" t="s">
        <v>13575</v>
      </c>
      <c r="SMW1" t="s">
        <v>13576</v>
      </c>
      <c r="SMX1" t="s">
        <v>13577</v>
      </c>
      <c r="SMY1" t="s">
        <v>13578</v>
      </c>
      <c r="SMZ1" t="s">
        <v>13579</v>
      </c>
      <c r="SNA1" t="s">
        <v>13580</v>
      </c>
      <c r="SNB1" t="s">
        <v>13581</v>
      </c>
      <c r="SNC1" t="s">
        <v>13582</v>
      </c>
      <c r="SND1" t="s">
        <v>13583</v>
      </c>
      <c r="SNE1" t="s">
        <v>13584</v>
      </c>
      <c r="SNF1" t="s">
        <v>13585</v>
      </c>
      <c r="SNG1" t="s">
        <v>13586</v>
      </c>
      <c r="SNH1" t="s">
        <v>13587</v>
      </c>
      <c r="SNI1" t="s">
        <v>13588</v>
      </c>
      <c r="SNJ1" t="s">
        <v>13589</v>
      </c>
      <c r="SNK1" t="s">
        <v>13590</v>
      </c>
      <c r="SNL1" t="s">
        <v>13591</v>
      </c>
      <c r="SNM1" t="s">
        <v>13592</v>
      </c>
      <c r="SNN1" t="s">
        <v>13593</v>
      </c>
      <c r="SNO1" t="s">
        <v>13594</v>
      </c>
      <c r="SNP1" t="s">
        <v>13595</v>
      </c>
      <c r="SNQ1" t="s">
        <v>13596</v>
      </c>
      <c r="SNR1" t="s">
        <v>13597</v>
      </c>
      <c r="SNS1" t="s">
        <v>13598</v>
      </c>
      <c r="SNT1" t="s">
        <v>13599</v>
      </c>
      <c r="SNU1" t="s">
        <v>13600</v>
      </c>
      <c r="SNV1" t="s">
        <v>13601</v>
      </c>
      <c r="SNW1" t="s">
        <v>13602</v>
      </c>
      <c r="SNX1" t="s">
        <v>13603</v>
      </c>
      <c r="SNY1" t="s">
        <v>13604</v>
      </c>
      <c r="SNZ1" t="s">
        <v>13605</v>
      </c>
      <c r="SOA1" t="s">
        <v>13606</v>
      </c>
      <c r="SOB1" t="s">
        <v>13607</v>
      </c>
      <c r="SOC1" t="s">
        <v>13608</v>
      </c>
      <c r="SOD1" t="s">
        <v>13609</v>
      </c>
      <c r="SOE1" t="s">
        <v>13610</v>
      </c>
      <c r="SOF1" t="s">
        <v>13611</v>
      </c>
      <c r="SOG1" t="s">
        <v>13612</v>
      </c>
      <c r="SOH1" t="s">
        <v>13613</v>
      </c>
      <c r="SOI1" t="s">
        <v>13614</v>
      </c>
      <c r="SOJ1" t="s">
        <v>13615</v>
      </c>
      <c r="SOK1" t="s">
        <v>13616</v>
      </c>
      <c r="SOL1" t="s">
        <v>13617</v>
      </c>
      <c r="SOM1" t="s">
        <v>13618</v>
      </c>
      <c r="SON1" t="s">
        <v>13619</v>
      </c>
      <c r="SOO1" t="s">
        <v>13620</v>
      </c>
      <c r="SOP1" t="s">
        <v>13621</v>
      </c>
      <c r="SOQ1" t="s">
        <v>13622</v>
      </c>
      <c r="SOR1" t="s">
        <v>13623</v>
      </c>
      <c r="SOS1" t="s">
        <v>13624</v>
      </c>
      <c r="SOT1" t="s">
        <v>13625</v>
      </c>
      <c r="SOU1" t="s">
        <v>13626</v>
      </c>
      <c r="SOV1" t="s">
        <v>13627</v>
      </c>
      <c r="SOW1" t="s">
        <v>13628</v>
      </c>
      <c r="SOX1" t="s">
        <v>13629</v>
      </c>
      <c r="SOY1" t="s">
        <v>13630</v>
      </c>
      <c r="SOZ1" t="s">
        <v>13631</v>
      </c>
      <c r="SPA1" t="s">
        <v>13632</v>
      </c>
      <c r="SPB1" t="s">
        <v>13633</v>
      </c>
      <c r="SPC1" t="s">
        <v>13634</v>
      </c>
      <c r="SPD1" t="s">
        <v>13635</v>
      </c>
      <c r="SPE1" t="s">
        <v>13636</v>
      </c>
      <c r="SPF1" t="s">
        <v>13637</v>
      </c>
      <c r="SPG1" t="s">
        <v>13638</v>
      </c>
      <c r="SPH1" t="s">
        <v>13639</v>
      </c>
      <c r="SPI1" t="s">
        <v>13640</v>
      </c>
      <c r="SPJ1" t="s">
        <v>13641</v>
      </c>
      <c r="SPK1" t="s">
        <v>13642</v>
      </c>
      <c r="SPL1" t="s">
        <v>13643</v>
      </c>
      <c r="SPM1" t="s">
        <v>13644</v>
      </c>
      <c r="SPN1" t="s">
        <v>13645</v>
      </c>
      <c r="SPO1" t="s">
        <v>13646</v>
      </c>
      <c r="SPP1" t="s">
        <v>13647</v>
      </c>
      <c r="SPQ1" t="s">
        <v>13648</v>
      </c>
      <c r="SPR1" t="s">
        <v>13649</v>
      </c>
      <c r="SPS1" t="s">
        <v>13650</v>
      </c>
      <c r="SPT1" t="s">
        <v>13651</v>
      </c>
      <c r="SPU1" t="s">
        <v>13652</v>
      </c>
      <c r="SPV1" t="s">
        <v>13653</v>
      </c>
      <c r="SPW1" t="s">
        <v>13654</v>
      </c>
      <c r="SPX1" t="s">
        <v>13655</v>
      </c>
      <c r="SPY1" t="s">
        <v>13656</v>
      </c>
      <c r="SPZ1" t="s">
        <v>13657</v>
      </c>
      <c r="SQA1" t="s">
        <v>13658</v>
      </c>
      <c r="SQB1" t="s">
        <v>13659</v>
      </c>
      <c r="SQC1" t="s">
        <v>13660</v>
      </c>
      <c r="SQD1" t="s">
        <v>13661</v>
      </c>
      <c r="SQE1" t="s">
        <v>13662</v>
      </c>
      <c r="SQF1" t="s">
        <v>13663</v>
      </c>
      <c r="SQG1" t="s">
        <v>13664</v>
      </c>
      <c r="SQH1" t="s">
        <v>13665</v>
      </c>
      <c r="SQI1" t="s">
        <v>13666</v>
      </c>
      <c r="SQJ1" t="s">
        <v>13667</v>
      </c>
      <c r="SQK1" t="s">
        <v>13668</v>
      </c>
      <c r="SQL1" t="s">
        <v>13669</v>
      </c>
      <c r="SQM1" t="s">
        <v>13670</v>
      </c>
      <c r="SQN1" t="s">
        <v>13671</v>
      </c>
      <c r="SQO1" t="s">
        <v>13672</v>
      </c>
      <c r="SQP1" t="s">
        <v>13673</v>
      </c>
      <c r="SQQ1" t="s">
        <v>13674</v>
      </c>
      <c r="SQR1" t="s">
        <v>13675</v>
      </c>
      <c r="SQS1" t="s">
        <v>13676</v>
      </c>
      <c r="SQT1" t="s">
        <v>13677</v>
      </c>
      <c r="SQU1" t="s">
        <v>13678</v>
      </c>
      <c r="SQV1" t="s">
        <v>13679</v>
      </c>
      <c r="SQW1" t="s">
        <v>13680</v>
      </c>
      <c r="SQX1" t="s">
        <v>13681</v>
      </c>
      <c r="SQY1" t="s">
        <v>13682</v>
      </c>
      <c r="SQZ1" t="s">
        <v>13683</v>
      </c>
      <c r="SRA1" t="s">
        <v>13684</v>
      </c>
      <c r="SRB1" t="s">
        <v>13685</v>
      </c>
      <c r="SRC1" t="s">
        <v>13686</v>
      </c>
      <c r="SRD1" t="s">
        <v>13687</v>
      </c>
      <c r="SRE1" t="s">
        <v>13688</v>
      </c>
      <c r="SRF1" t="s">
        <v>13689</v>
      </c>
      <c r="SRG1" t="s">
        <v>13690</v>
      </c>
      <c r="SRH1" t="s">
        <v>13691</v>
      </c>
      <c r="SRI1" t="s">
        <v>13692</v>
      </c>
      <c r="SRJ1" t="s">
        <v>13693</v>
      </c>
      <c r="SRK1" t="s">
        <v>13694</v>
      </c>
      <c r="SRL1" t="s">
        <v>13695</v>
      </c>
      <c r="SRM1" t="s">
        <v>13696</v>
      </c>
      <c r="SRN1" t="s">
        <v>13697</v>
      </c>
      <c r="SRO1" t="s">
        <v>13698</v>
      </c>
      <c r="SRP1" t="s">
        <v>13699</v>
      </c>
      <c r="SRQ1" t="s">
        <v>13700</v>
      </c>
      <c r="SRR1" t="s">
        <v>13701</v>
      </c>
      <c r="SRS1" t="s">
        <v>13702</v>
      </c>
      <c r="SRT1" t="s">
        <v>13703</v>
      </c>
      <c r="SRU1" t="s">
        <v>13704</v>
      </c>
      <c r="SRV1" t="s">
        <v>13705</v>
      </c>
      <c r="SRW1" t="s">
        <v>13706</v>
      </c>
      <c r="SRX1" t="s">
        <v>13707</v>
      </c>
      <c r="SRY1" t="s">
        <v>13708</v>
      </c>
      <c r="SRZ1" t="s">
        <v>13709</v>
      </c>
      <c r="SSA1" t="s">
        <v>13710</v>
      </c>
      <c r="SSB1" t="s">
        <v>13711</v>
      </c>
      <c r="SSC1" t="s">
        <v>13712</v>
      </c>
      <c r="SSD1" t="s">
        <v>13713</v>
      </c>
      <c r="SSE1" t="s">
        <v>13714</v>
      </c>
      <c r="SSF1" t="s">
        <v>13715</v>
      </c>
      <c r="SSG1" t="s">
        <v>13716</v>
      </c>
      <c r="SSH1" t="s">
        <v>13717</v>
      </c>
      <c r="SSI1" t="s">
        <v>13718</v>
      </c>
      <c r="SSJ1" t="s">
        <v>13719</v>
      </c>
      <c r="SSK1" t="s">
        <v>13720</v>
      </c>
      <c r="SSL1" t="s">
        <v>13721</v>
      </c>
      <c r="SSM1" t="s">
        <v>13722</v>
      </c>
      <c r="SSN1" t="s">
        <v>13723</v>
      </c>
      <c r="SSO1" t="s">
        <v>13724</v>
      </c>
      <c r="SSP1" t="s">
        <v>13725</v>
      </c>
      <c r="SSQ1" t="s">
        <v>13726</v>
      </c>
      <c r="SSR1" t="s">
        <v>13727</v>
      </c>
      <c r="SSS1" t="s">
        <v>13728</v>
      </c>
      <c r="SST1" t="s">
        <v>13729</v>
      </c>
      <c r="SSU1" t="s">
        <v>13730</v>
      </c>
      <c r="SSV1" t="s">
        <v>13731</v>
      </c>
      <c r="SSW1" t="s">
        <v>13732</v>
      </c>
      <c r="SSX1" t="s">
        <v>13733</v>
      </c>
      <c r="SSY1" t="s">
        <v>13734</v>
      </c>
      <c r="SSZ1" t="s">
        <v>13735</v>
      </c>
      <c r="STA1" t="s">
        <v>13736</v>
      </c>
      <c r="STB1" t="s">
        <v>13737</v>
      </c>
      <c r="STC1" t="s">
        <v>13738</v>
      </c>
      <c r="STD1" t="s">
        <v>13739</v>
      </c>
      <c r="STE1" t="s">
        <v>13740</v>
      </c>
      <c r="STF1" t="s">
        <v>13741</v>
      </c>
      <c r="STG1" t="s">
        <v>13742</v>
      </c>
      <c r="STH1" t="s">
        <v>13743</v>
      </c>
      <c r="STI1" t="s">
        <v>13744</v>
      </c>
      <c r="STJ1" t="s">
        <v>13745</v>
      </c>
      <c r="STK1" t="s">
        <v>13746</v>
      </c>
      <c r="STL1" t="s">
        <v>13747</v>
      </c>
      <c r="STM1" t="s">
        <v>13748</v>
      </c>
      <c r="STN1" t="s">
        <v>13749</v>
      </c>
      <c r="STO1" t="s">
        <v>13750</v>
      </c>
      <c r="STP1" t="s">
        <v>13751</v>
      </c>
      <c r="STQ1" t="s">
        <v>13752</v>
      </c>
      <c r="STR1" t="s">
        <v>13753</v>
      </c>
      <c r="STS1" t="s">
        <v>13754</v>
      </c>
      <c r="STT1" t="s">
        <v>13755</v>
      </c>
      <c r="STU1" t="s">
        <v>13756</v>
      </c>
      <c r="STV1" t="s">
        <v>13757</v>
      </c>
      <c r="STW1" t="s">
        <v>13758</v>
      </c>
      <c r="STX1" t="s">
        <v>13759</v>
      </c>
      <c r="STY1" t="s">
        <v>13760</v>
      </c>
      <c r="STZ1" t="s">
        <v>13761</v>
      </c>
      <c r="SUA1" t="s">
        <v>13762</v>
      </c>
      <c r="SUB1" t="s">
        <v>13763</v>
      </c>
      <c r="SUC1" t="s">
        <v>13764</v>
      </c>
      <c r="SUD1" t="s">
        <v>13765</v>
      </c>
      <c r="SUE1" t="s">
        <v>13766</v>
      </c>
      <c r="SUF1" t="s">
        <v>13767</v>
      </c>
      <c r="SUG1" t="s">
        <v>13768</v>
      </c>
      <c r="SUH1" t="s">
        <v>13769</v>
      </c>
      <c r="SUI1" t="s">
        <v>13770</v>
      </c>
      <c r="SUJ1" t="s">
        <v>13771</v>
      </c>
      <c r="SUK1" t="s">
        <v>13772</v>
      </c>
      <c r="SUL1" t="s">
        <v>13773</v>
      </c>
      <c r="SUM1" t="s">
        <v>13774</v>
      </c>
      <c r="SUN1" t="s">
        <v>13775</v>
      </c>
      <c r="SUO1" t="s">
        <v>13776</v>
      </c>
      <c r="SUP1" t="s">
        <v>13777</v>
      </c>
      <c r="SUQ1" t="s">
        <v>13778</v>
      </c>
      <c r="SUR1" t="s">
        <v>13779</v>
      </c>
      <c r="SUS1" t="s">
        <v>13780</v>
      </c>
      <c r="SUT1" t="s">
        <v>13781</v>
      </c>
      <c r="SUU1" t="s">
        <v>13782</v>
      </c>
      <c r="SUV1" t="s">
        <v>13783</v>
      </c>
      <c r="SUW1" t="s">
        <v>13784</v>
      </c>
      <c r="SUX1" t="s">
        <v>13785</v>
      </c>
      <c r="SUY1" t="s">
        <v>13786</v>
      </c>
      <c r="SUZ1" t="s">
        <v>13787</v>
      </c>
      <c r="SVA1" t="s">
        <v>13788</v>
      </c>
      <c r="SVB1" t="s">
        <v>13789</v>
      </c>
      <c r="SVC1" t="s">
        <v>13790</v>
      </c>
      <c r="SVD1" t="s">
        <v>13791</v>
      </c>
      <c r="SVE1" t="s">
        <v>13792</v>
      </c>
      <c r="SVF1" t="s">
        <v>13793</v>
      </c>
      <c r="SVG1" t="s">
        <v>13794</v>
      </c>
      <c r="SVH1" t="s">
        <v>13795</v>
      </c>
      <c r="SVI1" t="s">
        <v>13796</v>
      </c>
      <c r="SVJ1" t="s">
        <v>13797</v>
      </c>
      <c r="SVK1" t="s">
        <v>13798</v>
      </c>
      <c r="SVL1" t="s">
        <v>13799</v>
      </c>
      <c r="SVM1" t="s">
        <v>13800</v>
      </c>
      <c r="SVN1" t="s">
        <v>13801</v>
      </c>
      <c r="SVO1" t="s">
        <v>13802</v>
      </c>
      <c r="SVP1" t="s">
        <v>13803</v>
      </c>
      <c r="SVQ1" t="s">
        <v>13804</v>
      </c>
      <c r="SVR1" t="s">
        <v>13805</v>
      </c>
      <c r="SVS1" t="s">
        <v>13806</v>
      </c>
      <c r="SVT1" t="s">
        <v>13807</v>
      </c>
      <c r="SVU1" t="s">
        <v>13808</v>
      </c>
      <c r="SVV1" t="s">
        <v>13809</v>
      </c>
      <c r="SVW1" t="s">
        <v>13810</v>
      </c>
      <c r="SVX1" t="s">
        <v>13811</v>
      </c>
      <c r="SVY1" t="s">
        <v>13812</v>
      </c>
      <c r="SVZ1" t="s">
        <v>13813</v>
      </c>
      <c r="SWA1" t="s">
        <v>13814</v>
      </c>
      <c r="SWB1" t="s">
        <v>13815</v>
      </c>
      <c r="SWC1" t="s">
        <v>13816</v>
      </c>
      <c r="SWD1" t="s">
        <v>13817</v>
      </c>
      <c r="SWE1" t="s">
        <v>13818</v>
      </c>
      <c r="SWF1" t="s">
        <v>13819</v>
      </c>
      <c r="SWG1" t="s">
        <v>13820</v>
      </c>
      <c r="SWH1" t="s">
        <v>13821</v>
      </c>
      <c r="SWI1" t="s">
        <v>13822</v>
      </c>
      <c r="SWJ1" t="s">
        <v>13823</v>
      </c>
      <c r="SWK1" t="s">
        <v>13824</v>
      </c>
      <c r="SWL1" t="s">
        <v>13825</v>
      </c>
      <c r="SWM1" t="s">
        <v>13826</v>
      </c>
      <c r="SWN1" t="s">
        <v>13827</v>
      </c>
      <c r="SWO1" t="s">
        <v>13828</v>
      </c>
      <c r="SWP1" t="s">
        <v>13829</v>
      </c>
      <c r="SWQ1" t="s">
        <v>13830</v>
      </c>
      <c r="SWR1" t="s">
        <v>13831</v>
      </c>
      <c r="SWS1" t="s">
        <v>13832</v>
      </c>
      <c r="SWT1" t="s">
        <v>13833</v>
      </c>
      <c r="SWU1" t="s">
        <v>13834</v>
      </c>
      <c r="SWV1" t="s">
        <v>13835</v>
      </c>
      <c r="SWW1" t="s">
        <v>13836</v>
      </c>
      <c r="SWX1" t="s">
        <v>13837</v>
      </c>
      <c r="SWY1" t="s">
        <v>13838</v>
      </c>
      <c r="SWZ1" t="s">
        <v>13839</v>
      </c>
      <c r="SXA1" t="s">
        <v>13840</v>
      </c>
      <c r="SXB1" t="s">
        <v>13841</v>
      </c>
      <c r="SXC1" t="s">
        <v>13842</v>
      </c>
      <c r="SXD1" t="s">
        <v>13843</v>
      </c>
      <c r="SXE1" t="s">
        <v>13844</v>
      </c>
      <c r="SXF1" t="s">
        <v>13845</v>
      </c>
      <c r="SXG1" t="s">
        <v>13846</v>
      </c>
      <c r="SXH1" t="s">
        <v>13847</v>
      </c>
      <c r="SXI1" t="s">
        <v>13848</v>
      </c>
      <c r="SXJ1" t="s">
        <v>13849</v>
      </c>
      <c r="SXK1" t="s">
        <v>13850</v>
      </c>
      <c r="SXL1" t="s">
        <v>13851</v>
      </c>
      <c r="SXM1" t="s">
        <v>13852</v>
      </c>
      <c r="SXN1" t="s">
        <v>13853</v>
      </c>
      <c r="SXO1" t="s">
        <v>13854</v>
      </c>
      <c r="SXP1" t="s">
        <v>13855</v>
      </c>
      <c r="SXQ1" t="s">
        <v>13856</v>
      </c>
      <c r="SXR1" t="s">
        <v>13857</v>
      </c>
      <c r="SXS1" t="s">
        <v>13858</v>
      </c>
      <c r="SXT1" t="s">
        <v>13859</v>
      </c>
      <c r="SXU1" t="s">
        <v>13860</v>
      </c>
      <c r="SXV1" t="s">
        <v>13861</v>
      </c>
      <c r="SXW1" t="s">
        <v>13862</v>
      </c>
      <c r="SXX1" t="s">
        <v>13863</v>
      </c>
      <c r="SXY1" t="s">
        <v>13864</v>
      </c>
      <c r="SXZ1" t="s">
        <v>13865</v>
      </c>
      <c r="SYA1" t="s">
        <v>13866</v>
      </c>
      <c r="SYB1" t="s">
        <v>13867</v>
      </c>
      <c r="SYC1" t="s">
        <v>13868</v>
      </c>
      <c r="SYD1" t="s">
        <v>13869</v>
      </c>
      <c r="SYE1" t="s">
        <v>13870</v>
      </c>
      <c r="SYF1" t="s">
        <v>13871</v>
      </c>
      <c r="SYG1" t="s">
        <v>13872</v>
      </c>
      <c r="SYH1" t="s">
        <v>13873</v>
      </c>
      <c r="SYI1" t="s">
        <v>13874</v>
      </c>
      <c r="SYJ1" t="s">
        <v>13875</v>
      </c>
      <c r="SYK1" t="s">
        <v>13876</v>
      </c>
      <c r="SYL1" t="s">
        <v>13877</v>
      </c>
      <c r="SYM1" t="s">
        <v>13878</v>
      </c>
      <c r="SYN1" t="s">
        <v>13879</v>
      </c>
      <c r="SYO1" t="s">
        <v>13880</v>
      </c>
      <c r="SYP1" t="s">
        <v>13881</v>
      </c>
      <c r="SYQ1" t="s">
        <v>13882</v>
      </c>
      <c r="SYR1" t="s">
        <v>13883</v>
      </c>
      <c r="SYS1" t="s">
        <v>13884</v>
      </c>
      <c r="SYT1" t="s">
        <v>13885</v>
      </c>
      <c r="SYU1" t="s">
        <v>13886</v>
      </c>
      <c r="SYV1" t="s">
        <v>13887</v>
      </c>
      <c r="SYW1" t="s">
        <v>13888</v>
      </c>
      <c r="SYX1" t="s">
        <v>13889</v>
      </c>
      <c r="SYY1" t="s">
        <v>13890</v>
      </c>
      <c r="SYZ1" t="s">
        <v>13891</v>
      </c>
      <c r="SZA1" t="s">
        <v>13892</v>
      </c>
      <c r="SZB1" t="s">
        <v>13893</v>
      </c>
      <c r="SZC1" t="s">
        <v>13894</v>
      </c>
      <c r="SZD1" t="s">
        <v>13895</v>
      </c>
      <c r="SZE1" t="s">
        <v>13896</v>
      </c>
      <c r="SZF1" t="s">
        <v>13897</v>
      </c>
      <c r="SZG1" t="s">
        <v>13898</v>
      </c>
      <c r="SZH1" t="s">
        <v>13899</v>
      </c>
      <c r="SZI1" t="s">
        <v>13900</v>
      </c>
      <c r="SZJ1" t="s">
        <v>13901</v>
      </c>
      <c r="SZK1" t="s">
        <v>13902</v>
      </c>
      <c r="SZL1" t="s">
        <v>13903</v>
      </c>
      <c r="SZM1" t="s">
        <v>13904</v>
      </c>
      <c r="SZN1" t="s">
        <v>13905</v>
      </c>
      <c r="SZO1" t="s">
        <v>13906</v>
      </c>
      <c r="SZP1" t="s">
        <v>13907</v>
      </c>
      <c r="SZQ1" t="s">
        <v>13908</v>
      </c>
      <c r="SZR1" t="s">
        <v>13909</v>
      </c>
      <c r="SZS1" t="s">
        <v>13910</v>
      </c>
      <c r="SZT1" t="s">
        <v>13911</v>
      </c>
      <c r="SZU1" t="s">
        <v>13912</v>
      </c>
      <c r="SZV1" t="s">
        <v>13913</v>
      </c>
      <c r="SZW1" t="s">
        <v>13914</v>
      </c>
      <c r="SZX1" t="s">
        <v>13915</v>
      </c>
      <c r="SZY1" t="s">
        <v>13916</v>
      </c>
      <c r="SZZ1" t="s">
        <v>13917</v>
      </c>
      <c r="TAA1" t="s">
        <v>13918</v>
      </c>
      <c r="TAB1" t="s">
        <v>13919</v>
      </c>
      <c r="TAC1" t="s">
        <v>13920</v>
      </c>
      <c r="TAD1" t="s">
        <v>13921</v>
      </c>
      <c r="TAE1" t="s">
        <v>13922</v>
      </c>
      <c r="TAF1" t="s">
        <v>13923</v>
      </c>
      <c r="TAG1" t="s">
        <v>13924</v>
      </c>
      <c r="TAH1" t="s">
        <v>13925</v>
      </c>
      <c r="TAI1" t="s">
        <v>13926</v>
      </c>
      <c r="TAJ1" t="s">
        <v>13927</v>
      </c>
      <c r="TAK1" t="s">
        <v>13928</v>
      </c>
      <c r="TAL1" t="s">
        <v>13929</v>
      </c>
      <c r="TAM1" t="s">
        <v>13930</v>
      </c>
      <c r="TAN1" t="s">
        <v>13931</v>
      </c>
      <c r="TAO1" t="s">
        <v>13932</v>
      </c>
      <c r="TAP1" t="s">
        <v>13933</v>
      </c>
      <c r="TAQ1" t="s">
        <v>13934</v>
      </c>
      <c r="TAR1" t="s">
        <v>13935</v>
      </c>
      <c r="TAS1" t="s">
        <v>13936</v>
      </c>
      <c r="TAT1" t="s">
        <v>13937</v>
      </c>
      <c r="TAU1" t="s">
        <v>13938</v>
      </c>
      <c r="TAV1" t="s">
        <v>13939</v>
      </c>
      <c r="TAW1" t="s">
        <v>13940</v>
      </c>
      <c r="TAX1" t="s">
        <v>13941</v>
      </c>
      <c r="TAY1" t="s">
        <v>13942</v>
      </c>
      <c r="TAZ1" t="s">
        <v>13943</v>
      </c>
      <c r="TBA1" t="s">
        <v>13944</v>
      </c>
      <c r="TBB1" t="s">
        <v>13945</v>
      </c>
      <c r="TBC1" t="s">
        <v>13946</v>
      </c>
      <c r="TBD1" t="s">
        <v>13947</v>
      </c>
      <c r="TBE1" t="s">
        <v>13948</v>
      </c>
      <c r="TBF1" t="s">
        <v>13949</v>
      </c>
      <c r="TBG1" t="s">
        <v>13950</v>
      </c>
      <c r="TBH1" t="s">
        <v>13951</v>
      </c>
      <c r="TBI1" t="s">
        <v>13952</v>
      </c>
      <c r="TBJ1" t="s">
        <v>13953</v>
      </c>
      <c r="TBK1" t="s">
        <v>13954</v>
      </c>
      <c r="TBL1" t="s">
        <v>13955</v>
      </c>
      <c r="TBM1" t="s">
        <v>13956</v>
      </c>
      <c r="TBN1" t="s">
        <v>13957</v>
      </c>
      <c r="TBO1" t="s">
        <v>13958</v>
      </c>
      <c r="TBP1" t="s">
        <v>13959</v>
      </c>
      <c r="TBQ1" t="s">
        <v>13960</v>
      </c>
      <c r="TBR1" t="s">
        <v>13961</v>
      </c>
      <c r="TBS1" t="s">
        <v>13962</v>
      </c>
      <c r="TBT1" t="s">
        <v>13963</v>
      </c>
      <c r="TBU1" t="s">
        <v>13964</v>
      </c>
      <c r="TBV1" t="s">
        <v>13965</v>
      </c>
      <c r="TBW1" t="s">
        <v>13966</v>
      </c>
      <c r="TBX1" t="s">
        <v>13967</v>
      </c>
      <c r="TBY1" t="s">
        <v>13968</v>
      </c>
      <c r="TBZ1" t="s">
        <v>13969</v>
      </c>
      <c r="TCA1" t="s">
        <v>13970</v>
      </c>
      <c r="TCB1" t="s">
        <v>13971</v>
      </c>
      <c r="TCC1" t="s">
        <v>13972</v>
      </c>
      <c r="TCD1" t="s">
        <v>13973</v>
      </c>
      <c r="TCE1" t="s">
        <v>13974</v>
      </c>
      <c r="TCF1" t="s">
        <v>13975</v>
      </c>
      <c r="TCG1" t="s">
        <v>13976</v>
      </c>
      <c r="TCH1" t="s">
        <v>13977</v>
      </c>
      <c r="TCI1" t="s">
        <v>13978</v>
      </c>
      <c r="TCJ1" t="s">
        <v>13979</v>
      </c>
      <c r="TCK1" t="s">
        <v>13980</v>
      </c>
      <c r="TCL1" t="s">
        <v>13981</v>
      </c>
      <c r="TCM1" t="s">
        <v>13982</v>
      </c>
      <c r="TCN1" t="s">
        <v>13983</v>
      </c>
      <c r="TCO1" t="s">
        <v>13984</v>
      </c>
      <c r="TCP1" t="s">
        <v>13985</v>
      </c>
      <c r="TCQ1" t="s">
        <v>13986</v>
      </c>
      <c r="TCR1" t="s">
        <v>13987</v>
      </c>
      <c r="TCS1" t="s">
        <v>13988</v>
      </c>
      <c r="TCT1" t="s">
        <v>13989</v>
      </c>
      <c r="TCU1" t="s">
        <v>13990</v>
      </c>
      <c r="TCV1" t="s">
        <v>13991</v>
      </c>
      <c r="TCW1" t="s">
        <v>13992</v>
      </c>
      <c r="TCX1" t="s">
        <v>13993</v>
      </c>
      <c r="TCY1" t="s">
        <v>13994</v>
      </c>
      <c r="TCZ1" t="s">
        <v>13995</v>
      </c>
      <c r="TDA1" t="s">
        <v>13996</v>
      </c>
      <c r="TDB1" t="s">
        <v>13997</v>
      </c>
      <c r="TDC1" t="s">
        <v>13998</v>
      </c>
      <c r="TDD1" t="s">
        <v>13999</v>
      </c>
      <c r="TDE1" t="s">
        <v>14000</v>
      </c>
      <c r="TDF1" t="s">
        <v>14001</v>
      </c>
      <c r="TDG1" t="s">
        <v>14002</v>
      </c>
      <c r="TDH1" t="s">
        <v>14003</v>
      </c>
      <c r="TDI1" t="s">
        <v>14004</v>
      </c>
      <c r="TDJ1" t="s">
        <v>14005</v>
      </c>
      <c r="TDK1" t="s">
        <v>14006</v>
      </c>
      <c r="TDL1" t="s">
        <v>14007</v>
      </c>
      <c r="TDM1" t="s">
        <v>14008</v>
      </c>
      <c r="TDN1" t="s">
        <v>14009</v>
      </c>
      <c r="TDO1" t="s">
        <v>14010</v>
      </c>
      <c r="TDP1" t="s">
        <v>14011</v>
      </c>
      <c r="TDQ1" t="s">
        <v>14012</v>
      </c>
      <c r="TDR1" t="s">
        <v>14013</v>
      </c>
      <c r="TDS1" t="s">
        <v>14014</v>
      </c>
      <c r="TDT1" t="s">
        <v>14015</v>
      </c>
      <c r="TDU1" t="s">
        <v>14016</v>
      </c>
      <c r="TDV1" t="s">
        <v>14017</v>
      </c>
      <c r="TDW1" t="s">
        <v>14018</v>
      </c>
      <c r="TDX1" t="s">
        <v>14019</v>
      </c>
      <c r="TDY1" t="s">
        <v>14020</v>
      </c>
      <c r="TDZ1" t="s">
        <v>14021</v>
      </c>
      <c r="TEA1" t="s">
        <v>14022</v>
      </c>
      <c r="TEB1" t="s">
        <v>14023</v>
      </c>
      <c r="TEC1" t="s">
        <v>14024</v>
      </c>
      <c r="TED1" t="s">
        <v>14025</v>
      </c>
      <c r="TEE1" t="s">
        <v>14026</v>
      </c>
      <c r="TEF1" t="s">
        <v>14027</v>
      </c>
      <c r="TEG1" t="s">
        <v>14028</v>
      </c>
      <c r="TEH1" t="s">
        <v>14029</v>
      </c>
      <c r="TEI1" t="s">
        <v>14030</v>
      </c>
      <c r="TEJ1" t="s">
        <v>14031</v>
      </c>
      <c r="TEK1" t="s">
        <v>14032</v>
      </c>
      <c r="TEL1" t="s">
        <v>14033</v>
      </c>
      <c r="TEM1" t="s">
        <v>14034</v>
      </c>
      <c r="TEN1" t="s">
        <v>14035</v>
      </c>
      <c r="TEO1" t="s">
        <v>14036</v>
      </c>
      <c r="TEP1" t="s">
        <v>14037</v>
      </c>
      <c r="TEQ1" t="s">
        <v>14038</v>
      </c>
      <c r="TER1" t="s">
        <v>14039</v>
      </c>
      <c r="TES1" t="s">
        <v>14040</v>
      </c>
      <c r="TET1" t="s">
        <v>14041</v>
      </c>
      <c r="TEU1" t="s">
        <v>14042</v>
      </c>
      <c r="TEV1" t="s">
        <v>14043</v>
      </c>
      <c r="TEW1" t="s">
        <v>14044</v>
      </c>
      <c r="TEX1" t="s">
        <v>14045</v>
      </c>
      <c r="TEY1" t="s">
        <v>14046</v>
      </c>
      <c r="TEZ1" t="s">
        <v>14047</v>
      </c>
      <c r="TFA1" t="s">
        <v>14048</v>
      </c>
      <c r="TFB1" t="s">
        <v>14049</v>
      </c>
      <c r="TFC1" t="s">
        <v>14050</v>
      </c>
      <c r="TFD1" t="s">
        <v>14051</v>
      </c>
      <c r="TFE1" t="s">
        <v>14052</v>
      </c>
      <c r="TFF1" t="s">
        <v>14053</v>
      </c>
      <c r="TFG1" t="s">
        <v>14054</v>
      </c>
      <c r="TFH1" t="s">
        <v>14055</v>
      </c>
      <c r="TFI1" t="s">
        <v>14056</v>
      </c>
      <c r="TFJ1" t="s">
        <v>14057</v>
      </c>
      <c r="TFK1" t="s">
        <v>14058</v>
      </c>
      <c r="TFL1" t="s">
        <v>14059</v>
      </c>
      <c r="TFM1" t="s">
        <v>14060</v>
      </c>
      <c r="TFN1" t="s">
        <v>14061</v>
      </c>
      <c r="TFO1" t="s">
        <v>14062</v>
      </c>
      <c r="TFP1" t="s">
        <v>14063</v>
      </c>
      <c r="TFQ1" t="s">
        <v>14064</v>
      </c>
      <c r="TFR1" t="s">
        <v>14065</v>
      </c>
      <c r="TFS1" t="s">
        <v>14066</v>
      </c>
      <c r="TFT1" t="s">
        <v>14067</v>
      </c>
      <c r="TFU1" t="s">
        <v>14068</v>
      </c>
      <c r="TFV1" t="s">
        <v>14069</v>
      </c>
      <c r="TFW1" t="s">
        <v>14070</v>
      </c>
      <c r="TFX1" t="s">
        <v>14071</v>
      </c>
      <c r="TFY1" t="s">
        <v>14072</v>
      </c>
      <c r="TFZ1" t="s">
        <v>14073</v>
      </c>
      <c r="TGA1" t="s">
        <v>14074</v>
      </c>
      <c r="TGB1" t="s">
        <v>14075</v>
      </c>
      <c r="TGC1" t="s">
        <v>14076</v>
      </c>
      <c r="TGD1" t="s">
        <v>14077</v>
      </c>
      <c r="TGE1" t="s">
        <v>14078</v>
      </c>
      <c r="TGF1" t="s">
        <v>14079</v>
      </c>
      <c r="TGG1" t="s">
        <v>14080</v>
      </c>
      <c r="TGH1" t="s">
        <v>14081</v>
      </c>
      <c r="TGI1" t="s">
        <v>14082</v>
      </c>
      <c r="TGJ1" t="s">
        <v>14083</v>
      </c>
      <c r="TGK1" t="s">
        <v>14084</v>
      </c>
      <c r="TGL1" t="s">
        <v>14085</v>
      </c>
      <c r="TGM1" t="s">
        <v>14086</v>
      </c>
      <c r="TGN1" t="s">
        <v>14087</v>
      </c>
      <c r="TGO1" t="s">
        <v>14088</v>
      </c>
      <c r="TGP1" t="s">
        <v>14089</v>
      </c>
      <c r="TGQ1" t="s">
        <v>14090</v>
      </c>
      <c r="TGR1" t="s">
        <v>14091</v>
      </c>
      <c r="TGS1" t="s">
        <v>14092</v>
      </c>
      <c r="TGT1" t="s">
        <v>14093</v>
      </c>
      <c r="TGU1" t="s">
        <v>14094</v>
      </c>
      <c r="TGV1" t="s">
        <v>14095</v>
      </c>
      <c r="TGW1" t="s">
        <v>14096</v>
      </c>
      <c r="TGX1" t="s">
        <v>14097</v>
      </c>
      <c r="TGY1" t="s">
        <v>14098</v>
      </c>
      <c r="TGZ1" t="s">
        <v>14099</v>
      </c>
      <c r="THA1" t="s">
        <v>14100</v>
      </c>
      <c r="THB1" t="s">
        <v>14101</v>
      </c>
      <c r="THC1" t="s">
        <v>14102</v>
      </c>
      <c r="THD1" t="s">
        <v>14103</v>
      </c>
      <c r="THE1" t="s">
        <v>14104</v>
      </c>
      <c r="THF1" t="s">
        <v>14105</v>
      </c>
      <c r="THG1" t="s">
        <v>14106</v>
      </c>
      <c r="THH1" t="s">
        <v>14107</v>
      </c>
      <c r="THI1" t="s">
        <v>14108</v>
      </c>
      <c r="THJ1" t="s">
        <v>14109</v>
      </c>
      <c r="THK1" t="s">
        <v>14110</v>
      </c>
      <c r="THL1" t="s">
        <v>14111</v>
      </c>
      <c r="THM1" t="s">
        <v>14112</v>
      </c>
      <c r="THN1" t="s">
        <v>14113</v>
      </c>
      <c r="THO1" t="s">
        <v>14114</v>
      </c>
      <c r="THP1" t="s">
        <v>14115</v>
      </c>
      <c r="THQ1" t="s">
        <v>14116</v>
      </c>
      <c r="THR1" t="s">
        <v>14117</v>
      </c>
      <c r="THS1" t="s">
        <v>14118</v>
      </c>
      <c r="THT1" t="s">
        <v>14119</v>
      </c>
      <c r="THU1" t="s">
        <v>14120</v>
      </c>
      <c r="THV1" t="s">
        <v>14121</v>
      </c>
      <c r="THW1" t="s">
        <v>14122</v>
      </c>
      <c r="THX1" t="s">
        <v>14123</v>
      </c>
      <c r="THY1" t="s">
        <v>14124</v>
      </c>
      <c r="THZ1" t="s">
        <v>14125</v>
      </c>
      <c r="TIA1" t="s">
        <v>14126</v>
      </c>
      <c r="TIB1" t="s">
        <v>14127</v>
      </c>
      <c r="TIC1" t="s">
        <v>14128</v>
      </c>
      <c r="TID1" t="s">
        <v>14129</v>
      </c>
      <c r="TIE1" t="s">
        <v>14130</v>
      </c>
      <c r="TIF1" t="s">
        <v>14131</v>
      </c>
      <c r="TIG1" t="s">
        <v>14132</v>
      </c>
      <c r="TIH1" t="s">
        <v>14133</v>
      </c>
      <c r="TII1" t="s">
        <v>14134</v>
      </c>
      <c r="TIJ1" t="s">
        <v>14135</v>
      </c>
      <c r="TIK1" t="s">
        <v>14136</v>
      </c>
      <c r="TIL1" t="s">
        <v>14137</v>
      </c>
      <c r="TIM1" t="s">
        <v>14138</v>
      </c>
      <c r="TIN1" t="s">
        <v>14139</v>
      </c>
      <c r="TIO1" t="s">
        <v>14140</v>
      </c>
      <c r="TIP1" t="s">
        <v>14141</v>
      </c>
      <c r="TIQ1" t="s">
        <v>14142</v>
      </c>
      <c r="TIR1" t="s">
        <v>14143</v>
      </c>
      <c r="TIS1" t="s">
        <v>14144</v>
      </c>
      <c r="TIT1" t="s">
        <v>14145</v>
      </c>
      <c r="TIU1" t="s">
        <v>14146</v>
      </c>
      <c r="TIV1" t="s">
        <v>14147</v>
      </c>
      <c r="TIW1" t="s">
        <v>14148</v>
      </c>
      <c r="TIX1" t="s">
        <v>14149</v>
      </c>
      <c r="TIY1" t="s">
        <v>14150</v>
      </c>
      <c r="TIZ1" t="s">
        <v>14151</v>
      </c>
      <c r="TJA1" t="s">
        <v>14152</v>
      </c>
      <c r="TJB1" t="s">
        <v>14153</v>
      </c>
      <c r="TJC1" t="s">
        <v>14154</v>
      </c>
      <c r="TJD1" t="s">
        <v>14155</v>
      </c>
      <c r="TJE1" t="s">
        <v>14156</v>
      </c>
      <c r="TJF1" t="s">
        <v>14157</v>
      </c>
      <c r="TJG1" t="s">
        <v>14158</v>
      </c>
      <c r="TJH1" t="s">
        <v>14159</v>
      </c>
      <c r="TJI1" t="s">
        <v>14160</v>
      </c>
      <c r="TJJ1" t="s">
        <v>14161</v>
      </c>
      <c r="TJK1" t="s">
        <v>14162</v>
      </c>
      <c r="TJL1" t="s">
        <v>14163</v>
      </c>
      <c r="TJM1" t="s">
        <v>14164</v>
      </c>
      <c r="TJN1" t="s">
        <v>14165</v>
      </c>
      <c r="TJO1" t="s">
        <v>14166</v>
      </c>
      <c r="TJP1" t="s">
        <v>14167</v>
      </c>
      <c r="TJQ1" t="s">
        <v>14168</v>
      </c>
      <c r="TJR1" t="s">
        <v>14169</v>
      </c>
      <c r="TJS1" t="s">
        <v>14170</v>
      </c>
      <c r="TJT1" t="s">
        <v>14171</v>
      </c>
      <c r="TJU1" t="s">
        <v>14172</v>
      </c>
      <c r="TJV1" t="s">
        <v>14173</v>
      </c>
      <c r="TJW1" t="s">
        <v>14174</v>
      </c>
      <c r="TJX1" t="s">
        <v>14175</v>
      </c>
      <c r="TJY1" t="s">
        <v>14176</v>
      </c>
      <c r="TJZ1" t="s">
        <v>14177</v>
      </c>
      <c r="TKA1" t="s">
        <v>14178</v>
      </c>
      <c r="TKB1" t="s">
        <v>14179</v>
      </c>
      <c r="TKC1" t="s">
        <v>14180</v>
      </c>
      <c r="TKD1" t="s">
        <v>14181</v>
      </c>
      <c r="TKE1" t="s">
        <v>14182</v>
      </c>
      <c r="TKF1" t="s">
        <v>14183</v>
      </c>
      <c r="TKG1" t="s">
        <v>14184</v>
      </c>
      <c r="TKH1" t="s">
        <v>14185</v>
      </c>
      <c r="TKI1" t="s">
        <v>14186</v>
      </c>
      <c r="TKJ1" t="s">
        <v>14187</v>
      </c>
      <c r="TKK1" t="s">
        <v>14188</v>
      </c>
      <c r="TKL1" t="s">
        <v>14189</v>
      </c>
      <c r="TKM1" t="s">
        <v>14190</v>
      </c>
      <c r="TKN1" t="s">
        <v>14191</v>
      </c>
      <c r="TKO1" t="s">
        <v>14192</v>
      </c>
      <c r="TKP1" t="s">
        <v>14193</v>
      </c>
      <c r="TKQ1" t="s">
        <v>14194</v>
      </c>
      <c r="TKR1" t="s">
        <v>14195</v>
      </c>
      <c r="TKS1" t="s">
        <v>14196</v>
      </c>
      <c r="TKT1" t="s">
        <v>14197</v>
      </c>
      <c r="TKU1" t="s">
        <v>14198</v>
      </c>
      <c r="TKV1" t="s">
        <v>14199</v>
      </c>
      <c r="TKW1" t="s">
        <v>14200</v>
      </c>
      <c r="TKX1" t="s">
        <v>14201</v>
      </c>
      <c r="TKY1" t="s">
        <v>14202</v>
      </c>
      <c r="TKZ1" t="s">
        <v>14203</v>
      </c>
      <c r="TLA1" t="s">
        <v>14204</v>
      </c>
      <c r="TLB1" t="s">
        <v>14205</v>
      </c>
      <c r="TLC1" t="s">
        <v>14206</v>
      </c>
      <c r="TLD1" t="s">
        <v>14207</v>
      </c>
      <c r="TLE1" t="s">
        <v>14208</v>
      </c>
      <c r="TLF1" t="s">
        <v>14209</v>
      </c>
      <c r="TLG1" t="s">
        <v>14210</v>
      </c>
      <c r="TLH1" t="s">
        <v>14211</v>
      </c>
      <c r="TLI1" t="s">
        <v>14212</v>
      </c>
      <c r="TLJ1" t="s">
        <v>14213</v>
      </c>
      <c r="TLK1" t="s">
        <v>14214</v>
      </c>
      <c r="TLL1" t="s">
        <v>14215</v>
      </c>
      <c r="TLM1" t="s">
        <v>14216</v>
      </c>
      <c r="TLN1" t="s">
        <v>14217</v>
      </c>
      <c r="TLO1" t="s">
        <v>14218</v>
      </c>
      <c r="TLP1" t="s">
        <v>14219</v>
      </c>
      <c r="TLQ1" t="s">
        <v>14220</v>
      </c>
      <c r="TLR1" t="s">
        <v>14221</v>
      </c>
      <c r="TLS1" t="s">
        <v>14222</v>
      </c>
      <c r="TLT1" t="s">
        <v>14223</v>
      </c>
      <c r="TLU1" t="s">
        <v>14224</v>
      </c>
      <c r="TLV1" t="s">
        <v>14225</v>
      </c>
      <c r="TLW1" t="s">
        <v>14226</v>
      </c>
      <c r="TLX1" t="s">
        <v>14227</v>
      </c>
      <c r="TLY1" t="s">
        <v>14228</v>
      </c>
      <c r="TLZ1" t="s">
        <v>14229</v>
      </c>
      <c r="TMA1" t="s">
        <v>14230</v>
      </c>
      <c r="TMB1" t="s">
        <v>14231</v>
      </c>
      <c r="TMC1" t="s">
        <v>14232</v>
      </c>
      <c r="TMD1" t="s">
        <v>14233</v>
      </c>
      <c r="TME1" t="s">
        <v>14234</v>
      </c>
      <c r="TMF1" t="s">
        <v>14235</v>
      </c>
      <c r="TMG1" t="s">
        <v>14236</v>
      </c>
      <c r="TMH1" t="s">
        <v>14237</v>
      </c>
      <c r="TMI1" t="s">
        <v>14238</v>
      </c>
      <c r="TMJ1" t="s">
        <v>14239</v>
      </c>
      <c r="TMK1" t="s">
        <v>14240</v>
      </c>
      <c r="TML1" t="s">
        <v>14241</v>
      </c>
      <c r="TMM1" t="s">
        <v>14242</v>
      </c>
      <c r="TMN1" t="s">
        <v>14243</v>
      </c>
      <c r="TMO1" t="s">
        <v>14244</v>
      </c>
      <c r="TMP1" t="s">
        <v>14245</v>
      </c>
      <c r="TMQ1" t="s">
        <v>14246</v>
      </c>
      <c r="TMR1" t="s">
        <v>14247</v>
      </c>
      <c r="TMS1" t="s">
        <v>14248</v>
      </c>
      <c r="TMT1" t="s">
        <v>14249</v>
      </c>
      <c r="TMU1" t="s">
        <v>14250</v>
      </c>
      <c r="TMV1" t="s">
        <v>14251</v>
      </c>
      <c r="TMW1" t="s">
        <v>14252</v>
      </c>
      <c r="TMX1" t="s">
        <v>14253</v>
      </c>
      <c r="TMY1" t="s">
        <v>14254</v>
      </c>
      <c r="TMZ1" t="s">
        <v>14255</v>
      </c>
      <c r="TNA1" t="s">
        <v>14256</v>
      </c>
      <c r="TNB1" t="s">
        <v>14257</v>
      </c>
      <c r="TNC1" t="s">
        <v>14258</v>
      </c>
      <c r="TND1" t="s">
        <v>14259</v>
      </c>
      <c r="TNE1" t="s">
        <v>14260</v>
      </c>
      <c r="TNF1" t="s">
        <v>14261</v>
      </c>
      <c r="TNG1" t="s">
        <v>14262</v>
      </c>
      <c r="TNH1" t="s">
        <v>14263</v>
      </c>
      <c r="TNI1" t="s">
        <v>14264</v>
      </c>
      <c r="TNJ1" t="s">
        <v>14265</v>
      </c>
      <c r="TNK1" t="s">
        <v>14266</v>
      </c>
      <c r="TNL1" t="s">
        <v>14267</v>
      </c>
      <c r="TNM1" t="s">
        <v>14268</v>
      </c>
      <c r="TNN1" t="s">
        <v>14269</v>
      </c>
      <c r="TNO1" t="s">
        <v>14270</v>
      </c>
      <c r="TNP1" t="s">
        <v>14271</v>
      </c>
      <c r="TNQ1" t="s">
        <v>14272</v>
      </c>
      <c r="TNR1" t="s">
        <v>14273</v>
      </c>
      <c r="TNS1" t="s">
        <v>14274</v>
      </c>
      <c r="TNT1" t="s">
        <v>14275</v>
      </c>
      <c r="TNU1" t="s">
        <v>14276</v>
      </c>
      <c r="TNV1" t="s">
        <v>14277</v>
      </c>
      <c r="TNW1" t="s">
        <v>14278</v>
      </c>
      <c r="TNX1" t="s">
        <v>14279</v>
      </c>
      <c r="TNY1" t="s">
        <v>14280</v>
      </c>
      <c r="TNZ1" t="s">
        <v>14281</v>
      </c>
      <c r="TOA1" t="s">
        <v>14282</v>
      </c>
      <c r="TOB1" t="s">
        <v>14283</v>
      </c>
      <c r="TOC1" t="s">
        <v>14284</v>
      </c>
      <c r="TOD1" t="s">
        <v>14285</v>
      </c>
      <c r="TOE1" t="s">
        <v>14286</v>
      </c>
      <c r="TOF1" t="s">
        <v>14287</v>
      </c>
      <c r="TOG1" t="s">
        <v>14288</v>
      </c>
      <c r="TOH1" t="s">
        <v>14289</v>
      </c>
      <c r="TOI1" t="s">
        <v>14290</v>
      </c>
      <c r="TOJ1" t="s">
        <v>14291</v>
      </c>
      <c r="TOK1" t="s">
        <v>14292</v>
      </c>
      <c r="TOL1" t="s">
        <v>14293</v>
      </c>
      <c r="TOM1" t="s">
        <v>14294</v>
      </c>
      <c r="TON1" t="s">
        <v>14295</v>
      </c>
      <c r="TOO1" t="s">
        <v>14296</v>
      </c>
      <c r="TOP1" t="s">
        <v>14297</v>
      </c>
      <c r="TOQ1" t="s">
        <v>14298</v>
      </c>
      <c r="TOR1" t="s">
        <v>14299</v>
      </c>
      <c r="TOS1" t="s">
        <v>14300</v>
      </c>
      <c r="TOT1" t="s">
        <v>14301</v>
      </c>
      <c r="TOU1" t="s">
        <v>14302</v>
      </c>
      <c r="TOV1" t="s">
        <v>14303</v>
      </c>
      <c r="TOW1" t="s">
        <v>14304</v>
      </c>
      <c r="TOX1" t="s">
        <v>14305</v>
      </c>
      <c r="TOY1" t="s">
        <v>14306</v>
      </c>
      <c r="TOZ1" t="s">
        <v>14307</v>
      </c>
      <c r="TPA1" t="s">
        <v>14308</v>
      </c>
      <c r="TPB1" t="s">
        <v>14309</v>
      </c>
      <c r="TPC1" t="s">
        <v>14310</v>
      </c>
      <c r="TPD1" t="s">
        <v>14311</v>
      </c>
      <c r="TPE1" t="s">
        <v>14312</v>
      </c>
      <c r="TPF1" t="s">
        <v>14313</v>
      </c>
      <c r="TPG1" t="s">
        <v>14314</v>
      </c>
      <c r="TPH1" t="s">
        <v>14315</v>
      </c>
      <c r="TPI1" t="s">
        <v>14316</v>
      </c>
      <c r="TPJ1" t="s">
        <v>14317</v>
      </c>
      <c r="TPK1" t="s">
        <v>14318</v>
      </c>
      <c r="TPL1" t="s">
        <v>14319</v>
      </c>
      <c r="TPM1" t="s">
        <v>14320</v>
      </c>
      <c r="TPN1" t="s">
        <v>14321</v>
      </c>
      <c r="TPO1" t="s">
        <v>14322</v>
      </c>
      <c r="TPP1" t="s">
        <v>14323</v>
      </c>
      <c r="TPQ1" t="s">
        <v>14324</v>
      </c>
      <c r="TPR1" t="s">
        <v>14325</v>
      </c>
      <c r="TPS1" t="s">
        <v>14326</v>
      </c>
      <c r="TPT1" t="s">
        <v>14327</v>
      </c>
      <c r="TPU1" t="s">
        <v>14328</v>
      </c>
      <c r="TPV1" t="s">
        <v>14329</v>
      </c>
      <c r="TPW1" t="s">
        <v>14330</v>
      </c>
      <c r="TPX1" t="s">
        <v>14331</v>
      </c>
      <c r="TPY1" t="s">
        <v>14332</v>
      </c>
      <c r="TPZ1" t="s">
        <v>14333</v>
      </c>
      <c r="TQA1" t="s">
        <v>14334</v>
      </c>
      <c r="TQB1" t="s">
        <v>14335</v>
      </c>
      <c r="TQC1" t="s">
        <v>14336</v>
      </c>
      <c r="TQD1" t="s">
        <v>14337</v>
      </c>
      <c r="TQE1" t="s">
        <v>14338</v>
      </c>
      <c r="TQF1" t="s">
        <v>14339</v>
      </c>
      <c r="TQG1" t="s">
        <v>14340</v>
      </c>
      <c r="TQH1" t="s">
        <v>14341</v>
      </c>
      <c r="TQI1" t="s">
        <v>14342</v>
      </c>
      <c r="TQJ1" t="s">
        <v>14343</v>
      </c>
      <c r="TQK1" t="s">
        <v>14344</v>
      </c>
      <c r="TQL1" t="s">
        <v>14345</v>
      </c>
      <c r="TQM1" t="s">
        <v>14346</v>
      </c>
      <c r="TQN1" t="s">
        <v>14347</v>
      </c>
      <c r="TQO1" t="s">
        <v>14348</v>
      </c>
      <c r="TQP1" t="s">
        <v>14349</v>
      </c>
      <c r="TQQ1" t="s">
        <v>14350</v>
      </c>
      <c r="TQR1" t="s">
        <v>14351</v>
      </c>
      <c r="TQS1" t="s">
        <v>14352</v>
      </c>
      <c r="TQT1" t="s">
        <v>14353</v>
      </c>
      <c r="TQU1" t="s">
        <v>14354</v>
      </c>
      <c r="TQV1" t="s">
        <v>14355</v>
      </c>
      <c r="TQW1" t="s">
        <v>14356</v>
      </c>
      <c r="TQX1" t="s">
        <v>14357</v>
      </c>
      <c r="TQY1" t="s">
        <v>14358</v>
      </c>
      <c r="TQZ1" t="s">
        <v>14359</v>
      </c>
      <c r="TRA1" t="s">
        <v>14360</v>
      </c>
      <c r="TRB1" t="s">
        <v>14361</v>
      </c>
      <c r="TRC1" t="s">
        <v>14362</v>
      </c>
      <c r="TRD1" t="s">
        <v>14363</v>
      </c>
      <c r="TRE1" t="s">
        <v>14364</v>
      </c>
      <c r="TRF1" t="s">
        <v>14365</v>
      </c>
      <c r="TRG1" t="s">
        <v>14366</v>
      </c>
      <c r="TRH1" t="s">
        <v>14367</v>
      </c>
      <c r="TRI1" t="s">
        <v>14368</v>
      </c>
      <c r="TRJ1" t="s">
        <v>14369</v>
      </c>
      <c r="TRK1" t="s">
        <v>14370</v>
      </c>
      <c r="TRL1" t="s">
        <v>14371</v>
      </c>
      <c r="TRM1" t="s">
        <v>14372</v>
      </c>
      <c r="TRN1" t="s">
        <v>14373</v>
      </c>
      <c r="TRO1" t="s">
        <v>14374</v>
      </c>
      <c r="TRP1" t="s">
        <v>14375</v>
      </c>
      <c r="TRQ1" t="s">
        <v>14376</v>
      </c>
      <c r="TRR1" t="s">
        <v>14377</v>
      </c>
      <c r="TRS1" t="s">
        <v>14378</v>
      </c>
      <c r="TRT1" t="s">
        <v>14379</v>
      </c>
      <c r="TRU1" t="s">
        <v>14380</v>
      </c>
      <c r="TRV1" t="s">
        <v>14381</v>
      </c>
      <c r="TRW1" t="s">
        <v>14382</v>
      </c>
      <c r="TRX1" t="s">
        <v>14383</v>
      </c>
      <c r="TRY1" t="s">
        <v>14384</v>
      </c>
      <c r="TRZ1" t="s">
        <v>14385</v>
      </c>
      <c r="TSA1" t="s">
        <v>14386</v>
      </c>
      <c r="TSB1" t="s">
        <v>14387</v>
      </c>
      <c r="TSC1" t="s">
        <v>14388</v>
      </c>
      <c r="TSD1" t="s">
        <v>14389</v>
      </c>
      <c r="TSE1" t="s">
        <v>14390</v>
      </c>
      <c r="TSF1" t="s">
        <v>14391</v>
      </c>
      <c r="TSG1" t="s">
        <v>14392</v>
      </c>
      <c r="TSH1" t="s">
        <v>14393</v>
      </c>
      <c r="TSI1" t="s">
        <v>14394</v>
      </c>
      <c r="TSJ1" t="s">
        <v>14395</v>
      </c>
      <c r="TSK1" t="s">
        <v>14396</v>
      </c>
      <c r="TSL1" t="s">
        <v>14397</v>
      </c>
      <c r="TSM1" t="s">
        <v>14398</v>
      </c>
      <c r="TSN1" t="s">
        <v>14399</v>
      </c>
      <c r="TSO1" t="s">
        <v>14400</v>
      </c>
      <c r="TSP1" t="s">
        <v>14401</v>
      </c>
      <c r="TSQ1" t="s">
        <v>14402</v>
      </c>
      <c r="TSR1" t="s">
        <v>14403</v>
      </c>
      <c r="TSS1" t="s">
        <v>14404</v>
      </c>
      <c r="TST1" t="s">
        <v>14405</v>
      </c>
      <c r="TSU1" t="s">
        <v>14406</v>
      </c>
      <c r="TSV1" t="s">
        <v>14407</v>
      </c>
      <c r="TSW1" t="s">
        <v>14408</v>
      </c>
      <c r="TSX1" t="s">
        <v>14409</v>
      </c>
      <c r="TSY1" t="s">
        <v>14410</v>
      </c>
      <c r="TSZ1" t="s">
        <v>14411</v>
      </c>
      <c r="TTA1" t="s">
        <v>14412</v>
      </c>
      <c r="TTB1" t="s">
        <v>14413</v>
      </c>
      <c r="TTC1" t="s">
        <v>14414</v>
      </c>
      <c r="TTD1" t="s">
        <v>14415</v>
      </c>
      <c r="TTE1" t="s">
        <v>14416</v>
      </c>
      <c r="TTF1" t="s">
        <v>14417</v>
      </c>
      <c r="TTG1" t="s">
        <v>14418</v>
      </c>
      <c r="TTH1" t="s">
        <v>14419</v>
      </c>
      <c r="TTI1" t="s">
        <v>14420</v>
      </c>
      <c r="TTJ1" t="s">
        <v>14421</v>
      </c>
      <c r="TTK1" t="s">
        <v>14422</v>
      </c>
      <c r="TTL1" t="s">
        <v>14423</v>
      </c>
      <c r="TTM1" t="s">
        <v>14424</v>
      </c>
      <c r="TTN1" t="s">
        <v>14425</v>
      </c>
      <c r="TTO1" t="s">
        <v>14426</v>
      </c>
      <c r="TTP1" t="s">
        <v>14427</v>
      </c>
      <c r="TTQ1" t="s">
        <v>14428</v>
      </c>
      <c r="TTR1" t="s">
        <v>14429</v>
      </c>
      <c r="TTS1" t="s">
        <v>14430</v>
      </c>
      <c r="TTT1" t="s">
        <v>14431</v>
      </c>
      <c r="TTU1" t="s">
        <v>14432</v>
      </c>
      <c r="TTV1" t="s">
        <v>14433</v>
      </c>
      <c r="TTW1" t="s">
        <v>14434</v>
      </c>
      <c r="TTX1" t="s">
        <v>14435</v>
      </c>
      <c r="TTY1" t="s">
        <v>14436</v>
      </c>
      <c r="TTZ1" t="s">
        <v>14437</v>
      </c>
      <c r="TUA1" t="s">
        <v>14438</v>
      </c>
      <c r="TUB1" t="s">
        <v>14439</v>
      </c>
      <c r="TUC1" t="s">
        <v>14440</v>
      </c>
      <c r="TUD1" t="s">
        <v>14441</v>
      </c>
      <c r="TUE1" t="s">
        <v>14442</v>
      </c>
      <c r="TUF1" t="s">
        <v>14443</v>
      </c>
      <c r="TUG1" t="s">
        <v>14444</v>
      </c>
      <c r="TUH1" t="s">
        <v>14445</v>
      </c>
      <c r="TUI1" t="s">
        <v>14446</v>
      </c>
      <c r="TUJ1" t="s">
        <v>14447</v>
      </c>
      <c r="TUK1" t="s">
        <v>14448</v>
      </c>
      <c r="TUL1" t="s">
        <v>14449</v>
      </c>
      <c r="TUM1" t="s">
        <v>14450</v>
      </c>
      <c r="TUN1" t="s">
        <v>14451</v>
      </c>
      <c r="TUO1" t="s">
        <v>14452</v>
      </c>
      <c r="TUP1" t="s">
        <v>14453</v>
      </c>
      <c r="TUQ1" t="s">
        <v>14454</v>
      </c>
      <c r="TUR1" t="s">
        <v>14455</v>
      </c>
      <c r="TUS1" t="s">
        <v>14456</v>
      </c>
      <c r="TUT1" t="s">
        <v>14457</v>
      </c>
      <c r="TUU1" t="s">
        <v>14458</v>
      </c>
      <c r="TUV1" t="s">
        <v>14459</v>
      </c>
      <c r="TUW1" t="s">
        <v>14460</v>
      </c>
      <c r="TUX1" t="s">
        <v>14461</v>
      </c>
      <c r="TUY1" t="s">
        <v>14462</v>
      </c>
      <c r="TUZ1" t="s">
        <v>14463</v>
      </c>
      <c r="TVA1" t="s">
        <v>14464</v>
      </c>
      <c r="TVB1" t="s">
        <v>14465</v>
      </c>
      <c r="TVC1" t="s">
        <v>14466</v>
      </c>
      <c r="TVD1" t="s">
        <v>14467</v>
      </c>
      <c r="TVE1" t="s">
        <v>14468</v>
      </c>
      <c r="TVF1" t="s">
        <v>14469</v>
      </c>
      <c r="TVG1" t="s">
        <v>14470</v>
      </c>
      <c r="TVH1" t="s">
        <v>14471</v>
      </c>
      <c r="TVI1" t="s">
        <v>14472</v>
      </c>
      <c r="TVJ1" t="s">
        <v>14473</v>
      </c>
      <c r="TVK1" t="s">
        <v>14474</v>
      </c>
      <c r="TVL1" t="s">
        <v>14475</v>
      </c>
      <c r="TVM1" t="s">
        <v>14476</v>
      </c>
      <c r="TVN1" t="s">
        <v>14477</v>
      </c>
      <c r="TVO1" t="s">
        <v>14478</v>
      </c>
      <c r="TVP1" t="s">
        <v>14479</v>
      </c>
      <c r="TVQ1" t="s">
        <v>14480</v>
      </c>
      <c r="TVR1" t="s">
        <v>14481</v>
      </c>
      <c r="TVS1" t="s">
        <v>14482</v>
      </c>
      <c r="TVT1" t="s">
        <v>14483</v>
      </c>
      <c r="TVU1" t="s">
        <v>14484</v>
      </c>
      <c r="TVV1" t="s">
        <v>14485</v>
      </c>
      <c r="TVW1" t="s">
        <v>14486</v>
      </c>
      <c r="TVX1" t="s">
        <v>14487</v>
      </c>
      <c r="TVY1" t="s">
        <v>14488</v>
      </c>
      <c r="TVZ1" t="s">
        <v>14489</v>
      </c>
      <c r="TWA1" t="s">
        <v>14490</v>
      </c>
      <c r="TWB1" t="s">
        <v>14491</v>
      </c>
      <c r="TWC1" t="s">
        <v>14492</v>
      </c>
      <c r="TWD1" t="s">
        <v>14493</v>
      </c>
      <c r="TWE1" t="s">
        <v>14494</v>
      </c>
      <c r="TWF1" t="s">
        <v>14495</v>
      </c>
      <c r="TWG1" t="s">
        <v>14496</v>
      </c>
      <c r="TWH1" t="s">
        <v>14497</v>
      </c>
      <c r="TWI1" t="s">
        <v>14498</v>
      </c>
      <c r="TWJ1" t="s">
        <v>14499</v>
      </c>
      <c r="TWK1" t="s">
        <v>14500</v>
      </c>
      <c r="TWL1" t="s">
        <v>14501</v>
      </c>
      <c r="TWM1" t="s">
        <v>14502</v>
      </c>
      <c r="TWN1" t="s">
        <v>14503</v>
      </c>
      <c r="TWO1" t="s">
        <v>14504</v>
      </c>
      <c r="TWP1" t="s">
        <v>14505</v>
      </c>
      <c r="TWQ1" t="s">
        <v>14506</v>
      </c>
      <c r="TWR1" t="s">
        <v>14507</v>
      </c>
      <c r="TWS1" t="s">
        <v>14508</v>
      </c>
      <c r="TWT1" t="s">
        <v>14509</v>
      </c>
      <c r="TWU1" t="s">
        <v>14510</v>
      </c>
      <c r="TWV1" t="s">
        <v>14511</v>
      </c>
      <c r="TWW1" t="s">
        <v>14512</v>
      </c>
      <c r="TWX1" t="s">
        <v>14513</v>
      </c>
      <c r="TWY1" t="s">
        <v>14514</v>
      </c>
      <c r="TWZ1" t="s">
        <v>14515</v>
      </c>
      <c r="TXA1" t="s">
        <v>14516</v>
      </c>
      <c r="TXB1" t="s">
        <v>14517</v>
      </c>
      <c r="TXC1" t="s">
        <v>14518</v>
      </c>
      <c r="TXD1" t="s">
        <v>14519</v>
      </c>
      <c r="TXE1" t="s">
        <v>14520</v>
      </c>
      <c r="TXF1" t="s">
        <v>14521</v>
      </c>
      <c r="TXG1" t="s">
        <v>14522</v>
      </c>
      <c r="TXH1" t="s">
        <v>14523</v>
      </c>
      <c r="TXI1" t="s">
        <v>14524</v>
      </c>
      <c r="TXJ1" t="s">
        <v>14525</v>
      </c>
      <c r="TXK1" t="s">
        <v>14526</v>
      </c>
      <c r="TXL1" t="s">
        <v>14527</v>
      </c>
      <c r="TXM1" t="s">
        <v>14528</v>
      </c>
      <c r="TXN1" t="s">
        <v>14529</v>
      </c>
      <c r="TXO1" t="s">
        <v>14530</v>
      </c>
      <c r="TXP1" t="s">
        <v>14531</v>
      </c>
      <c r="TXQ1" t="s">
        <v>14532</v>
      </c>
      <c r="TXR1" t="s">
        <v>14533</v>
      </c>
      <c r="TXS1" t="s">
        <v>14534</v>
      </c>
      <c r="TXT1" t="s">
        <v>14535</v>
      </c>
      <c r="TXU1" t="s">
        <v>14536</v>
      </c>
      <c r="TXV1" t="s">
        <v>14537</v>
      </c>
      <c r="TXW1" t="s">
        <v>14538</v>
      </c>
      <c r="TXX1" t="s">
        <v>14539</v>
      </c>
      <c r="TXY1" t="s">
        <v>14540</v>
      </c>
      <c r="TXZ1" t="s">
        <v>14541</v>
      </c>
      <c r="TYA1" t="s">
        <v>14542</v>
      </c>
      <c r="TYB1" t="s">
        <v>14543</v>
      </c>
      <c r="TYC1" t="s">
        <v>14544</v>
      </c>
      <c r="TYD1" t="s">
        <v>14545</v>
      </c>
      <c r="TYE1" t="s">
        <v>14546</v>
      </c>
      <c r="TYF1" t="s">
        <v>14547</v>
      </c>
      <c r="TYG1" t="s">
        <v>14548</v>
      </c>
      <c r="TYH1" t="s">
        <v>14549</v>
      </c>
      <c r="TYI1" t="s">
        <v>14550</v>
      </c>
      <c r="TYJ1" t="s">
        <v>14551</v>
      </c>
      <c r="TYK1" t="s">
        <v>14552</v>
      </c>
      <c r="TYL1" t="s">
        <v>14553</v>
      </c>
      <c r="TYM1" t="s">
        <v>14554</v>
      </c>
      <c r="TYN1" t="s">
        <v>14555</v>
      </c>
      <c r="TYO1" t="s">
        <v>14556</v>
      </c>
      <c r="TYP1" t="s">
        <v>14557</v>
      </c>
      <c r="TYQ1" t="s">
        <v>14558</v>
      </c>
      <c r="TYR1" t="s">
        <v>14559</v>
      </c>
      <c r="TYS1" t="s">
        <v>14560</v>
      </c>
      <c r="TYT1" t="s">
        <v>14561</v>
      </c>
      <c r="TYU1" t="s">
        <v>14562</v>
      </c>
      <c r="TYV1" t="s">
        <v>14563</v>
      </c>
      <c r="TYW1" t="s">
        <v>14564</v>
      </c>
      <c r="TYX1" t="s">
        <v>14565</v>
      </c>
      <c r="TYY1" t="s">
        <v>14566</v>
      </c>
      <c r="TYZ1" t="s">
        <v>14567</v>
      </c>
      <c r="TZA1" t="s">
        <v>14568</v>
      </c>
      <c r="TZB1" t="s">
        <v>14569</v>
      </c>
      <c r="TZC1" t="s">
        <v>14570</v>
      </c>
      <c r="TZD1" t="s">
        <v>14571</v>
      </c>
      <c r="TZE1" t="s">
        <v>14572</v>
      </c>
      <c r="TZF1" t="s">
        <v>14573</v>
      </c>
      <c r="TZG1" t="s">
        <v>14574</v>
      </c>
      <c r="TZH1" t="s">
        <v>14575</v>
      </c>
      <c r="TZI1" t="s">
        <v>14576</v>
      </c>
      <c r="TZJ1" t="s">
        <v>14577</v>
      </c>
      <c r="TZK1" t="s">
        <v>14578</v>
      </c>
      <c r="TZL1" t="s">
        <v>14579</v>
      </c>
      <c r="TZM1" t="s">
        <v>14580</v>
      </c>
      <c r="TZN1" t="s">
        <v>14581</v>
      </c>
      <c r="TZO1" t="s">
        <v>14582</v>
      </c>
      <c r="TZP1" t="s">
        <v>14583</v>
      </c>
      <c r="TZQ1" t="s">
        <v>14584</v>
      </c>
      <c r="TZR1" t="s">
        <v>14585</v>
      </c>
      <c r="TZS1" t="s">
        <v>14586</v>
      </c>
      <c r="TZT1" t="s">
        <v>14587</v>
      </c>
      <c r="TZU1" t="s">
        <v>14588</v>
      </c>
      <c r="TZV1" t="s">
        <v>14589</v>
      </c>
      <c r="TZW1" t="s">
        <v>14590</v>
      </c>
      <c r="TZX1" t="s">
        <v>14591</v>
      </c>
      <c r="TZY1" t="s">
        <v>14592</v>
      </c>
      <c r="TZZ1" t="s">
        <v>14593</v>
      </c>
      <c r="UAA1" t="s">
        <v>14594</v>
      </c>
      <c r="UAB1" t="s">
        <v>14595</v>
      </c>
      <c r="UAC1" t="s">
        <v>14596</v>
      </c>
      <c r="UAD1" t="s">
        <v>14597</v>
      </c>
      <c r="UAE1" t="s">
        <v>14598</v>
      </c>
      <c r="UAF1" t="s">
        <v>14599</v>
      </c>
      <c r="UAG1" t="s">
        <v>14600</v>
      </c>
      <c r="UAH1" t="s">
        <v>14601</v>
      </c>
      <c r="UAI1" t="s">
        <v>14602</v>
      </c>
      <c r="UAJ1" t="s">
        <v>14603</v>
      </c>
      <c r="UAK1" t="s">
        <v>14604</v>
      </c>
      <c r="UAL1" t="s">
        <v>14605</v>
      </c>
      <c r="UAM1" t="s">
        <v>14606</v>
      </c>
      <c r="UAN1" t="s">
        <v>14607</v>
      </c>
      <c r="UAO1" t="s">
        <v>14608</v>
      </c>
      <c r="UAP1" t="s">
        <v>14609</v>
      </c>
      <c r="UAQ1" t="s">
        <v>14610</v>
      </c>
      <c r="UAR1" t="s">
        <v>14611</v>
      </c>
      <c r="UAS1" t="s">
        <v>14612</v>
      </c>
      <c r="UAT1" t="s">
        <v>14613</v>
      </c>
      <c r="UAU1" t="s">
        <v>14614</v>
      </c>
      <c r="UAV1" t="s">
        <v>14615</v>
      </c>
      <c r="UAW1" t="s">
        <v>14616</v>
      </c>
      <c r="UAX1" t="s">
        <v>14617</v>
      </c>
      <c r="UAY1" t="s">
        <v>14618</v>
      </c>
      <c r="UAZ1" t="s">
        <v>14619</v>
      </c>
      <c r="UBA1" t="s">
        <v>14620</v>
      </c>
      <c r="UBB1" t="s">
        <v>14621</v>
      </c>
      <c r="UBC1" t="s">
        <v>14622</v>
      </c>
      <c r="UBD1" t="s">
        <v>14623</v>
      </c>
      <c r="UBE1" t="s">
        <v>14624</v>
      </c>
      <c r="UBF1" t="s">
        <v>14625</v>
      </c>
      <c r="UBG1" t="s">
        <v>14626</v>
      </c>
      <c r="UBH1" t="s">
        <v>14627</v>
      </c>
      <c r="UBI1" t="s">
        <v>14628</v>
      </c>
      <c r="UBJ1" t="s">
        <v>14629</v>
      </c>
      <c r="UBK1" t="s">
        <v>14630</v>
      </c>
      <c r="UBL1" t="s">
        <v>14631</v>
      </c>
      <c r="UBM1" t="s">
        <v>14632</v>
      </c>
      <c r="UBN1" t="s">
        <v>14633</v>
      </c>
      <c r="UBO1" t="s">
        <v>14634</v>
      </c>
      <c r="UBP1" t="s">
        <v>14635</v>
      </c>
      <c r="UBQ1" t="s">
        <v>14636</v>
      </c>
      <c r="UBR1" t="s">
        <v>14637</v>
      </c>
      <c r="UBS1" t="s">
        <v>14638</v>
      </c>
      <c r="UBT1" t="s">
        <v>14639</v>
      </c>
      <c r="UBU1" t="s">
        <v>14640</v>
      </c>
      <c r="UBV1" t="s">
        <v>14641</v>
      </c>
      <c r="UBW1" t="s">
        <v>14642</v>
      </c>
      <c r="UBX1" t="s">
        <v>14643</v>
      </c>
      <c r="UBY1" t="s">
        <v>14644</v>
      </c>
      <c r="UBZ1" t="s">
        <v>14645</v>
      </c>
      <c r="UCA1" t="s">
        <v>14646</v>
      </c>
      <c r="UCB1" t="s">
        <v>14647</v>
      </c>
      <c r="UCC1" t="s">
        <v>14648</v>
      </c>
      <c r="UCD1" t="s">
        <v>14649</v>
      </c>
      <c r="UCE1" t="s">
        <v>14650</v>
      </c>
      <c r="UCF1" t="s">
        <v>14651</v>
      </c>
      <c r="UCG1" t="s">
        <v>14652</v>
      </c>
      <c r="UCH1" t="s">
        <v>14653</v>
      </c>
      <c r="UCI1" t="s">
        <v>14654</v>
      </c>
      <c r="UCJ1" t="s">
        <v>14655</v>
      </c>
      <c r="UCK1" t="s">
        <v>14656</v>
      </c>
      <c r="UCL1" t="s">
        <v>14657</v>
      </c>
      <c r="UCM1" t="s">
        <v>14658</v>
      </c>
      <c r="UCN1" t="s">
        <v>14659</v>
      </c>
      <c r="UCO1" t="s">
        <v>14660</v>
      </c>
      <c r="UCP1" t="s">
        <v>14661</v>
      </c>
      <c r="UCQ1" t="s">
        <v>14662</v>
      </c>
      <c r="UCR1" t="s">
        <v>14663</v>
      </c>
      <c r="UCS1" t="s">
        <v>14664</v>
      </c>
      <c r="UCT1" t="s">
        <v>14665</v>
      </c>
      <c r="UCU1" t="s">
        <v>14666</v>
      </c>
      <c r="UCV1" t="s">
        <v>14667</v>
      </c>
      <c r="UCW1" t="s">
        <v>14668</v>
      </c>
      <c r="UCX1" t="s">
        <v>14669</v>
      </c>
      <c r="UCY1" t="s">
        <v>14670</v>
      </c>
      <c r="UCZ1" t="s">
        <v>14671</v>
      </c>
      <c r="UDA1" t="s">
        <v>14672</v>
      </c>
      <c r="UDB1" t="s">
        <v>14673</v>
      </c>
      <c r="UDC1" t="s">
        <v>14674</v>
      </c>
      <c r="UDD1" t="s">
        <v>14675</v>
      </c>
      <c r="UDE1" t="s">
        <v>14676</v>
      </c>
      <c r="UDF1" t="s">
        <v>14677</v>
      </c>
      <c r="UDG1" t="s">
        <v>14678</v>
      </c>
      <c r="UDH1" t="s">
        <v>14679</v>
      </c>
      <c r="UDI1" t="s">
        <v>14680</v>
      </c>
      <c r="UDJ1" t="s">
        <v>14681</v>
      </c>
      <c r="UDK1" t="s">
        <v>14682</v>
      </c>
      <c r="UDL1" t="s">
        <v>14683</v>
      </c>
      <c r="UDM1" t="s">
        <v>14684</v>
      </c>
      <c r="UDN1" t="s">
        <v>14685</v>
      </c>
      <c r="UDO1" t="s">
        <v>14686</v>
      </c>
      <c r="UDP1" t="s">
        <v>14687</v>
      </c>
      <c r="UDQ1" t="s">
        <v>14688</v>
      </c>
      <c r="UDR1" t="s">
        <v>14689</v>
      </c>
      <c r="UDS1" t="s">
        <v>14690</v>
      </c>
      <c r="UDT1" t="s">
        <v>14691</v>
      </c>
      <c r="UDU1" t="s">
        <v>14692</v>
      </c>
      <c r="UDV1" t="s">
        <v>14693</v>
      </c>
      <c r="UDW1" t="s">
        <v>14694</v>
      </c>
      <c r="UDX1" t="s">
        <v>14695</v>
      </c>
      <c r="UDY1" t="s">
        <v>14696</v>
      </c>
      <c r="UDZ1" t="s">
        <v>14697</v>
      </c>
      <c r="UEA1" t="s">
        <v>14698</v>
      </c>
      <c r="UEB1" t="s">
        <v>14699</v>
      </c>
      <c r="UEC1" t="s">
        <v>14700</v>
      </c>
      <c r="UED1" t="s">
        <v>14701</v>
      </c>
      <c r="UEE1" t="s">
        <v>14702</v>
      </c>
      <c r="UEF1" t="s">
        <v>14703</v>
      </c>
      <c r="UEG1" t="s">
        <v>14704</v>
      </c>
      <c r="UEH1" t="s">
        <v>14705</v>
      </c>
      <c r="UEI1" t="s">
        <v>14706</v>
      </c>
      <c r="UEJ1" t="s">
        <v>14707</v>
      </c>
      <c r="UEK1" t="s">
        <v>14708</v>
      </c>
      <c r="UEL1" t="s">
        <v>14709</v>
      </c>
      <c r="UEM1" t="s">
        <v>14710</v>
      </c>
      <c r="UEN1" t="s">
        <v>14711</v>
      </c>
      <c r="UEO1" t="s">
        <v>14712</v>
      </c>
      <c r="UEP1" t="s">
        <v>14713</v>
      </c>
      <c r="UEQ1" t="s">
        <v>14714</v>
      </c>
      <c r="UER1" t="s">
        <v>14715</v>
      </c>
      <c r="UES1" t="s">
        <v>14716</v>
      </c>
      <c r="UET1" t="s">
        <v>14717</v>
      </c>
      <c r="UEU1" t="s">
        <v>14718</v>
      </c>
      <c r="UEV1" t="s">
        <v>14719</v>
      </c>
      <c r="UEW1" t="s">
        <v>14720</v>
      </c>
      <c r="UEX1" t="s">
        <v>14721</v>
      </c>
      <c r="UEY1" t="s">
        <v>14722</v>
      </c>
      <c r="UEZ1" t="s">
        <v>14723</v>
      </c>
      <c r="UFA1" t="s">
        <v>14724</v>
      </c>
      <c r="UFB1" t="s">
        <v>14725</v>
      </c>
      <c r="UFC1" t="s">
        <v>14726</v>
      </c>
      <c r="UFD1" t="s">
        <v>14727</v>
      </c>
      <c r="UFE1" t="s">
        <v>14728</v>
      </c>
      <c r="UFF1" t="s">
        <v>14729</v>
      </c>
      <c r="UFG1" t="s">
        <v>14730</v>
      </c>
      <c r="UFH1" t="s">
        <v>14731</v>
      </c>
      <c r="UFI1" t="s">
        <v>14732</v>
      </c>
      <c r="UFJ1" t="s">
        <v>14733</v>
      </c>
      <c r="UFK1" t="s">
        <v>14734</v>
      </c>
      <c r="UFL1" t="s">
        <v>14735</v>
      </c>
      <c r="UFM1" t="s">
        <v>14736</v>
      </c>
      <c r="UFN1" t="s">
        <v>14737</v>
      </c>
      <c r="UFO1" t="s">
        <v>14738</v>
      </c>
      <c r="UFP1" t="s">
        <v>14739</v>
      </c>
      <c r="UFQ1" t="s">
        <v>14740</v>
      </c>
      <c r="UFR1" t="s">
        <v>14741</v>
      </c>
      <c r="UFS1" t="s">
        <v>14742</v>
      </c>
      <c r="UFT1" t="s">
        <v>14743</v>
      </c>
      <c r="UFU1" t="s">
        <v>14744</v>
      </c>
      <c r="UFV1" t="s">
        <v>14745</v>
      </c>
      <c r="UFW1" t="s">
        <v>14746</v>
      </c>
      <c r="UFX1" t="s">
        <v>14747</v>
      </c>
      <c r="UFY1" t="s">
        <v>14748</v>
      </c>
      <c r="UFZ1" t="s">
        <v>14749</v>
      </c>
      <c r="UGA1" t="s">
        <v>14750</v>
      </c>
      <c r="UGB1" t="s">
        <v>14751</v>
      </c>
      <c r="UGC1" t="s">
        <v>14752</v>
      </c>
      <c r="UGD1" t="s">
        <v>14753</v>
      </c>
      <c r="UGE1" t="s">
        <v>14754</v>
      </c>
      <c r="UGF1" t="s">
        <v>14755</v>
      </c>
      <c r="UGG1" t="s">
        <v>14756</v>
      </c>
      <c r="UGH1" t="s">
        <v>14757</v>
      </c>
      <c r="UGI1" t="s">
        <v>14758</v>
      </c>
      <c r="UGJ1" t="s">
        <v>14759</v>
      </c>
      <c r="UGK1" t="s">
        <v>14760</v>
      </c>
      <c r="UGL1" t="s">
        <v>14761</v>
      </c>
      <c r="UGM1" t="s">
        <v>14762</v>
      </c>
      <c r="UGN1" t="s">
        <v>14763</v>
      </c>
      <c r="UGO1" t="s">
        <v>14764</v>
      </c>
      <c r="UGP1" t="s">
        <v>14765</v>
      </c>
      <c r="UGQ1" t="s">
        <v>14766</v>
      </c>
      <c r="UGR1" t="s">
        <v>14767</v>
      </c>
      <c r="UGS1" t="s">
        <v>14768</v>
      </c>
      <c r="UGT1" t="s">
        <v>14769</v>
      </c>
      <c r="UGU1" t="s">
        <v>14770</v>
      </c>
      <c r="UGV1" t="s">
        <v>14771</v>
      </c>
      <c r="UGW1" t="s">
        <v>14772</v>
      </c>
      <c r="UGX1" t="s">
        <v>14773</v>
      </c>
      <c r="UGY1" t="s">
        <v>14774</v>
      </c>
      <c r="UGZ1" t="s">
        <v>14775</v>
      </c>
      <c r="UHA1" t="s">
        <v>14776</v>
      </c>
      <c r="UHB1" t="s">
        <v>14777</v>
      </c>
      <c r="UHC1" t="s">
        <v>14778</v>
      </c>
      <c r="UHD1" t="s">
        <v>14779</v>
      </c>
      <c r="UHE1" t="s">
        <v>14780</v>
      </c>
      <c r="UHF1" t="s">
        <v>14781</v>
      </c>
      <c r="UHG1" t="s">
        <v>14782</v>
      </c>
      <c r="UHH1" t="s">
        <v>14783</v>
      </c>
      <c r="UHI1" t="s">
        <v>14784</v>
      </c>
      <c r="UHJ1" t="s">
        <v>14785</v>
      </c>
      <c r="UHK1" t="s">
        <v>14786</v>
      </c>
      <c r="UHL1" t="s">
        <v>14787</v>
      </c>
      <c r="UHM1" t="s">
        <v>14788</v>
      </c>
      <c r="UHN1" t="s">
        <v>14789</v>
      </c>
      <c r="UHO1" t="s">
        <v>14790</v>
      </c>
      <c r="UHP1" t="s">
        <v>14791</v>
      </c>
      <c r="UHQ1" t="s">
        <v>14792</v>
      </c>
      <c r="UHR1" t="s">
        <v>14793</v>
      </c>
      <c r="UHS1" t="s">
        <v>14794</v>
      </c>
      <c r="UHT1" t="s">
        <v>14795</v>
      </c>
      <c r="UHU1" t="s">
        <v>14796</v>
      </c>
      <c r="UHV1" t="s">
        <v>14797</v>
      </c>
      <c r="UHW1" t="s">
        <v>14798</v>
      </c>
      <c r="UHX1" t="s">
        <v>14799</v>
      </c>
      <c r="UHY1" t="s">
        <v>14800</v>
      </c>
      <c r="UHZ1" t="s">
        <v>14801</v>
      </c>
      <c r="UIA1" t="s">
        <v>14802</v>
      </c>
      <c r="UIB1" t="s">
        <v>14803</v>
      </c>
      <c r="UIC1" t="s">
        <v>14804</v>
      </c>
      <c r="UID1" t="s">
        <v>14805</v>
      </c>
      <c r="UIE1" t="s">
        <v>14806</v>
      </c>
      <c r="UIF1" t="s">
        <v>14807</v>
      </c>
      <c r="UIG1" t="s">
        <v>14808</v>
      </c>
      <c r="UIH1" t="s">
        <v>14809</v>
      </c>
      <c r="UII1" t="s">
        <v>14810</v>
      </c>
      <c r="UIJ1" t="s">
        <v>14811</v>
      </c>
      <c r="UIK1" t="s">
        <v>14812</v>
      </c>
      <c r="UIL1" t="s">
        <v>14813</v>
      </c>
      <c r="UIM1" t="s">
        <v>14814</v>
      </c>
      <c r="UIN1" t="s">
        <v>14815</v>
      </c>
      <c r="UIO1" t="s">
        <v>14816</v>
      </c>
      <c r="UIP1" t="s">
        <v>14817</v>
      </c>
      <c r="UIQ1" t="s">
        <v>14818</v>
      </c>
      <c r="UIR1" t="s">
        <v>14819</v>
      </c>
      <c r="UIS1" t="s">
        <v>14820</v>
      </c>
      <c r="UIT1" t="s">
        <v>14821</v>
      </c>
      <c r="UIU1" t="s">
        <v>14822</v>
      </c>
      <c r="UIV1" t="s">
        <v>14823</v>
      </c>
      <c r="UIW1" t="s">
        <v>14824</v>
      </c>
      <c r="UIX1" t="s">
        <v>14825</v>
      </c>
      <c r="UIY1" t="s">
        <v>14826</v>
      </c>
      <c r="UIZ1" t="s">
        <v>14827</v>
      </c>
      <c r="UJA1" t="s">
        <v>14828</v>
      </c>
      <c r="UJB1" t="s">
        <v>14829</v>
      </c>
      <c r="UJC1" t="s">
        <v>14830</v>
      </c>
      <c r="UJD1" t="s">
        <v>14831</v>
      </c>
      <c r="UJE1" t="s">
        <v>14832</v>
      </c>
      <c r="UJF1" t="s">
        <v>14833</v>
      </c>
      <c r="UJG1" t="s">
        <v>14834</v>
      </c>
      <c r="UJH1" t="s">
        <v>14835</v>
      </c>
      <c r="UJI1" t="s">
        <v>14836</v>
      </c>
      <c r="UJJ1" t="s">
        <v>14837</v>
      </c>
      <c r="UJK1" t="s">
        <v>14838</v>
      </c>
      <c r="UJL1" t="s">
        <v>14839</v>
      </c>
      <c r="UJM1" t="s">
        <v>14840</v>
      </c>
      <c r="UJN1" t="s">
        <v>14841</v>
      </c>
      <c r="UJO1" t="s">
        <v>14842</v>
      </c>
      <c r="UJP1" t="s">
        <v>14843</v>
      </c>
      <c r="UJQ1" t="s">
        <v>14844</v>
      </c>
      <c r="UJR1" t="s">
        <v>14845</v>
      </c>
      <c r="UJS1" t="s">
        <v>14846</v>
      </c>
      <c r="UJT1" t="s">
        <v>14847</v>
      </c>
      <c r="UJU1" t="s">
        <v>14848</v>
      </c>
      <c r="UJV1" t="s">
        <v>14849</v>
      </c>
      <c r="UJW1" t="s">
        <v>14850</v>
      </c>
      <c r="UJX1" t="s">
        <v>14851</v>
      </c>
      <c r="UJY1" t="s">
        <v>14852</v>
      </c>
      <c r="UJZ1" t="s">
        <v>14853</v>
      </c>
      <c r="UKA1" t="s">
        <v>14854</v>
      </c>
      <c r="UKB1" t="s">
        <v>14855</v>
      </c>
      <c r="UKC1" t="s">
        <v>14856</v>
      </c>
      <c r="UKD1" t="s">
        <v>14857</v>
      </c>
      <c r="UKE1" t="s">
        <v>14858</v>
      </c>
      <c r="UKF1" t="s">
        <v>14859</v>
      </c>
      <c r="UKG1" t="s">
        <v>14860</v>
      </c>
      <c r="UKH1" t="s">
        <v>14861</v>
      </c>
      <c r="UKI1" t="s">
        <v>14862</v>
      </c>
      <c r="UKJ1" t="s">
        <v>14863</v>
      </c>
      <c r="UKK1" t="s">
        <v>14864</v>
      </c>
      <c r="UKL1" t="s">
        <v>14865</v>
      </c>
      <c r="UKM1" t="s">
        <v>14866</v>
      </c>
      <c r="UKN1" t="s">
        <v>14867</v>
      </c>
      <c r="UKO1" t="s">
        <v>14868</v>
      </c>
      <c r="UKP1" t="s">
        <v>14869</v>
      </c>
      <c r="UKQ1" t="s">
        <v>14870</v>
      </c>
      <c r="UKR1" t="s">
        <v>14871</v>
      </c>
      <c r="UKS1" t="s">
        <v>14872</v>
      </c>
      <c r="UKT1" t="s">
        <v>14873</v>
      </c>
      <c r="UKU1" t="s">
        <v>14874</v>
      </c>
      <c r="UKV1" t="s">
        <v>14875</v>
      </c>
      <c r="UKW1" t="s">
        <v>14876</v>
      </c>
      <c r="UKX1" t="s">
        <v>14877</v>
      </c>
      <c r="UKY1" t="s">
        <v>14878</v>
      </c>
      <c r="UKZ1" t="s">
        <v>14879</v>
      </c>
      <c r="ULA1" t="s">
        <v>14880</v>
      </c>
      <c r="ULB1" t="s">
        <v>14881</v>
      </c>
      <c r="ULC1" t="s">
        <v>14882</v>
      </c>
      <c r="ULD1" t="s">
        <v>14883</v>
      </c>
      <c r="ULE1" t="s">
        <v>14884</v>
      </c>
      <c r="ULF1" t="s">
        <v>14885</v>
      </c>
      <c r="ULG1" t="s">
        <v>14886</v>
      </c>
      <c r="ULH1" t="s">
        <v>14887</v>
      </c>
      <c r="ULI1" t="s">
        <v>14888</v>
      </c>
      <c r="ULJ1" t="s">
        <v>14889</v>
      </c>
      <c r="ULK1" t="s">
        <v>14890</v>
      </c>
      <c r="ULL1" t="s">
        <v>14891</v>
      </c>
      <c r="ULM1" t="s">
        <v>14892</v>
      </c>
      <c r="ULN1" t="s">
        <v>14893</v>
      </c>
      <c r="ULO1" t="s">
        <v>14894</v>
      </c>
      <c r="ULP1" t="s">
        <v>14895</v>
      </c>
      <c r="ULQ1" t="s">
        <v>14896</v>
      </c>
      <c r="ULR1" t="s">
        <v>14897</v>
      </c>
      <c r="ULS1" t="s">
        <v>14898</v>
      </c>
      <c r="ULT1" t="s">
        <v>14899</v>
      </c>
      <c r="ULU1" t="s">
        <v>14900</v>
      </c>
      <c r="ULV1" t="s">
        <v>14901</v>
      </c>
      <c r="ULW1" t="s">
        <v>14902</v>
      </c>
      <c r="ULX1" t="s">
        <v>14903</v>
      </c>
      <c r="ULY1" t="s">
        <v>14904</v>
      </c>
      <c r="ULZ1" t="s">
        <v>14905</v>
      </c>
      <c r="UMA1" t="s">
        <v>14906</v>
      </c>
      <c r="UMB1" t="s">
        <v>14907</v>
      </c>
      <c r="UMC1" t="s">
        <v>14908</v>
      </c>
      <c r="UMD1" t="s">
        <v>14909</v>
      </c>
      <c r="UME1" t="s">
        <v>14910</v>
      </c>
      <c r="UMF1" t="s">
        <v>14911</v>
      </c>
      <c r="UMG1" t="s">
        <v>14912</v>
      </c>
      <c r="UMH1" t="s">
        <v>14913</v>
      </c>
      <c r="UMI1" t="s">
        <v>14914</v>
      </c>
      <c r="UMJ1" t="s">
        <v>14915</v>
      </c>
      <c r="UMK1" t="s">
        <v>14916</v>
      </c>
      <c r="UML1" t="s">
        <v>14917</v>
      </c>
      <c r="UMM1" t="s">
        <v>14918</v>
      </c>
      <c r="UMN1" t="s">
        <v>14919</v>
      </c>
      <c r="UMO1" t="s">
        <v>14920</v>
      </c>
      <c r="UMP1" t="s">
        <v>14921</v>
      </c>
      <c r="UMQ1" t="s">
        <v>14922</v>
      </c>
      <c r="UMR1" t="s">
        <v>14923</v>
      </c>
      <c r="UMS1" t="s">
        <v>14924</v>
      </c>
      <c r="UMT1" t="s">
        <v>14925</v>
      </c>
      <c r="UMU1" t="s">
        <v>14926</v>
      </c>
      <c r="UMV1" t="s">
        <v>14927</v>
      </c>
      <c r="UMW1" t="s">
        <v>14928</v>
      </c>
      <c r="UMX1" t="s">
        <v>14929</v>
      </c>
      <c r="UMY1" t="s">
        <v>14930</v>
      </c>
      <c r="UMZ1" t="s">
        <v>14931</v>
      </c>
      <c r="UNA1" t="s">
        <v>14932</v>
      </c>
      <c r="UNB1" t="s">
        <v>14933</v>
      </c>
      <c r="UNC1" t="s">
        <v>14934</v>
      </c>
      <c r="UND1" t="s">
        <v>14935</v>
      </c>
      <c r="UNE1" t="s">
        <v>14936</v>
      </c>
      <c r="UNF1" t="s">
        <v>14937</v>
      </c>
      <c r="UNG1" t="s">
        <v>14938</v>
      </c>
      <c r="UNH1" t="s">
        <v>14939</v>
      </c>
      <c r="UNI1" t="s">
        <v>14940</v>
      </c>
      <c r="UNJ1" t="s">
        <v>14941</v>
      </c>
      <c r="UNK1" t="s">
        <v>14942</v>
      </c>
      <c r="UNL1" t="s">
        <v>14943</v>
      </c>
      <c r="UNM1" t="s">
        <v>14944</v>
      </c>
      <c r="UNN1" t="s">
        <v>14945</v>
      </c>
      <c r="UNO1" t="s">
        <v>14946</v>
      </c>
      <c r="UNP1" t="s">
        <v>14947</v>
      </c>
      <c r="UNQ1" t="s">
        <v>14948</v>
      </c>
      <c r="UNR1" t="s">
        <v>14949</v>
      </c>
      <c r="UNS1" t="s">
        <v>14950</v>
      </c>
      <c r="UNT1" t="s">
        <v>14951</v>
      </c>
      <c r="UNU1" t="s">
        <v>14952</v>
      </c>
      <c r="UNV1" t="s">
        <v>14953</v>
      </c>
      <c r="UNW1" t="s">
        <v>14954</v>
      </c>
      <c r="UNX1" t="s">
        <v>14955</v>
      </c>
      <c r="UNY1" t="s">
        <v>14956</v>
      </c>
      <c r="UNZ1" t="s">
        <v>14957</v>
      </c>
      <c r="UOA1" t="s">
        <v>14958</v>
      </c>
      <c r="UOB1" t="s">
        <v>14959</v>
      </c>
      <c r="UOC1" t="s">
        <v>14960</v>
      </c>
      <c r="UOD1" t="s">
        <v>14961</v>
      </c>
      <c r="UOE1" t="s">
        <v>14962</v>
      </c>
      <c r="UOF1" t="s">
        <v>14963</v>
      </c>
      <c r="UOG1" t="s">
        <v>14964</v>
      </c>
      <c r="UOH1" t="s">
        <v>14965</v>
      </c>
      <c r="UOI1" t="s">
        <v>14966</v>
      </c>
      <c r="UOJ1" t="s">
        <v>14967</v>
      </c>
      <c r="UOK1" t="s">
        <v>14968</v>
      </c>
      <c r="UOL1" t="s">
        <v>14969</v>
      </c>
      <c r="UOM1" t="s">
        <v>14970</v>
      </c>
      <c r="UON1" t="s">
        <v>14971</v>
      </c>
      <c r="UOO1" t="s">
        <v>14972</v>
      </c>
      <c r="UOP1" t="s">
        <v>14973</v>
      </c>
      <c r="UOQ1" t="s">
        <v>14974</v>
      </c>
      <c r="UOR1" t="s">
        <v>14975</v>
      </c>
      <c r="UOS1" t="s">
        <v>14976</v>
      </c>
      <c r="UOT1" t="s">
        <v>14977</v>
      </c>
      <c r="UOU1" t="s">
        <v>14978</v>
      </c>
      <c r="UOV1" t="s">
        <v>14979</v>
      </c>
      <c r="UOW1" t="s">
        <v>14980</v>
      </c>
      <c r="UOX1" t="s">
        <v>14981</v>
      </c>
      <c r="UOY1" t="s">
        <v>14982</v>
      </c>
      <c r="UOZ1" t="s">
        <v>14983</v>
      </c>
      <c r="UPA1" t="s">
        <v>14984</v>
      </c>
      <c r="UPB1" t="s">
        <v>14985</v>
      </c>
      <c r="UPC1" t="s">
        <v>14986</v>
      </c>
      <c r="UPD1" t="s">
        <v>14987</v>
      </c>
      <c r="UPE1" t="s">
        <v>14988</v>
      </c>
      <c r="UPF1" t="s">
        <v>14989</v>
      </c>
      <c r="UPG1" t="s">
        <v>14990</v>
      </c>
      <c r="UPH1" t="s">
        <v>14991</v>
      </c>
      <c r="UPI1" t="s">
        <v>14992</v>
      </c>
      <c r="UPJ1" t="s">
        <v>14993</v>
      </c>
      <c r="UPK1" t="s">
        <v>14994</v>
      </c>
      <c r="UPL1" t="s">
        <v>14995</v>
      </c>
      <c r="UPM1" t="s">
        <v>14996</v>
      </c>
      <c r="UPN1" t="s">
        <v>14997</v>
      </c>
      <c r="UPO1" t="s">
        <v>14998</v>
      </c>
      <c r="UPP1" t="s">
        <v>14999</v>
      </c>
      <c r="UPQ1" t="s">
        <v>15000</v>
      </c>
      <c r="UPR1" t="s">
        <v>15001</v>
      </c>
      <c r="UPS1" t="s">
        <v>15002</v>
      </c>
      <c r="UPT1" t="s">
        <v>15003</v>
      </c>
      <c r="UPU1" t="s">
        <v>15004</v>
      </c>
      <c r="UPV1" t="s">
        <v>15005</v>
      </c>
      <c r="UPW1" t="s">
        <v>15006</v>
      </c>
      <c r="UPX1" t="s">
        <v>15007</v>
      </c>
      <c r="UPY1" t="s">
        <v>15008</v>
      </c>
      <c r="UPZ1" t="s">
        <v>15009</v>
      </c>
      <c r="UQA1" t="s">
        <v>15010</v>
      </c>
      <c r="UQB1" t="s">
        <v>15011</v>
      </c>
      <c r="UQC1" t="s">
        <v>15012</v>
      </c>
      <c r="UQD1" t="s">
        <v>15013</v>
      </c>
      <c r="UQE1" t="s">
        <v>15014</v>
      </c>
      <c r="UQF1" t="s">
        <v>15015</v>
      </c>
      <c r="UQG1" t="s">
        <v>15016</v>
      </c>
      <c r="UQH1" t="s">
        <v>15017</v>
      </c>
      <c r="UQI1" t="s">
        <v>15018</v>
      </c>
      <c r="UQJ1" t="s">
        <v>15019</v>
      </c>
      <c r="UQK1" t="s">
        <v>15020</v>
      </c>
      <c r="UQL1" t="s">
        <v>15021</v>
      </c>
      <c r="UQM1" t="s">
        <v>15022</v>
      </c>
      <c r="UQN1" t="s">
        <v>15023</v>
      </c>
      <c r="UQO1" t="s">
        <v>15024</v>
      </c>
      <c r="UQP1" t="s">
        <v>15025</v>
      </c>
      <c r="UQQ1" t="s">
        <v>15026</v>
      </c>
      <c r="UQR1" t="s">
        <v>15027</v>
      </c>
      <c r="UQS1" t="s">
        <v>15028</v>
      </c>
      <c r="UQT1" t="s">
        <v>15029</v>
      </c>
      <c r="UQU1" t="s">
        <v>15030</v>
      </c>
      <c r="UQV1" t="s">
        <v>15031</v>
      </c>
      <c r="UQW1" t="s">
        <v>15032</v>
      </c>
      <c r="UQX1" t="s">
        <v>15033</v>
      </c>
      <c r="UQY1" t="s">
        <v>15034</v>
      </c>
      <c r="UQZ1" t="s">
        <v>15035</v>
      </c>
      <c r="URA1" t="s">
        <v>15036</v>
      </c>
      <c r="URB1" t="s">
        <v>15037</v>
      </c>
      <c r="URC1" t="s">
        <v>15038</v>
      </c>
      <c r="URD1" t="s">
        <v>15039</v>
      </c>
      <c r="URE1" t="s">
        <v>15040</v>
      </c>
      <c r="URF1" t="s">
        <v>15041</v>
      </c>
      <c r="URG1" t="s">
        <v>15042</v>
      </c>
      <c r="URH1" t="s">
        <v>15043</v>
      </c>
      <c r="URI1" t="s">
        <v>15044</v>
      </c>
      <c r="URJ1" t="s">
        <v>15045</v>
      </c>
      <c r="URK1" t="s">
        <v>15046</v>
      </c>
      <c r="URL1" t="s">
        <v>15047</v>
      </c>
      <c r="URM1" t="s">
        <v>15048</v>
      </c>
      <c r="URN1" t="s">
        <v>15049</v>
      </c>
      <c r="URO1" t="s">
        <v>15050</v>
      </c>
      <c r="URP1" t="s">
        <v>15051</v>
      </c>
      <c r="URQ1" t="s">
        <v>15052</v>
      </c>
      <c r="URR1" t="s">
        <v>15053</v>
      </c>
      <c r="URS1" t="s">
        <v>15054</v>
      </c>
      <c r="URT1" t="s">
        <v>15055</v>
      </c>
      <c r="URU1" t="s">
        <v>15056</v>
      </c>
      <c r="URV1" t="s">
        <v>15057</v>
      </c>
      <c r="URW1" t="s">
        <v>15058</v>
      </c>
      <c r="URX1" t="s">
        <v>15059</v>
      </c>
      <c r="URY1" t="s">
        <v>15060</v>
      </c>
      <c r="URZ1" t="s">
        <v>15061</v>
      </c>
      <c r="USA1" t="s">
        <v>15062</v>
      </c>
      <c r="USB1" t="s">
        <v>15063</v>
      </c>
      <c r="USC1" t="s">
        <v>15064</v>
      </c>
      <c r="USD1" t="s">
        <v>15065</v>
      </c>
      <c r="USE1" t="s">
        <v>15066</v>
      </c>
      <c r="USF1" t="s">
        <v>15067</v>
      </c>
      <c r="USG1" t="s">
        <v>15068</v>
      </c>
      <c r="USH1" t="s">
        <v>15069</v>
      </c>
      <c r="USI1" t="s">
        <v>15070</v>
      </c>
      <c r="USJ1" t="s">
        <v>15071</v>
      </c>
      <c r="USK1" t="s">
        <v>15072</v>
      </c>
      <c r="USL1" t="s">
        <v>15073</v>
      </c>
      <c r="USM1" t="s">
        <v>15074</v>
      </c>
      <c r="USN1" t="s">
        <v>15075</v>
      </c>
      <c r="USO1" t="s">
        <v>15076</v>
      </c>
      <c r="USP1" t="s">
        <v>15077</v>
      </c>
      <c r="USQ1" t="s">
        <v>15078</v>
      </c>
      <c r="USR1" t="s">
        <v>15079</v>
      </c>
      <c r="USS1" t="s">
        <v>15080</v>
      </c>
      <c r="UST1" t="s">
        <v>15081</v>
      </c>
      <c r="USU1" t="s">
        <v>15082</v>
      </c>
      <c r="USV1" t="s">
        <v>15083</v>
      </c>
      <c r="USW1" t="s">
        <v>15084</v>
      </c>
      <c r="USX1" t="s">
        <v>15085</v>
      </c>
      <c r="USY1" t="s">
        <v>15086</v>
      </c>
      <c r="USZ1" t="s">
        <v>15087</v>
      </c>
      <c r="UTA1" t="s">
        <v>15088</v>
      </c>
      <c r="UTB1" t="s">
        <v>15089</v>
      </c>
      <c r="UTC1" t="s">
        <v>15090</v>
      </c>
      <c r="UTD1" t="s">
        <v>15091</v>
      </c>
      <c r="UTE1" t="s">
        <v>15092</v>
      </c>
      <c r="UTF1" t="s">
        <v>15093</v>
      </c>
      <c r="UTG1" t="s">
        <v>15094</v>
      </c>
      <c r="UTH1" t="s">
        <v>15095</v>
      </c>
      <c r="UTI1" t="s">
        <v>15096</v>
      </c>
      <c r="UTJ1" t="s">
        <v>15097</v>
      </c>
      <c r="UTK1" t="s">
        <v>15098</v>
      </c>
      <c r="UTL1" t="s">
        <v>15099</v>
      </c>
      <c r="UTM1" t="s">
        <v>15100</v>
      </c>
      <c r="UTN1" t="s">
        <v>15101</v>
      </c>
      <c r="UTO1" t="s">
        <v>15102</v>
      </c>
      <c r="UTP1" t="s">
        <v>15103</v>
      </c>
      <c r="UTQ1" t="s">
        <v>15104</v>
      </c>
      <c r="UTR1" t="s">
        <v>15105</v>
      </c>
      <c r="UTS1" t="s">
        <v>15106</v>
      </c>
      <c r="UTT1" t="s">
        <v>15107</v>
      </c>
      <c r="UTU1" t="s">
        <v>15108</v>
      </c>
      <c r="UTV1" t="s">
        <v>15109</v>
      </c>
      <c r="UTW1" t="s">
        <v>15110</v>
      </c>
      <c r="UTX1" t="s">
        <v>15111</v>
      </c>
      <c r="UTY1" t="s">
        <v>15112</v>
      </c>
      <c r="UTZ1" t="s">
        <v>15113</v>
      </c>
      <c r="UUA1" t="s">
        <v>15114</v>
      </c>
      <c r="UUB1" t="s">
        <v>15115</v>
      </c>
      <c r="UUC1" t="s">
        <v>15116</v>
      </c>
      <c r="UUD1" t="s">
        <v>15117</v>
      </c>
      <c r="UUE1" t="s">
        <v>15118</v>
      </c>
      <c r="UUF1" t="s">
        <v>15119</v>
      </c>
      <c r="UUG1" t="s">
        <v>15120</v>
      </c>
      <c r="UUH1" t="s">
        <v>15121</v>
      </c>
      <c r="UUI1" t="s">
        <v>15122</v>
      </c>
      <c r="UUJ1" t="s">
        <v>15123</v>
      </c>
      <c r="UUK1" t="s">
        <v>15124</v>
      </c>
      <c r="UUL1" t="s">
        <v>15125</v>
      </c>
      <c r="UUM1" t="s">
        <v>15126</v>
      </c>
      <c r="UUN1" t="s">
        <v>15127</v>
      </c>
      <c r="UUO1" t="s">
        <v>15128</v>
      </c>
      <c r="UUP1" t="s">
        <v>15129</v>
      </c>
      <c r="UUQ1" t="s">
        <v>15130</v>
      </c>
      <c r="UUR1" t="s">
        <v>15131</v>
      </c>
      <c r="UUS1" t="s">
        <v>15132</v>
      </c>
      <c r="UUT1" t="s">
        <v>15133</v>
      </c>
      <c r="UUU1" t="s">
        <v>15134</v>
      </c>
      <c r="UUV1" t="s">
        <v>15135</v>
      </c>
      <c r="UUW1" t="s">
        <v>15136</v>
      </c>
      <c r="UUX1" t="s">
        <v>15137</v>
      </c>
      <c r="UUY1" t="s">
        <v>15138</v>
      </c>
      <c r="UUZ1" t="s">
        <v>15139</v>
      </c>
      <c r="UVA1" t="s">
        <v>15140</v>
      </c>
      <c r="UVB1" t="s">
        <v>15141</v>
      </c>
      <c r="UVC1" t="s">
        <v>15142</v>
      </c>
      <c r="UVD1" t="s">
        <v>15143</v>
      </c>
      <c r="UVE1" t="s">
        <v>15144</v>
      </c>
      <c r="UVF1" t="s">
        <v>15145</v>
      </c>
      <c r="UVG1" t="s">
        <v>15146</v>
      </c>
      <c r="UVH1" t="s">
        <v>15147</v>
      </c>
      <c r="UVI1" t="s">
        <v>15148</v>
      </c>
      <c r="UVJ1" t="s">
        <v>15149</v>
      </c>
      <c r="UVK1" t="s">
        <v>15150</v>
      </c>
      <c r="UVL1" t="s">
        <v>15151</v>
      </c>
      <c r="UVM1" t="s">
        <v>15152</v>
      </c>
      <c r="UVN1" t="s">
        <v>15153</v>
      </c>
      <c r="UVO1" t="s">
        <v>15154</v>
      </c>
      <c r="UVP1" t="s">
        <v>15155</v>
      </c>
      <c r="UVQ1" t="s">
        <v>15156</v>
      </c>
      <c r="UVR1" t="s">
        <v>15157</v>
      </c>
      <c r="UVS1" t="s">
        <v>15158</v>
      </c>
      <c r="UVT1" t="s">
        <v>15159</v>
      </c>
      <c r="UVU1" t="s">
        <v>15160</v>
      </c>
      <c r="UVV1" t="s">
        <v>15161</v>
      </c>
      <c r="UVW1" t="s">
        <v>15162</v>
      </c>
      <c r="UVX1" t="s">
        <v>15163</v>
      </c>
      <c r="UVY1" t="s">
        <v>15164</v>
      </c>
      <c r="UVZ1" t="s">
        <v>15165</v>
      </c>
      <c r="UWA1" t="s">
        <v>15166</v>
      </c>
      <c r="UWB1" t="s">
        <v>15167</v>
      </c>
      <c r="UWC1" t="s">
        <v>15168</v>
      </c>
      <c r="UWD1" t="s">
        <v>15169</v>
      </c>
      <c r="UWE1" t="s">
        <v>15170</v>
      </c>
      <c r="UWF1" t="s">
        <v>15171</v>
      </c>
      <c r="UWG1" t="s">
        <v>15172</v>
      </c>
      <c r="UWH1" t="s">
        <v>15173</v>
      </c>
      <c r="UWI1" t="s">
        <v>15174</v>
      </c>
      <c r="UWJ1" t="s">
        <v>15175</v>
      </c>
      <c r="UWK1" t="s">
        <v>15176</v>
      </c>
      <c r="UWL1" t="s">
        <v>15177</v>
      </c>
      <c r="UWM1" t="s">
        <v>15178</v>
      </c>
      <c r="UWN1" t="s">
        <v>15179</v>
      </c>
      <c r="UWO1" t="s">
        <v>15180</v>
      </c>
      <c r="UWP1" t="s">
        <v>15181</v>
      </c>
      <c r="UWQ1" t="s">
        <v>15182</v>
      </c>
      <c r="UWR1" t="s">
        <v>15183</v>
      </c>
      <c r="UWS1" t="s">
        <v>15184</v>
      </c>
      <c r="UWT1" t="s">
        <v>15185</v>
      </c>
      <c r="UWU1" t="s">
        <v>15186</v>
      </c>
      <c r="UWV1" t="s">
        <v>15187</v>
      </c>
      <c r="UWW1" t="s">
        <v>15188</v>
      </c>
      <c r="UWX1" t="s">
        <v>15189</v>
      </c>
      <c r="UWY1" t="s">
        <v>15190</v>
      </c>
      <c r="UWZ1" t="s">
        <v>15191</v>
      </c>
      <c r="UXA1" t="s">
        <v>15192</v>
      </c>
      <c r="UXB1" t="s">
        <v>15193</v>
      </c>
      <c r="UXC1" t="s">
        <v>15194</v>
      </c>
      <c r="UXD1" t="s">
        <v>15195</v>
      </c>
      <c r="UXE1" t="s">
        <v>15196</v>
      </c>
      <c r="UXF1" t="s">
        <v>15197</v>
      </c>
      <c r="UXG1" t="s">
        <v>15198</v>
      </c>
      <c r="UXH1" t="s">
        <v>15199</v>
      </c>
      <c r="UXI1" t="s">
        <v>15200</v>
      </c>
      <c r="UXJ1" t="s">
        <v>15201</v>
      </c>
      <c r="UXK1" t="s">
        <v>15202</v>
      </c>
      <c r="UXL1" t="s">
        <v>15203</v>
      </c>
      <c r="UXM1" t="s">
        <v>15204</v>
      </c>
      <c r="UXN1" t="s">
        <v>15205</v>
      </c>
      <c r="UXO1" t="s">
        <v>15206</v>
      </c>
      <c r="UXP1" t="s">
        <v>15207</v>
      </c>
      <c r="UXQ1" t="s">
        <v>15208</v>
      </c>
      <c r="UXR1" t="s">
        <v>15209</v>
      </c>
      <c r="UXS1" t="s">
        <v>15210</v>
      </c>
      <c r="UXT1" t="s">
        <v>15211</v>
      </c>
      <c r="UXU1" t="s">
        <v>15212</v>
      </c>
      <c r="UXV1" t="s">
        <v>15213</v>
      </c>
      <c r="UXW1" t="s">
        <v>15214</v>
      </c>
      <c r="UXX1" t="s">
        <v>15215</v>
      </c>
      <c r="UXY1" t="s">
        <v>15216</v>
      </c>
      <c r="UXZ1" t="s">
        <v>15217</v>
      </c>
      <c r="UYA1" t="s">
        <v>15218</v>
      </c>
      <c r="UYB1" t="s">
        <v>15219</v>
      </c>
      <c r="UYC1" t="s">
        <v>15220</v>
      </c>
      <c r="UYD1" t="s">
        <v>15221</v>
      </c>
      <c r="UYE1" t="s">
        <v>15222</v>
      </c>
      <c r="UYF1" t="s">
        <v>15223</v>
      </c>
      <c r="UYG1" t="s">
        <v>15224</v>
      </c>
      <c r="UYH1" t="s">
        <v>15225</v>
      </c>
      <c r="UYI1" t="s">
        <v>15226</v>
      </c>
      <c r="UYJ1" t="s">
        <v>15227</v>
      </c>
      <c r="UYK1" t="s">
        <v>15228</v>
      </c>
      <c r="UYL1" t="s">
        <v>15229</v>
      </c>
      <c r="UYM1" t="s">
        <v>15230</v>
      </c>
      <c r="UYN1" t="s">
        <v>15231</v>
      </c>
      <c r="UYO1" t="s">
        <v>15232</v>
      </c>
      <c r="UYP1" t="s">
        <v>15233</v>
      </c>
      <c r="UYQ1" t="s">
        <v>15234</v>
      </c>
      <c r="UYR1" t="s">
        <v>15235</v>
      </c>
      <c r="UYS1" t="s">
        <v>15236</v>
      </c>
      <c r="UYT1" t="s">
        <v>15237</v>
      </c>
      <c r="UYU1" t="s">
        <v>15238</v>
      </c>
      <c r="UYV1" t="s">
        <v>15239</v>
      </c>
      <c r="UYW1" t="s">
        <v>15240</v>
      </c>
      <c r="UYX1" t="s">
        <v>15241</v>
      </c>
      <c r="UYY1" t="s">
        <v>15242</v>
      </c>
      <c r="UYZ1" t="s">
        <v>15243</v>
      </c>
      <c r="UZA1" t="s">
        <v>15244</v>
      </c>
      <c r="UZB1" t="s">
        <v>15245</v>
      </c>
      <c r="UZC1" t="s">
        <v>15246</v>
      </c>
      <c r="UZD1" t="s">
        <v>15247</v>
      </c>
      <c r="UZE1" t="s">
        <v>15248</v>
      </c>
      <c r="UZF1" t="s">
        <v>15249</v>
      </c>
      <c r="UZG1" t="s">
        <v>15250</v>
      </c>
      <c r="UZH1" t="s">
        <v>15251</v>
      </c>
      <c r="UZI1" t="s">
        <v>15252</v>
      </c>
      <c r="UZJ1" t="s">
        <v>15253</v>
      </c>
      <c r="UZK1" t="s">
        <v>15254</v>
      </c>
      <c r="UZL1" t="s">
        <v>15255</v>
      </c>
      <c r="UZM1" t="s">
        <v>15256</v>
      </c>
      <c r="UZN1" t="s">
        <v>15257</v>
      </c>
      <c r="UZO1" t="s">
        <v>15258</v>
      </c>
      <c r="UZP1" t="s">
        <v>15259</v>
      </c>
      <c r="UZQ1" t="s">
        <v>15260</v>
      </c>
      <c r="UZR1" t="s">
        <v>15261</v>
      </c>
      <c r="UZS1" t="s">
        <v>15262</v>
      </c>
      <c r="UZT1" t="s">
        <v>15263</v>
      </c>
      <c r="UZU1" t="s">
        <v>15264</v>
      </c>
      <c r="UZV1" t="s">
        <v>15265</v>
      </c>
      <c r="UZW1" t="s">
        <v>15266</v>
      </c>
      <c r="UZX1" t="s">
        <v>15267</v>
      </c>
      <c r="UZY1" t="s">
        <v>15268</v>
      </c>
      <c r="UZZ1" t="s">
        <v>15269</v>
      </c>
      <c r="VAA1" t="s">
        <v>15270</v>
      </c>
      <c r="VAB1" t="s">
        <v>15271</v>
      </c>
      <c r="VAC1" t="s">
        <v>15272</v>
      </c>
      <c r="VAD1" t="s">
        <v>15273</v>
      </c>
      <c r="VAE1" t="s">
        <v>15274</v>
      </c>
      <c r="VAF1" t="s">
        <v>15275</v>
      </c>
      <c r="VAG1" t="s">
        <v>15276</v>
      </c>
      <c r="VAH1" t="s">
        <v>15277</v>
      </c>
      <c r="VAI1" t="s">
        <v>15278</v>
      </c>
      <c r="VAJ1" t="s">
        <v>15279</v>
      </c>
      <c r="VAK1" t="s">
        <v>15280</v>
      </c>
      <c r="VAL1" t="s">
        <v>15281</v>
      </c>
      <c r="VAM1" t="s">
        <v>15282</v>
      </c>
      <c r="VAN1" t="s">
        <v>15283</v>
      </c>
      <c r="VAO1" t="s">
        <v>15284</v>
      </c>
      <c r="VAP1" t="s">
        <v>15285</v>
      </c>
      <c r="VAQ1" t="s">
        <v>15286</v>
      </c>
      <c r="VAR1" t="s">
        <v>15287</v>
      </c>
      <c r="VAS1" t="s">
        <v>15288</v>
      </c>
      <c r="VAT1" t="s">
        <v>15289</v>
      </c>
      <c r="VAU1" t="s">
        <v>15290</v>
      </c>
      <c r="VAV1" t="s">
        <v>15291</v>
      </c>
      <c r="VAW1" t="s">
        <v>15292</v>
      </c>
      <c r="VAX1" t="s">
        <v>15293</v>
      </c>
      <c r="VAY1" t="s">
        <v>15294</v>
      </c>
      <c r="VAZ1" t="s">
        <v>15295</v>
      </c>
      <c r="VBA1" t="s">
        <v>15296</v>
      </c>
      <c r="VBB1" t="s">
        <v>15297</v>
      </c>
      <c r="VBC1" t="s">
        <v>15298</v>
      </c>
      <c r="VBD1" t="s">
        <v>15299</v>
      </c>
      <c r="VBE1" t="s">
        <v>15300</v>
      </c>
      <c r="VBF1" t="s">
        <v>15301</v>
      </c>
      <c r="VBG1" t="s">
        <v>15302</v>
      </c>
      <c r="VBH1" t="s">
        <v>15303</v>
      </c>
      <c r="VBI1" t="s">
        <v>15304</v>
      </c>
      <c r="VBJ1" t="s">
        <v>15305</v>
      </c>
      <c r="VBK1" t="s">
        <v>15306</v>
      </c>
      <c r="VBL1" t="s">
        <v>15307</v>
      </c>
      <c r="VBM1" t="s">
        <v>15308</v>
      </c>
      <c r="VBN1" t="s">
        <v>15309</v>
      </c>
      <c r="VBO1" t="s">
        <v>15310</v>
      </c>
      <c r="VBP1" t="s">
        <v>15311</v>
      </c>
      <c r="VBQ1" t="s">
        <v>15312</v>
      </c>
      <c r="VBR1" t="s">
        <v>15313</v>
      </c>
      <c r="VBS1" t="s">
        <v>15314</v>
      </c>
      <c r="VBT1" t="s">
        <v>15315</v>
      </c>
      <c r="VBU1" t="s">
        <v>15316</v>
      </c>
      <c r="VBV1" t="s">
        <v>15317</v>
      </c>
      <c r="VBW1" t="s">
        <v>15318</v>
      </c>
      <c r="VBX1" t="s">
        <v>15319</v>
      </c>
      <c r="VBY1" t="s">
        <v>15320</v>
      </c>
      <c r="VBZ1" t="s">
        <v>15321</v>
      </c>
      <c r="VCA1" t="s">
        <v>15322</v>
      </c>
      <c r="VCB1" t="s">
        <v>15323</v>
      </c>
      <c r="VCC1" t="s">
        <v>15324</v>
      </c>
      <c r="VCD1" t="s">
        <v>15325</v>
      </c>
      <c r="VCE1" t="s">
        <v>15326</v>
      </c>
      <c r="VCF1" t="s">
        <v>15327</v>
      </c>
      <c r="VCG1" t="s">
        <v>15328</v>
      </c>
      <c r="VCH1" t="s">
        <v>15329</v>
      </c>
      <c r="VCI1" t="s">
        <v>15330</v>
      </c>
      <c r="VCJ1" t="s">
        <v>15331</v>
      </c>
      <c r="VCK1" t="s">
        <v>15332</v>
      </c>
      <c r="VCL1" t="s">
        <v>15333</v>
      </c>
      <c r="VCM1" t="s">
        <v>15334</v>
      </c>
      <c r="VCN1" t="s">
        <v>15335</v>
      </c>
      <c r="VCO1" t="s">
        <v>15336</v>
      </c>
      <c r="VCP1" t="s">
        <v>15337</v>
      </c>
      <c r="VCQ1" t="s">
        <v>15338</v>
      </c>
      <c r="VCR1" t="s">
        <v>15339</v>
      </c>
      <c r="VCS1" t="s">
        <v>15340</v>
      </c>
      <c r="VCT1" t="s">
        <v>15341</v>
      </c>
      <c r="VCU1" t="s">
        <v>15342</v>
      </c>
      <c r="VCV1" t="s">
        <v>15343</v>
      </c>
      <c r="VCW1" t="s">
        <v>15344</v>
      </c>
      <c r="VCX1" t="s">
        <v>15345</v>
      </c>
      <c r="VCY1" t="s">
        <v>15346</v>
      </c>
      <c r="VCZ1" t="s">
        <v>15347</v>
      </c>
      <c r="VDA1" t="s">
        <v>15348</v>
      </c>
      <c r="VDB1" t="s">
        <v>15349</v>
      </c>
      <c r="VDC1" t="s">
        <v>15350</v>
      </c>
      <c r="VDD1" t="s">
        <v>15351</v>
      </c>
      <c r="VDE1" t="s">
        <v>15352</v>
      </c>
      <c r="VDF1" t="s">
        <v>15353</v>
      </c>
      <c r="VDG1" t="s">
        <v>15354</v>
      </c>
      <c r="VDH1" t="s">
        <v>15355</v>
      </c>
      <c r="VDI1" t="s">
        <v>15356</v>
      </c>
      <c r="VDJ1" t="s">
        <v>15357</v>
      </c>
      <c r="VDK1" t="s">
        <v>15358</v>
      </c>
      <c r="VDL1" t="s">
        <v>15359</v>
      </c>
      <c r="VDM1" t="s">
        <v>15360</v>
      </c>
      <c r="VDN1" t="s">
        <v>15361</v>
      </c>
      <c r="VDO1" t="s">
        <v>15362</v>
      </c>
      <c r="VDP1" t="s">
        <v>15363</v>
      </c>
      <c r="VDQ1" t="s">
        <v>15364</v>
      </c>
      <c r="VDR1" t="s">
        <v>15365</v>
      </c>
      <c r="VDS1" t="s">
        <v>15366</v>
      </c>
      <c r="VDT1" t="s">
        <v>15367</v>
      </c>
      <c r="VDU1" t="s">
        <v>15368</v>
      </c>
      <c r="VDV1" t="s">
        <v>15369</v>
      </c>
      <c r="VDW1" t="s">
        <v>15370</v>
      </c>
      <c r="VDX1" t="s">
        <v>15371</v>
      </c>
      <c r="VDY1" t="s">
        <v>15372</v>
      </c>
      <c r="VDZ1" t="s">
        <v>15373</v>
      </c>
      <c r="VEA1" t="s">
        <v>15374</v>
      </c>
      <c r="VEB1" t="s">
        <v>15375</v>
      </c>
      <c r="VEC1" t="s">
        <v>15376</v>
      </c>
      <c r="VED1" t="s">
        <v>15377</v>
      </c>
      <c r="VEE1" t="s">
        <v>15378</v>
      </c>
      <c r="VEF1" t="s">
        <v>15379</v>
      </c>
      <c r="VEG1" t="s">
        <v>15380</v>
      </c>
      <c r="VEH1" t="s">
        <v>15381</v>
      </c>
      <c r="VEI1" t="s">
        <v>15382</v>
      </c>
      <c r="VEJ1" t="s">
        <v>15383</v>
      </c>
      <c r="VEK1" t="s">
        <v>15384</v>
      </c>
      <c r="VEL1" t="s">
        <v>15385</v>
      </c>
      <c r="VEM1" t="s">
        <v>15386</v>
      </c>
      <c r="VEN1" t="s">
        <v>15387</v>
      </c>
      <c r="VEO1" t="s">
        <v>15388</v>
      </c>
      <c r="VEP1" t="s">
        <v>15389</v>
      </c>
      <c r="VEQ1" t="s">
        <v>15390</v>
      </c>
      <c r="VER1" t="s">
        <v>15391</v>
      </c>
      <c r="VES1" t="s">
        <v>15392</v>
      </c>
      <c r="VET1" t="s">
        <v>15393</v>
      </c>
      <c r="VEU1" t="s">
        <v>15394</v>
      </c>
      <c r="VEV1" t="s">
        <v>15395</v>
      </c>
      <c r="VEW1" t="s">
        <v>15396</v>
      </c>
      <c r="VEX1" t="s">
        <v>15397</v>
      </c>
      <c r="VEY1" t="s">
        <v>15398</v>
      </c>
      <c r="VEZ1" t="s">
        <v>15399</v>
      </c>
      <c r="VFA1" t="s">
        <v>15400</v>
      </c>
      <c r="VFB1" t="s">
        <v>15401</v>
      </c>
      <c r="VFC1" t="s">
        <v>15402</v>
      </c>
      <c r="VFD1" t="s">
        <v>15403</v>
      </c>
      <c r="VFE1" t="s">
        <v>15404</v>
      </c>
      <c r="VFF1" t="s">
        <v>15405</v>
      </c>
      <c r="VFG1" t="s">
        <v>15406</v>
      </c>
      <c r="VFH1" t="s">
        <v>15407</v>
      </c>
      <c r="VFI1" t="s">
        <v>15408</v>
      </c>
      <c r="VFJ1" t="s">
        <v>15409</v>
      </c>
      <c r="VFK1" t="s">
        <v>15410</v>
      </c>
      <c r="VFL1" t="s">
        <v>15411</v>
      </c>
      <c r="VFM1" t="s">
        <v>15412</v>
      </c>
      <c r="VFN1" t="s">
        <v>15413</v>
      </c>
      <c r="VFO1" t="s">
        <v>15414</v>
      </c>
      <c r="VFP1" t="s">
        <v>15415</v>
      </c>
      <c r="VFQ1" t="s">
        <v>15416</v>
      </c>
      <c r="VFR1" t="s">
        <v>15417</v>
      </c>
      <c r="VFS1" t="s">
        <v>15418</v>
      </c>
      <c r="VFT1" t="s">
        <v>15419</v>
      </c>
      <c r="VFU1" t="s">
        <v>15420</v>
      </c>
      <c r="VFV1" t="s">
        <v>15421</v>
      </c>
      <c r="VFW1" t="s">
        <v>15422</v>
      </c>
      <c r="VFX1" t="s">
        <v>15423</v>
      </c>
      <c r="VFY1" t="s">
        <v>15424</v>
      </c>
      <c r="VFZ1" t="s">
        <v>15425</v>
      </c>
      <c r="VGA1" t="s">
        <v>15426</v>
      </c>
      <c r="VGB1" t="s">
        <v>15427</v>
      </c>
      <c r="VGC1" t="s">
        <v>15428</v>
      </c>
      <c r="VGD1" t="s">
        <v>15429</v>
      </c>
      <c r="VGE1" t="s">
        <v>15430</v>
      </c>
      <c r="VGF1" t="s">
        <v>15431</v>
      </c>
      <c r="VGG1" t="s">
        <v>15432</v>
      </c>
      <c r="VGH1" t="s">
        <v>15433</v>
      </c>
      <c r="VGI1" t="s">
        <v>15434</v>
      </c>
      <c r="VGJ1" t="s">
        <v>15435</v>
      </c>
      <c r="VGK1" t="s">
        <v>15436</v>
      </c>
      <c r="VGL1" t="s">
        <v>15437</v>
      </c>
      <c r="VGM1" t="s">
        <v>15438</v>
      </c>
      <c r="VGN1" t="s">
        <v>15439</v>
      </c>
      <c r="VGO1" t="s">
        <v>15440</v>
      </c>
      <c r="VGP1" t="s">
        <v>15441</v>
      </c>
      <c r="VGQ1" t="s">
        <v>15442</v>
      </c>
      <c r="VGR1" t="s">
        <v>15443</v>
      </c>
      <c r="VGS1" t="s">
        <v>15444</v>
      </c>
      <c r="VGT1" t="s">
        <v>15445</v>
      </c>
      <c r="VGU1" t="s">
        <v>15446</v>
      </c>
      <c r="VGV1" t="s">
        <v>15447</v>
      </c>
      <c r="VGW1" t="s">
        <v>15448</v>
      </c>
      <c r="VGX1" t="s">
        <v>15449</v>
      </c>
      <c r="VGY1" t="s">
        <v>15450</v>
      </c>
      <c r="VGZ1" t="s">
        <v>15451</v>
      </c>
      <c r="VHA1" t="s">
        <v>15452</v>
      </c>
      <c r="VHB1" t="s">
        <v>15453</v>
      </c>
      <c r="VHC1" t="s">
        <v>15454</v>
      </c>
      <c r="VHD1" t="s">
        <v>15455</v>
      </c>
      <c r="VHE1" t="s">
        <v>15456</v>
      </c>
      <c r="VHF1" t="s">
        <v>15457</v>
      </c>
      <c r="VHG1" t="s">
        <v>15458</v>
      </c>
      <c r="VHH1" t="s">
        <v>15459</v>
      </c>
      <c r="VHI1" t="s">
        <v>15460</v>
      </c>
      <c r="VHJ1" t="s">
        <v>15461</v>
      </c>
      <c r="VHK1" t="s">
        <v>15462</v>
      </c>
      <c r="VHL1" t="s">
        <v>15463</v>
      </c>
      <c r="VHM1" t="s">
        <v>15464</v>
      </c>
      <c r="VHN1" t="s">
        <v>15465</v>
      </c>
      <c r="VHO1" t="s">
        <v>15466</v>
      </c>
      <c r="VHP1" t="s">
        <v>15467</v>
      </c>
      <c r="VHQ1" t="s">
        <v>15468</v>
      </c>
      <c r="VHR1" t="s">
        <v>15469</v>
      </c>
      <c r="VHS1" t="s">
        <v>15470</v>
      </c>
      <c r="VHT1" t="s">
        <v>15471</v>
      </c>
      <c r="VHU1" t="s">
        <v>15472</v>
      </c>
      <c r="VHV1" t="s">
        <v>15473</v>
      </c>
      <c r="VHW1" t="s">
        <v>15474</v>
      </c>
      <c r="VHX1" t="s">
        <v>15475</v>
      </c>
      <c r="VHY1" t="s">
        <v>15476</v>
      </c>
      <c r="VHZ1" t="s">
        <v>15477</v>
      </c>
      <c r="VIA1" t="s">
        <v>15478</v>
      </c>
      <c r="VIB1" t="s">
        <v>15479</v>
      </c>
      <c r="VIC1" t="s">
        <v>15480</v>
      </c>
      <c r="VID1" t="s">
        <v>15481</v>
      </c>
      <c r="VIE1" t="s">
        <v>15482</v>
      </c>
      <c r="VIF1" t="s">
        <v>15483</v>
      </c>
      <c r="VIG1" t="s">
        <v>15484</v>
      </c>
      <c r="VIH1" t="s">
        <v>15485</v>
      </c>
      <c r="VII1" t="s">
        <v>15486</v>
      </c>
      <c r="VIJ1" t="s">
        <v>15487</v>
      </c>
      <c r="VIK1" t="s">
        <v>15488</v>
      </c>
      <c r="VIL1" t="s">
        <v>15489</v>
      </c>
      <c r="VIM1" t="s">
        <v>15490</v>
      </c>
      <c r="VIN1" t="s">
        <v>15491</v>
      </c>
      <c r="VIO1" t="s">
        <v>15492</v>
      </c>
      <c r="VIP1" t="s">
        <v>15493</v>
      </c>
      <c r="VIQ1" t="s">
        <v>15494</v>
      </c>
      <c r="VIR1" t="s">
        <v>15495</v>
      </c>
      <c r="VIS1" t="s">
        <v>15496</v>
      </c>
      <c r="VIT1" t="s">
        <v>15497</v>
      </c>
      <c r="VIU1" t="s">
        <v>15498</v>
      </c>
      <c r="VIV1" t="s">
        <v>15499</v>
      </c>
      <c r="VIW1" t="s">
        <v>15500</v>
      </c>
      <c r="VIX1" t="s">
        <v>15501</v>
      </c>
      <c r="VIY1" t="s">
        <v>15502</v>
      </c>
      <c r="VIZ1" t="s">
        <v>15503</v>
      </c>
      <c r="VJA1" t="s">
        <v>15504</v>
      </c>
      <c r="VJB1" t="s">
        <v>15505</v>
      </c>
      <c r="VJC1" t="s">
        <v>15506</v>
      </c>
      <c r="VJD1" t="s">
        <v>15507</v>
      </c>
      <c r="VJE1" t="s">
        <v>15508</v>
      </c>
      <c r="VJF1" t="s">
        <v>15509</v>
      </c>
      <c r="VJG1" t="s">
        <v>15510</v>
      </c>
      <c r="VJH1" t="s">
        <v>15511</v>
      </c>
      <c r="VJI1" t="s">
        <v>15512</v>
      </c>
      <c r="VJJ1" t="s">
        <v>15513</v>
      </c>
      <c r="VJK1" t="s">
        <v>15514</v>
      </c>
      <c r="VJL1" t="s">
        <v>15515</v>
      </c>
      <c r="VJM1" t="s">
        <v>15516</v>
      </c>
      <c r="VJN1" t="s">
        <v>15517</v>
      </c>
      <c r="VJO1" t="s">
        <v>15518</v>
      </c>
      <c r="VJP1" t="s">
        <v>15519</v>
      </c>
      <c r="VJQ1" t="s">
        <v>15520</v>
      </c>
      <c r="VJR1" t="s">
        <v>15521</v>
      </c>
      <c r="VJS1" t="s">
        <v>15522</v>
      </c>
      <c r="VJT1" t="s">
        <v>15523</v>
      </c>
      <c r="VJU1" t="s">
        <v>15524</v>
      </c>
      <c r="VJV1" t="s">
        <v>15525</v>
      </c>
      <c r="VJW1" t="s">
        <v>15526</v>
      </c>
      <c r="VJX1" t="s">
        <v>15527</v>
      </c>
      <c r="VJY1" t="s">
        <v>15528</v>
      </c>
      <c r="VJZ1" t="s">
        <v>15529</v>
      </c>
      <c r="VKA1" t="s">
        <v>15530</v>
      </c>
      <c r="VKB1" t="s">
        <v>15531</v>
      </c>
      <c r="VKC1" t="s">
        <v>15532</v>
      </c>
      <c r="VKD1" t="s">
        <v>15533</v>
      </c>
      <c r="VKE1" t="s">
        <v>15534</v>
      </c>
      <c r="VKF1" t="s">
        <v>15535</v>
      </c>
      <c r="VKG1" t="s">
        <v>15536</v>
      </c>
      <c r="VKH1" t="s">
        <v>15537</v>
      </c>
      <c r="VKI1" t="s">
        <v>15538</v>
      </c>
      <c r="VKJ1" t="s">
        <v>15539</v>
      </c>
      <c r="VKK1" t="s">
        <v>15540</v>
      </c>
      <c r="VKL1" t="s">
        <v>15541</v>
      </c>
      <c r="VKM1" t="s">
        <v>15542</v>
      </c>
      <c r="VKN1" t="s">
        <v>15543</v>
      </c>
      <c r="VKO1" t="s">
        <v>15544</v>
      </c>
      <c r="VKP1" t="s">
        <v>15545</v>
      </c>
      <c r="VKQ1" t="s">
        <v>15546</v>
      </c>
      <c r="VKR1" t="s">
        <v>15547</v>
      </c>
      <c r="VKS1" t="s">
        <v>15548</v>
      </c>
      <c r="VKT1" t="s">
        <v>15549</v>
      </c>
      <c r="VKU1" t="s">
        <v>15550</v>
      </c>
      <c r="VKV1" t="s">
        <v>15551</v>
      </c>
      <c r="VKW1" t="s">
        <v>15552</v>
      </c>
      <c r="VKX1" t="s">
        <v>15553</v>
      </c>
      <c r="VKY1" t="s">
        <v>15554</v>
      </c>
      <c r="VKZ1" t="s">
        <v>15555</v>
      </c>
      <c r="VLA1" t="s">
        <v>15556</v>
      </c>
      <c r="VLB1" t="s">
        <v>15557</v>
      </c>
      <c r="VLC1" t="s">
        <v>15558</v>
      </c>
      <c r="VLD1" t="s">
        <v>15559</v>
      </c>
      <c r="VLE1" t="s">
        <v>15560</v>
      </c>
      <c r="VLF1" t="s">
        <v>15561</v>
      </c>
      <c r="VLG1" t="s">
        <v>15562</v>
      </c>
      <c r="VLH1" t="s">
        <v>15563</v>
      </c>
      <c r="VLI1" t="s">
        <v>15564</v>
      </c>
      <c r="VLJ1" t="s">
        <v>15565</v>
      </c>
      <c r="VLK1" t="s">
        <v>15566</v>
      </c>
      <c r="VLL1" t="s">
        <v>15567</v>
      </c>
      <c r="VLM1" t="s">
        <v>15568</v>
      </c>
      <c r="VLN1" t="s">
        <v>15569</v>
      </c>
      <c r="VLO1" t="s">
        <v>15570</v>
      </c>
      <c r="VLP1" t="s">
        <v>15571</v>
      </c>
      <c r="VLQ1" t="s">
        <v>15572</v>
      </c>
      <c r="VLR1" t="s">
        <v>15573</v>
      </c>
      <c r="VLS1" t="s">
        <v>15574</v>
      </c>
      <c r="VLT1" t="s">
        <v>15575</v>
      </c>
      <c r="VLU1" t="s">
        <v>15576</v>
      </c>
      <c r="VLV1" t="s">
        <v>15577</v>
      </c>
      <c r="VLW1" t="s">
        <v>15578</v>
      </c>
      <c r="VLX1" t="s">
        <v>15579</v>
      </c>
      <c r="VLY1" t="s">
        <v>15580</v>
      </c>
      <c r="VLZ1" t="s">
        <v>15581</v>
      </c>
      <c r="VMA1" t="s">
        <v>15582</v>
      </c>
      <c r="VMB1" t="s">
        <v>15583</v>
      </c>
      <c r="VMC1" t="s">
        <v>15584</v>
      </c>
      <c r="VMD1" t="s">
        <v>15585</v>
      </c>
      <c r="VME1" t="s">
        <v>15586</v>
      </c>
      <c r="VMF1" t="s">
        <v>15587</v>
      </c>
      <c r="VMG1" t="s">
        <v>15588</v>
      </c>
      <c r="VMH1" t="s">
        <v>15589</v>
      </c>
      <c r="VMI1" t="s">
        <v>15590</v>
      </c>
      <c r="VMJ1" t="s">
        <v>15591</v>
      </c>
      <c r="VMK1" t="s">
        <v>15592</v>
      </c>
      <c r="VML1" t="s">
        <v>15593</v>
      </c>
      <c r="VMM1" t="s">
        <v>15594</v>
      </c>
      <c r="VMN1" t="s">
        <v>15595</v>
      </c>
      <c r="VMO1" t="s">
        <v>15596</v>
      </c>
      <c r="VMP1" t="s">
        <v>15597</v>
      </c>
      <c r="VMQ1" t="s">
        <v>15598</v>
      </c>
      <c r="VMR1" t="s">
        <v>15599</v>
      </c>
      <c r="VMS1" t="s">
        <v>15600</v>
      </c>
      <c r="VMT1" t="s">
        <v>15601</v>
      </c>
      <c r="VMU1" t="s">
        <v>15602</v>
      </c>
      <c r="VMV1" t="s">
        <v>15603</v>
      </c>
      <c r="VMW1" t="s">
        <v>15604</v>
      </c>
      <c r="VMX1" t="s">
        <v>15605</v>
      </c>
      <c r="VMY1" t="s">
        <v>15606</v>
      </c>
      <c r="VMZ1" t="s">
        <v>15607</v>
      </c>
      <c r="VNA1" t="s">
        <v>15608</v>
      </c>
      <c r="VNB1" t="s">
        <v>15609</v>
      </c>
      <c r="VNC1" t="s">
        <v>15610</v>
      </c>
      <c r="VND1" t="s">
        <v>15611</v>
      </c>
      <c r="VNE1" t="s">
        <v>15612</v>
      </c>
      <c r="VNF1" t="s">
        <v>15613</v>
      </c>
      <c r="VNG1" t="s">
        <v>15614</v>
      </c>
      <c r="VNH1" t="s">
        <v>15615</v>
      </c>
      <c r="VNI1" t="s">
        <v>15616</v>
      </c>
      <c r="VNJ1" t="s">
        <v>15617</v>
      </c>
      <c r="VNK1" t="s">
        <v>15618</v>
      </c>
      <c r="VNL1" t="s">
        <v>15619</v>
      </c>
      <c r="VNM1" t="s">
        <v>15620</v>
      </c>
      <c r="VNN1" t="s">
        <v>15621</v>
      </c>
      <c r="VNO1" t="s">
        <v>15622</v>
      </c>
      <c r="VNP1" t="s">
        <v>15623</v>
      </c>
      <c r="VNQ1" t="s">
        <v>15624</v>
      </c>
      <c r="VNR1" t="s">
        <v>15625</v>
      </c>
      <c r="VNS1" t="s">
        <v>15626</v>
      </c>
      <c r="VNT1" t="s">
        <v>15627</v>
      </c>
      <c r="VNU1" t="s">
        <v>15628</v>
      </c>
      <c r="VNV1" t="s">
        <v>15629</v>
      </c>
      <c r="VNW1" t="s">
        <v>15630</v>
      </c>
      <c r="VNX1" t="s">
        <v>15631</v>
      </c>
      <c r="VNY1" t="s">
        <v>15632</v>
      </c>
      <c r="VNZ1" t="s">
        <v>15633</v>
      </c>
      <c r="VOA1" t="s">
        <v>15634</v>
      </c>
      <c r="VOB1" t="s">
        <v>15635</v>
      </c>
      <c r="VOC1" t="s">
        <v>15636</v>
      </c>
      <c r="VOD1" t="s">
        <v>15637</v>
      </c>
      <c r="VOE1" t="s">
        <v>15638</v>
      </c>
      <c r="VOF1" t="s">
        <v>15639</v>
      </c>
      <c r="VOG1" t="s">
        <v>15640</v>
      </c>
      <c r="VOH1" t="s">
        <v>15641</v>
      </c>
      <c r="VOI1" t="s">
        <v>15642</v>
      </c>
      <c r="VOJ1" t="s">
        <v>15643</v>
      </c>
      <c r="VOK1" t="s">
        <v>15644</v>
      </c>
      <c r="VOL1" t="s">
        <v>15645</v>
      </c>
      <c r="VOM1" t="s">
        <v>15646</v>
      </c>
      <c r="VON1" t="s">
        <v>15647</v>
      </c>
      <c r="VOO1" t="s">
        <v>15648</v>
      </c>
      <c r="VOP1" t="s">
        <v>15649</v>
      </c>
      <c r="VOQ1" t="s">
        <v>15650</v>
      </c>
      <c r="VOR1" t="s">
        <v>15651</v>
      </c>
      <c r="VOS1" t="s">
        <v>15652</v>
      </c>
      <c r="VOT1" t="s">
        <v>15653</v>
      </c>
      <c r="VOU1" t="s">
        <v>15654</v>
      </c>
      <c r="VOV1" t="s">
        <v>15655</v>
      </c>
      <c r="VOW1" t="s">
        <v>15656</v>
      </c>
      <c r="VOX1" t="s">
        <v>15657</v>
      </c>
      <c r="VOY1" t="s">
        <v>15658</v>
      </c>
      <c r="VOZ1" t="s">
        <v>15659</v>
      </c>
      <c r="VPA1" t="s">
        <v>15660</v>
      </c>
      <c r="VPB1" t="s">
        <v>15661</v>
      </c>
      <c r="VPC1" t="s">
        <v>15662</v>
      </c>
      <c r="VPD1" t="s">
        <v>15663</v>
      </c>
      <c r="VPE1" t="s">
        <v>15664</v>
      </c>
      <c r="VPF1" t="s">
        <v>15665</v>
      </c>
      <c r="VPG1" t="s">
        <v>15666</v>
      </c>
      <c r="VPH1" t="s">
        <v>15667</v>
      </c>
      <c r="VPI1" t="s">
        <v>15668</v>
      </c>
      <c r="VPJ1" t="s">
        <v>15669</v>
      </c>
      <c r="VPK1" t="s">
        <v>15670</v>
      </c>
      <c r="VPL1" t="s">
        <v>15671</v>
      </c>
      <c r="VPM1" t="s">
        <v>15672</v>
      </c>
      <c r="VPN1" t="s">
        <v>15673</v>
      </c>
      <c r="VPO1" t="s">
        <v>15674</v>
      </c>
      <c r="VPP1" t="s">
        <v>15675</v>
      </c>
      <c r="VPQ1" t="s">
        <v>15676</v>
      </c>
      <c r="VPR1" t="s">
        <v>15677</v>
      </c>
      <c r="VPS1" t="s">
        <v>15678</v>
      </c>
      <c r="VPT1" t="s">
        <v>15679</v>
      </c>
      <c r="VPU1" t="s">
        <v>15680</v>
      </c>
      <c r="VPV1" t="s">
        <v>15681</v>
      </c>
      <c r="VPW1" t="s">
        <v>15682</v>
      </c>
      <c r="VPX1" t="s">
        <v>15683</v>
      </c>
      <c r="VPY1" t="s">
        <v>15684</v>
      </c>
      <c r="VPZ1" t="s">
        <v>15685</v>
      </c>
      <c r="VQA1" t="s">
        <v>15686</v>
      </c>
      <c r="VQB1" t="s">
        <v>15687</v>
      </c>
      <c r="VQC1" t="s">
        <v>15688</v>
      </c>
      <c r="VQD1" t="s">
        <v>15689</v>
      </c>
      <c r="VQE1" t="s">
        <v>15690</v>
      </c>
      <c r="VQF1" t="s">
        <v>15691</v>
      </c>
      <c r="VQG1" t="s">
        <v>15692</v>
      </c>
      <c r="VQH1" t="s">
        <v>15693</v>
      </c>
      <c r="VQI1" t="s">
        <v>15694</v>
      </c>
      <c r="VQJ1" t="s">
        <v>15695</v>
      </c>
      <c r="VQK1" t="s">
        <v>15696</v>
      </c>
      <c r="VQL1" t="s">
        <v>15697</v>
      </c>
      <c r="VQM1" t="s">
        <v>15698</v>
      </c>
      <c r="VQN1" t="s">
        <v>15699</v>
      </c>
      <c r="VQO1" t="s">
        <v>15700</v>
      </c>
      <c r="VQP1" t="s">
        <v>15701</v>
      </c>
      <c r="VQQ1" t="s">
        <v>15702</v>
      </c>
      <c r="VQR1" t="s">
        <v>15703</v>
      </c>
      <c r="VQS1" t="s">
        <v>15704</v>
      </c>
      <c r="VQT1" t="s">
        <v>15705</v>
      </c>
      <c r="VQU1" t="s">
        <v>15706</v>
      </c>
      <c r="VQV1" t="s">
        <v>15707</v>
      </c>
      <c r="VQW1" t="s">
        <v>15708</v>
      </c>
      <c r="VQX1" t="s">
        <v>15709</v>
      </c>
      <c r="VQY1" t="s">
        <v>15710</v>
      </c>
      <c r="VQZ1" t="s">
        <v>15711</v>
      </c>
      <c r="VRA1" t="s">
        <v>15712</v>
      </c>
      <c r="VRB1" t="s">
        <v>15713</v>
      </c>
      <c r="VRC1" t="s">
        <v>15714</v>
      </c>
      <c r="VRD1" t="s">
        <v>15715</v>
      </c>
      <c r="VRE1" t="s">
        <v>15716</v>
      </c>
      <c r="VRF1" t="s">
        <v>15717</v>
      </c>
      <c r="VRG1" t="s">
        <v>15718</v>
      </c>
      <c r="VRH1" t="s">
        <v>15719</v>
      </c>
      <c r="VRI1" t="s">
        <v>15720</v>
      </c>
      <c r="VRJ1" t="s">
        <v>15721</v>
      </c>
      <c r="VRK1" t="s">
        <v>15722</v>
      </c>
      <c r="VRL1" t="s">
        <v>15723</v>
      </c>
      <c r="VRM1" t="s">
        <v>15724</v>
      </c>
      <c r="VRN1" t="s">
        <v>15725</v>
      </c>
      <c r="VRO1" t="s">
        <v>15726</v>
      </c>
      <c r="VRP1" t="s">
        <v>15727</v>
      </c>
      <c r="VRQ1" t="s">
        <v>15728</v>
      </c>
      <c r="VRR1" t="s">
        <v>15729</v>
      </c>
      <c r="VRS1" t="s">
        <v>15730</v>
      </c>
      <c r="VRT1" t="s">
        <v>15731</v>
      </c>
      <c r="VRU1" t="s">
        <v>15732</v>
      </c>
      <c r="VRV1" t="s">
        <v>15733</v>
      </c>
      <c r="VRW1" t="s">
        <v>15734</v>
      </c>
      <c r="VRX1" t="s">
        <v>15735</v>
      </c>
      <c r="VRY1" t="s">
        <v>15736</v>
      </c>
      <c r="VRZ1" t="s">
        <v>15737</v>
      </c>
      <c r="VSA1" t="s">
        <v>15738</v>
      </c>
      <c r="VSB1" t="s">
        <v>15739</v>
      </c>
      <c r="VSC1" t="s">
        <v>15740</v>
      </c>
      <c r="VSD1" t="s">
        <v>15741</v>
      </c>
      <c r="VSE1" t="s">
        <v>15742</v>
      </c>
      <c r="VSF1" t="s">
        <v>15743</v>
      </c>
      <c r="VSG1" t="s">
        <v>15744</v>
      </c>
      <c r="VSH1" t="s">
        <v>15745</v>
      </c>
      <c r="VSI1" t="s">
        <v>15746</v>
      </c>
      <c r="VSJ1" t="s">
        <v>15747</v>
      </c>
      <c r="VSK1" t="s">
        <v>15748</v>
      </c>
      <c r="VSL1" t="s">
        <v>15749</v>
      </c>
      <c r="VSM1" t="s">
        <v>15750</v>
      </c>
      <c r="VSN1" t="s">
        <v>15751</v>
      </c>
      <c r="VSO1" t="s">
        <v>15752</v>
      </c>
      <c r="VSP1" t="s">
        <v>15753</v>
      </c>
      <c r="VSQ1" t="s">
        <v>15754</v>
      </c>
      <c r="VSR1" t="s">
        <v>15755</v>
      </c>
      <c r="VSS1" t="s">
        <v>15756</v>
      </c>
      <c r="VST1" t="s">
        <v>15757</v>
      </c>
      <c r="VSU1" t="s">
        <v>15758</v>
      </c>
      <c r="VSV1" t="s">
        <v>15759</v>
      </c>
      <c r="VSW1" t="s">
        <v>15760</v>
      </c>
      <c r="VSX1" t="s">
        <v>15761</v>
      </c>
      <c r="VSY1" t="s">
        <v>15762</v>
      </c>
      <c r="VSZ1" t="s">
        <v>15763</v>
      </c>
      <c r="VTA1" t="s">
        <v>15764</v>
      </c>
      <c r="VTB1" t="s">
        <v>15765</v>
      </c>
      <c r="VTC1" t="s">
        <v>15766</v>
      </c>
      <c r="VTD1" t="s">
        <v>15767</v>
      </c>
      <c r="VTE1" t="s">
        <v>15768</v>
      </c>
      <c r="VTF1" t="s">
        <v>15769</v>
      </c>
      <c r="VTG1" t="s">
        <v>15770</v>
      </c>
      <c r="VTH1" t="s">
        <v>15771</v>
      </c>
      <c r="VTI1" t="s">
        <v>15772</v>
      </c>
      <c r="VTJ1" t="s">
        <v>15773</v>
      </c>
      <c r="VTK1" t="s">
        <v>15774</v>
      </c>
      <c r="VTL1" t="s">
        <v>15775</v>
      </c>
      <c r="VTM1" t="s">
        <v>15776</v>
      </c>
      <c r="VTN1" t="s">
        <v>15777</v>
      </c>
      <c r="VTO1" t="s">
        <v>15778</v>
      </c>
      <c r="VTP1" t="s">
        <v>15779</v>
      </c>
      <c r="VTQ1" t="s">
        <v>15780</v>
      </c>
      <c r="VTR1" t="s">
        <v>15781</v>
      </c>
      <c r="VTS1" t="s">
        <v>15782</v>
      </c>
      <c r="VTT1" t="s">
        <v>15783</v>
      </c>
      <c r="VTU1" t="s">
        <v>15784</v>
      </c>
      <c r="VTV1" t="s">
        <v>15785</v>
      </c>
      <c r="VTW1" t="s">
        <v>15786</v>
      </c>
      <c r="VTX1" t="s">
        <v>15787</v>
      </c>
      <c r="VTY1" t="s">
        <v>15788</v>
      </c>
      <c r="VTZ1" t="s">
        <v>15789</v>
      </c>
      <c r="VUA1" t="s">
        <v>15790</v>
      </c>
      <c r="VUB1" t="s">
        <v>15791</v>
      </c>
      <c r="VUC1" t="s">
        <v>15792</v>
      </c>
      <c r="VUD1" t="s">
        <v>15793</v>
      </c>
      <c r="VUE1" t="s">
        <v>15794</v>
      </c>
      <c r="VUF1" t="s">
        <v>15795</v>
      </c>
      <c r="VUG1" t="s">
        <v>15796</v>
      </c>
      <c r="VUH1" t="s">
        <v>15797</v>
      </c>
      <c r="VUI1" t="s">
        <v>15798</v>
      </c>
      <c r="VUJ1" t="s">
        <v>15799</v>
      </c>
      <c r="VUK1" t="s">
        <v>15800</v>
      </c>
      <c r="VUL1" t="s">
        <v>15801</v>
      </c>
      <c r="VUM1" t="s">
        <v>15802</v>
      </c>
      <c r="VUN1" t="s">
        <v>15803</v>
      </c>
      <c r="VUO1" t="s">
        <v>15804</v>
      </c>
      <c r="VUP1" t="s">
        <v>15805</v>
      </c>
      <c r="VUQ1" t="s">
        <v>15806</v>
      </c>
      <c r="VUR1" t="s">
        <v>15807</v>
      </c>
      <c r="VUS1" t="s">
        <v>15808</v>
      </c>
      <c r="VUT1" t="s">
        <v>15809</v>
      </c>
      <c r="VUU1" t="s">
        <v>15810</v>
      </c>
      <c r="VUV1" t="s">
        <v>15811</v>
      </c>
      <c r="VUW1" t="s">
        <v>15812</v>
      </c>
      <c r="VUX1" t="s">
        <v>15813</v>
      </c>
      <c r="VUY1" t="s">
        <v>15814</v>
      </c>
      <c r="VUZ1" t="s">
        <v>15815</v>
      </c>
      <c r="VVA1" t="s">
        <v>15816</v>
      </c>
      <c r="VVB1" t="s">
        <v>15817</v>
      </c>
      <c r="VVC1" t="s">
        <v>15818</v>
      </c>
      <c r="VVD1" t="s">
        <v>15819</v>
      </c>
      <c r="VVE1" t="s">
        <v>15820</v>
      </c>
      <c r="VVF1" t="s">
        <v>15821</v>
      </c>
      <c r="VVG1" t="s">
        <v>15822</v>
      </c>
      <c r="VVH1" t="s">
        <v>15823</v>
      </c>
      <c r="VVI1" t="s">
        <v>15824</v>
      </c>
      <c r="VVJ1" t="s">
        <v>15825</v>
      </c>
      <c r="VVK1" t="s">
        <v>15826</v>
      </c>
      <c r="VVL1" t="s">
        <v>15827</v>
      </c>
      <c r="VVM1" t="s">
        <v>15828</v>
      </c>
      <c r="VVN1" t="s">
        <v>15829</v>
      </c>
      <c r="VVO1" t="s">
        <v>15830</v>
      </c>
      <c r="VVP1" t="s">
        <v>15831</v>
      </c>
      <c r="VVQ1" t="s">
        <v>15832</v>
      </c>
      <c r="VVR1" t="s">
        <v>15833</v>
      </c>
      <c r="VVS1" t="s">
        <v>15834</v>
      </c>
      <c r="VVT1" t="s">
        <v>15835</v>
      </c>
      <c r="VVU1" t="s">
        <v>15836</v>
      </c>
      <c r="VVV1" t="s">
        <v>15837</v>
      </c>
      <c r="VVW1" t="s">
        <v>15838</v>
      </c>
      <c r="VVX1" t="s">
        <v>15839</v>
      </c>
      <c r="VVY1" t="s">
        <v>15840</v>
      </c>
      <c r="VVZ1" t="s">
        <v>15841</v>
      </c>
      <c r="VWA1" t="s">
        <v>15842</v>
      </c>
      <c r="VWB1" t="s">
        <v>15843</v>
      </c>
      <c r="VWC1" t="s">
        <v>15844</v>
      </c>
      <c r="VWD1" t="s">
        <v>15845</v>
      </c>
      <c r="VWE1" t="s">
        <v>15846</v>
      </c>
      <c r="VWF1" t="s">
        <v>15847</v>
      </c>
      <c r="VWG1" t="s">
        <v>15848</v>
      </c>
      <c r="VWH1" t="s">
        <v>15849</v>
      </c>
      <c r="VWI1" t="s">
        <v>15850</v>
      </c>
      <c r="VWJ1" t="s">
        <v>15851</v>
      </c>
      <c r="VWK1" t="s">
        <v>15852</v>
      </c>
      <c r="VWL1" t="s">
        <v>15853</v>
      </c>
      <c r="VWM1" t="s">
        <v>15854</v>
      </c>
      <c r="VWN1" t="s">
        <v>15855</v>
      </c>
      <c r="VWO1" t="s">
        <v>15856</v>
      </c>
      <c r="VWP1" t="s">
        <v>15857</v>
      </c>
      <c r="VWQ1" t="s">
        <v>15858</v>
      </c>
      <c r="VWR1" t="s">
        <v>15859</v>
      </c>
      <c r="VWS1" t="s">
        <v>15860</v>
      </c>
      <c r="VWT1" t="s">
        <v>15861</v>
      </c>
      <c r="VWU1" t="s">
        <v>15862</v>
      </c>
      <c r="VWV1" t="s">
        <v>15863</v>
      </c>
      <c r="VWW1" t="s">
        <v>15864</v>
      </c>
      <c r="VWX1" t="s">
        <v>15865</v>
      </c>
      <c r="VWY1" t="s">
        <v>15866</v>
      </c>
      <c r="VWZ1" t="s">
        <v>15867</v>
      </c>
      <c r="VXA1" t="s">
        <v>15868</v>
      </c>
      <c r="VXB1" t="s">
        <v>15869</v>
      </c>
      <c r="VXC1" t="s">
        <v>15870</v>
      </c>
      <c r="VXD1" t="s">
        <v>15871</v>
      </c>
      <c r="VXE1" t="s">
        <v>15872</v>
      </c>
      <c r="VXF1" t="s">
        <v>15873</v>
      </c>
      <c r="VXG1" t="s">
        <v>15874</v>
      </c>
      <c r="VXH1" t="s">
        <v>15875</v>
      </c>
      <c r="VXI1" t="s">
        <v>15876</v>
      </c>
      <c r="VXJ1" t="s">
        <v>15877</v>
      </c>
      <c r="VXK1" t="s">
        <v>15878</v>
      </c>
      <c r="VXL1" t="s">
        <v>15879</v>
      </c>
      <c r="VXM1" t="s">
        <v>15880</v>
      </c>
      <c r="VXN1" t="s">
        <v>15881</v>
      </c>
      <c r="VXO1" t="s">
        <v>15882</v>
      </c>
      <c r="VXP1" t="s">
        <v>15883</v>
      </c>
      <c r="VXQ1" t="s">
        <v>15884</v>
      </c>
      <c r="VXR1" t="s">
        <v>15885</v>
      </c>
      <c r="VXS1" t="s">
        <v>15886</v>
      </c>
      <c r="VXT1" t="s">
        <v>15887</v>
      </c>
      <c r="VXU1" t="s">
        <v>15888</v>
      </c>
      <c r="VXV1" t="s">
        <v>15889</v>
      </c>
      <c r="VXW1" t="s">
        <v>15890</v>
      </c>
      <c r="VXX1" t="s">
        <v>15891</v>
      </c>
      <c r="VXY1" t="s">
        <v>15892</v>
      </c>
      <c r="VXZ1" t="s">
        <v>15893</v>
      </c>
      <c r="VYA1" t="s">
        <v>15894</v>
      </c>
      <c r="VYB1" t="s">
        <v>15895</v>
      </c>
      <c r="VYC1" t="s">
        <v>15896</v>
      </c>
      <c r="VYD1" t="s">
        <v>15897</v>
      </c>
      <c r="VYE1" t="s">
        <v>15898</v>
      </c>
      <c r="VYF1" t="s">
        <v>15899</v>
      </c>
      <c r="VYG1" t="s">
        <v>15900</v>
      </c>
      <c r="VYH1" t="s">
        <v>15901</v>
      </c>
      <c r="VYI1" t="s">
        <v>15902</v>
      </c>
      <c r="VYJ1" t="s">
        <v>15903</v>
      </c>
      <c r="VYK1" t="s">
        <v>15904</v>
      </c>
      <c r="VYL1" t="s">
        <v>15905</v>
      </c>
      <c r="VYM1" t="s">
        <v>15906</v>
      </c>
      <c r="VYN1" t="s">
        <v>15907</v>
      </c>
      <c r="VYO1" t="s">
        <v>15908</v>
      </c>
      <c r="VYP1" t="s">
        <v>15909</v>
      </c>
      <c r="VYQ1" t="s">
        <v>15910</v>
      </c>
      <c r="VYR1" t="s">
        <v>15911</v>
      </c>
      <c r="VYS1" t="s">
        <v>15912</v>
      </c>
      <c r="VYT1" t="s">
        <v>15913</v>
      </c>
      <c r="VYU1" t="s">
        <v>15914</v>
      </c>
      <c r="VYV1" t="s">
        <v>15915</v>
      </c>
      <c r="VYW1" t="s">
        <v>15916</v>
      </c>
      <c r="VYX1" t="s">
        <v>15917</v>
      </c>
      <c r="VYY1" t="s">
        <v>15918</v>
      </c>
      <c r="VYZ1" t="s">
        <v>15919</v>
      </c>
      <c r="VZA1" t="s">
        <v>15920</v>
      </c>
      <c r="VZB1" t="s">
        <v>15921</v>
      </c>
      <c r="VZC1" t="s">
        <v>15922</v>
      </c>
      <c r="VZD1" t="s">
        <v>15923</v>
      </c>
      <c r="VZE1" t="s">
        <v>15924</v>
      </c>
      <c r="VZF1" t="s">
        <v>15925</v>
      </c>
      <c r="VZG1" t="s">
        <v>15926</v>
      </c>
      <c r="VZH1" t="s">
        <v>15927</v>
      </c>
      <c r="VZI1" t="s">
        <v>15928</v>
      </c>
      <c r="VZJ1" t="s">
        <v>15929</v>
      </c>
      <c r="VZK1" t="s">
        <v>15930</v>
      </c>
      <c r="VZL1" t="s">
        <v>15931</v>
      </c>
      <c r="VZM1" t="s">
        <v>15932</v>
      </c>
      <c r="VZN1" t="s">
        <v>15933</v>
      </c>
      <c r="VZO1" t="s">
        <v>15934</v>
      </c>
      <c r="VZP1" t="s">
        <v>15935</v>
      </c>
      <c r="VZQ1" t="s">
        <v>15936</v>
      </c>
      <c r="VZR1" t="s">
        <v>15937</v>
      </c>
      <c r="VZS1" t="s">
        <v>15938</v>
      </c>
      <c r="VZT1" t="s">
        <v>15939</v>
      </c>
      <c r="VZU1" t="s">
        <v>15940</v>
      </c>
      <c r="VZV1" t="s">
        <v>15941</v>
      </c>
      <c r="VZW1" t="s">
        <v>15942</v>
      </c>
      <c r="VZX1" t="s">
        <v>15943</v>
      </c>
      <c r="VZY1" t="s">
        <v>15944</v>
      </c>
      <c r="VZZ1" t="s">
        <v>15945</v>
      </c>
      <c r="WAA1" t="s">
        <v>15946</v>
      </c>
      <c r="WAB1" t="s">
        <v>15947</v>
      </c>
      <c r="WAC1" t="s">
        <v>15948</v>
      </c>
      <c r="WAD1" t="s">
        <v>15949</v>
      </c>
      <c r="WAE1" t="s">
        <v>15950</v>
      </c>
      <c r="WAF1" t="s">
        <v>15951</v>
      </c>
      <c r="WAG1" t="s">
        <v>15952</v>
      </c>
      <c r="WAH1" t="s">
        <v>15953</v>
      </c>
      <c r="WAI1" t="s">
        <v>15954</v>
      </c>
      <c r="WAJ1" t="s">
        <v>15955</v>
      </c>
      <c r="WAK1" t="s">
        <v>15956</v>
      </c>
      <c r="WAL1" t="s">
        <v>15957</v>
      </c>
      <c r="WAM1" t="s">
        <v>15958</v>
      </c>
      <c r="WAN1" t="s">
        <v>15959</v>
      </c>
      <c r="WAO1" t="s">
        <v>15960</v>
      </c>
      <c r="WAP1" t="s">
        <v>15961</v>
      </c>
      <c r="WAQ1" t="s">
        <v>15962</v>
      </c>
      <c r="WAR1" t="s">
        <v>15963</v>
      </c>
      <c r="WAS1" t="s">
        <v>15964</v>
      </c>
      <c r="WAT1" t="s">
        <v>15965</v>
      </c>
      <c r="WAU1" t="s">
        <v>15966</v>
      </c>
      <c r="WAV1" t="s">
        <v>15967</v>
      </c>
      <c r="WAW1" t="s">
        <v>15968</v>
      </c>
      <c r="WAX1" t="s">
        <v>15969</v>
      </c>
      <c r="WAY1" t="s">
        <v>15970</v>
      </c>
      <c r="WAZ1" t="s">
        <v>15971</v>
      </c>
      <c r="WBA1" t="s">
        <v>15972</v>
      </c>
      <c r="WBB1" t="s">
        <v>15973</v>
      </c>
      <c r="WBC1" t="s">
        <v>15974</v>
      </c>
      <c r="WBD1" t="s">
        <v>15975</v>
      </c>
      <c r="WBE1" t="s">
        <v>15976</v>
      </c>
      <c r="WBF1" t="s">
        <v>15977</v>
      </c>
      <c r="WBG1" t="s">
        <v>15978</v>
      </c>
      <c r="WBH1" t="s">
        <v>15979</v>
      </c>
      <c r="WBI1" t="s">
        <v>15980</v>
      </c>
      <c r="WBJ1" t="s">
        <v>15981</v>
      </c>
      <c r="WBK1" t="s">
        <v>15982</v>
      </c>
      <c r="WBL1" t="s">
        <v>15983</v>
      </c>
      <c r="WBM1" t="s">
        <v>15984</v>
      </c>
      <c r="WBN1" t="s">
        <v>15985</v>
      </c>
      <c r="WBO1" t="s">
        <v>15986</v>
      </c>
      <c r="WBP1" t="s">
        <v>15987</v>
      </c>
      <c r="WBQ1" t="s">
        <v>15988</v>
      </c>
      <c r="WBR1" t="s">
        <v>15989</v>
      </c>
      <c r="WBS1" t="s">
        <v>15990</v>
      </c>
      <c r="WBT1" t="s">
        <v>15991</v>
      </c>
      <c r="WBU1" t="s">
        <v>15992</v>
      </c>
      <c r="WBV1" t="s">
        <v>15993</v>
      </c>
      <c r="WBW1" t="s">
        <v>15994</v>
      </c>
      <c r="WBX1" t="s">
        <v>15995</v>
      </c>
      <c r="WBY1" t="s">
        <v>15996</v>
      </c>
      <c r="WBZ1" t="s">
        <v>15997</v>
      </c>
      <c r="WCA1" t="s">
        <v>15998</v>
      </c>
      <c r="WCB1" t="s">
        <v>15999</v>
      </c>
      <c r="WCC1" t="s">
        <v>16000</v>
      </c>
      <c r="WCD1" t="s">
        <v>16001</v>
      </c>
      <c r="WCE1" t="s">
        <v>16002</v>
      </c>
      <c r="WCF1" t="s">
        <v>16003</v>
      </c>
      <c r="WCG1" t="s">
        <v>16004</v>
      </c>
      <c r="WCH1" t="s">
        <v>16005</v>
      </c>
      <c r="WCI1" t="s">
        <v>16006</v>
      </c>
      <c r="WCJ1" t="s">
        <v>16007</v>
      </c>
      <c r="WCK1" t="s">
        <v>16008</v>
      </c>
      <c r="WCL1" t="s">
        <v>16009</v>
      </c>
      <c r="WCM1" t="s">
        <v>16010</v>
      </c>
      <c r="WCN1" t="s">
        <v>16011</v>
      </c>
      <c r="WCO1" t="s">
        <v>16012</v>
      </c>
      <c r="WCP1" t="s">
        <v>16013</v>
      </c>
      <c r="WCQ1" t="s">
        <v>16014</v>
      </c>
      <c r="WCR1" t="s">
        <v>16015</v>
      </c>
      <c r="WCS1" t="s">
        <v>16016</v>
      </c>
      <c r="WCT1" t="s">
        <v>16017</v>
      </c>
      <c r="WCU1" t="s">
        <v>16018</v>
      </c>
      <c r="WCV1" t="s">
        <v>16019</v>
      </c>
      <c r="WCW1" t="s">
        <v>16020</v>
      </c>
      <c r="WCX1" t="s">
        <v>16021</v>
      </c>
      <c r="WCY1" t="s">
        <v>16022</v>
      </c>
      <c r="WCZ1" t="s">
        <v>16023</v>
      </c>
      <c r="WDA1" t="s">
        <v>16024</v>
      </c>
      <c r="WDB1" t="s">
        <v>16025</v>
      </c>
      <c r="WDC1" t="s">
        <v>16026</v>
      </c>
      <c r="WDD1" t="s">
        <v>16027</v>
      </c>
      <c r="WDE1" t="s">
        <v>16028</v>
      </c>
      <c r="WDF1" t="s">
        <v>16029</v>
      </c>
      <c r="WDG1" t="s">
        <v>16030</v>
      </c>
      <c r="WDH1" t="s">
        <v>16031</v>
      </c>
      <c r="WDI1" t="s">
        <v>16032</v>
      </c>
      <c r="WDJ1" t="s">
        <v>16033</v>
      </c>
      <c r="WDK1" t="s">
        <v>16034</v>
      </c>
      <c r="WDL1" t="s">
        <v>16035</v>
      </c>
      <c r="WDM1" t="s">
        <v>16036</v>
      </c>
      <c r="WDN1" t="s">
        <v>16037</v>
      </c>
      <c r="WDO1" t="s">
        <v>16038</v>
      </c>
      <c r="WDP1" t="s">
        <v>16039</v>
      </c>
      <c r="WDQ1" t="s">
        <v>16040</v>
      </c>
      <c r="WDR1" t="s">
        <v>16041</v>
      </c>
      <c r="WDS1" t="s">
        <v>16042</v>
      </c>
      <c r="WDT1" t="s">
        <v>16043</v>
      </c>
      <c r="WDU1" t="s">
        <v>16044</v>
      </c>
      <c r="WDV1" t="s">
        <v>16045</v>
      </c>
      <c r="WDW1" t="s">
        <v>16046</v>
      </c>
      <c r="WDX1" t="s">
        <v>16047</v>
      </c>
      <c r="WDY1" t="s">
        <v>16048</v>
      </c>
      <c r="WDZ1" t="s">
        <v>16049</v>
      </c>
      <c r="WEA1" t="s">
        <v>16050</v>
      </c>
      <c r="WEB1" t="s">
        <v>16051</v>
      </c>
      <c r="WEC1" t="s">
        <v>16052</v>
      </c>
      <c r="WED1" t="s">
        <v>16053</v>
      </c>
      <c r="WEE1" t="s">
        <v>16054</v>
      </c>
      <c r="WEF1" t="s">
        <v>16055</v>
      </c>
      <c r="WEG1" t="s">
        <v>16056</v>
      </c>
      <c r="WEH1" t="s">
        <v>16057</v>
      </c>
      <c r="WEI1" t="s">
        <v>16058</v>
      </c>
      <c r="WEJ1" t="s">
        <v>16059</v>
      </c>
      <c r="WEK1" t="s">
        <v>16060</v>
      </c>
      <c r="WEL1" t="s">
        <v>16061</v>
      </c>
      <c r="WEM1" t="s">
        <v>16062</v>
      </c>
      <c r="WEN1" t="s">
        <v>16063</v>
      </c>
      <c r="WEO1" t="s">
        <v>16064</v>
      </c>
      <c r="WEP1" t="s">
        <v>16065</v>
      </c>
      <c r="WEQ1" t="s">
        <v>16066</v>
      </c>
      <c r="WER1" t="s">
        <v>16067</v>
      </c>
      <c r="WES1" t="s">
        <v>16068</v>
      </c>
      <c r="WET1" t="s">
        <v>16069</v>
      </c>
      <c r="WEU1" t="s">
        <v>16070</v>
      </c>
      <c r="WEV1" t="s">
        <v>16071</v>
      </c>
      <c r="WEW1" t="s">
        <v>16072</v>
      </c>
      <c r="WEX1" t="s">
        <v>16073</v>
      </c>
      <c r="WEY1" t="s">
        <v>16074</v>
      </c>
      <c r="WEZ1" t="s">
        <v>16075</v>
      </c>
      <c r="WFA1" t="s">
        <v>16076</v>
      </c>
      <c r="WFB1" t="s">
        <v>16077</v>
      </c>
      <c r="WFC1" t="s">
        <v>16078</v>
      </c>
      <c r="WFD1" t="s">
        <v>16079</v>
      </c>
      <c r="WFE1" t="s">
        <v>16080</v>
      </c>
      <c r="WFF1" t="s">
        <v>16081</v>
      </c>
      <c r="WFG1" t="s">
        <v>16082</v>
      </c>
      <c r="WFH1" t="s">
        <v>16083</v>
      </c>
      <c r="WFI1" t="s">
        <v>16084</v>
      </c>
      <c r="WFJ1" t="s">
        <v>16085</v>
      </c>
      <c r="WFK1" t="s">
        <v>16086</v>
      </c>
      <c r="WFL1" t="s">
        <v>16087</v>
      </c>
      <c r="WFM1" t="s">
        <v>16088</v>
      </c>
      <c r="WFN1" t="s">
        <v>16089</v>
      </c>
      <c r="WFO1" t="s">
        <v>16090</v>
      </c>
      <c r="WFP1" t="s">
        <v>16091</v>
      </c>
      <c r="WFQ1" t="s">
        <v>16092</v>
      </c>
      <c r="WFR1" t="s">
        <v>16093</v>
      </c>
      <c r="WFS1" t="s">
        <v>16094</v>
      </c>
      <c r="WFT1" t="s">
        <v>16095</v>
      </c>
      <c r="WFU1" t="s">
        <v>16096</v>
      </c>
      <c r="WFV1" t="s">
        <v>16097</v>
      </c>
      <c r="WFW1" t="s">
        <v>16098</v>
      </c>
      <c r="WFX1" t="s">
        <v>16099</v>
      </c>
      <c r="WFY1" t="s">
        <v>16100</v>
      </c>
      <c r="WFZ1" t="s">
        <v>16101</v>
      </c>
      <c r="WGA1" t="s">
        <v>16102</v>
      </c>
      <c r="WGB1" t="s">
        <v>16103</v>
      </c>
      <c r="WGC1" t="s">
        <v>16104</v>
      </c>
      <c r="WGD1" t="s">
        <v>16105</v>
      </c>
      <c r="WGE1" t="s">
        <v>16106</v>
      </c>
      <c r="WGF1" t="s">
        <v>16107</v>
      </c>
      <c r="WGG1" t="s">
        <v>16108</v>
      </c>
      <c r="WGH1" t="s">
        <v>16109</v>
      </c>
      <c r="WGI1" t="s">
        <v>16110</v>
      </c>
      <c r="WGJ1" t="s">
        <v>16111</v>
      </c>
      <c r="WGK1" t="s">
        <v>16112</v>
      </c>
      <c r="WGL1" t="s">
        <v>16113</v>
      </c>
      <c r="WGM1" t="s">
        <v>16114</v>
      </c>
      <c r="WGN1" t="s">
        <v>16115</v>
      </c>
      <c r="WGO1" t="s">
        <v>16116</v>
      </c>
      <c r="WGP1" t="s">
        <v>16117</v>
      </c>
      <c r="WGQ1" t="s">
        <v>16118</v>
      </c>
      <c r="WGR1" t="s">
        <v>16119</v>
      </c>
      <c r="WGS1" t="s">
        <v>16120</v>
      </c>
      <c r="WGT1" t="s">
        <v>16121</v>
      </c>
      <c r="WGU1" t="s">
        <v>16122</v>
      </c>
      <c r="WGV1" t="s">
        <v>16123</v>
      </c>
      <c r="WGW1" t="s">
        <v>16124</v>
      </c>
      <c r="WGX1" t="s">
        <v>16125</v>
      </c>
      <c r="WGY1" t="s">
        <v>16126</v>
      </c>
      <c r="WGZ1" t="s">
        <v>16127</v>
      </c>
      <c r="WHA1" t="s">
        <v>16128</v>
      </c>
      <c r="WHB1" t="s">
        <v>16129</v>
      </c>
      <c r="WHC1" t="s">
        <v>16130</v>
      </c>
      <c r="WHD1" t="s">
        <v>16131</v>
      </c>
      <c r="WHE1" t="s">
        <v>16132</v>
      </c>
      <c r="WHF1" t="s">
        <v>16133</v>
      </c>
      <c r="WHG1" t="s">
        <v>16134</v>
      </c>
      <c r="WHH1" t="s">
        <v>16135</v>
      </c>
      <c r="WHI1" t="s">
        <v>16136</v>
      </c>
      <c r="WHJ1" t="s">
        <v>16137</v>
      </c>
      <c r="WHK1" t="s">
        <v>16138</v>
      </c>
      <c r="WHL1" t="s">
        <v>16139</v>
      </c>
      <c r="WHM1" t="s">
        <v>16140</v>
      </c>
      <c r="WHN1" t="s">
        <v>16141</v>
      </c>
      <c r="WHO1" t="s">
        <v>16142</v>
      </c>
      <c r="WHP1" t="s">
        <v>16143</v>
      </c>
      <c r="WHQ1" t="s">
        <v>16144</v>
      </c>
      <c r="WHR1" t="s">
        <v>16145</v>
      </c>
      <c r="WHS1" t="s">
        <v>16146</v>
      </c>
      <c r="WHT1" t="s">
        <v>16147</v>
      </c>
      <c r="WHU1" t="s">
        <v>16148</v>
      </c>
      <c r="WHV1" t="s">
        <v>16149</v>
      </c>
      <c r="WHW1" t="s">
        <v>16150</v>
      </c>
      <c r="WHX1" t="s">
        <v>16151</v>
      </c>
      <c r="WHY1" t="s">
        <v>16152</v>
      </c>
      <c r="WHZ1" t="s">
        <v>16153</v>
      </c>
      <c r="WIA1" t="s">
        <v>16154</v>
      </c>
      <c r="WIB1" t="s">
        <v>16155</v>
      </c>
      <c r="WIC1" t="s">
        <v>16156</v>
      </c>
      <c r="WID1" t="s">
        <v>16157</v>
      </c>
      <c r="WIE1" t="s">
        <v>16158</v>
      </c>
      <c r="WIF1" t="s">
        <v>16159</v>
      </c>
      <c r="WIG1" t="s">
        <v>16160</v>
      </c>
      <c r="WIH1" t="s">
        <v>16161</v>
      </c>
      <c r="WII1" t="s">
        <v>16162</v>
      </c>
      <c r="WIJ1" t="s">
        <v>16163</v>
      </c>
      <c r="WIK1" t="s">
        <v>16164</v>
      </c>
      <c r="WIL1" t="s">
        <v>16165</v>
      </c>
      <c r="WIM1" t="s">
        <v>16166</v>
      </c>
      <c r="WIN1" t="s">
        <v>16167</v>
      </c>
      <c r="WIO1" t="s">
        <v>16168</v>
      </c>
      <c r="WIP1" t="s">
        <v>16169</v>
      </c>
      <c r="WIQ1" t="s">
        <v>16170</v>
      </c>
      <c r="WIR1" t="s">
        <v>16171</v>
      </c>
      <c r="WIS1" t="s">
        <v>16172</v>
      </c>
      <c r="WIT1" t="s">
        <v>16173</v>
      </c>
      <c r="WIU1" t="s">
        <v>16174</v>
      </c>
      <c r="WIV1" t="s">
        <v>16175</v>
      </c>
      <c r="WIW1" t="s">
        <v>16176</v>
      </c>
      <c r="WIX1" t="s">
        <v>16177</v>
      </c>
      <c r="WIY1" t="s">
        <v>16178</v>
      </c>
      <c r="WIZ1" t="s">
        <v>16179</v>
      </c>
      <c r="WJA1" t="s">
        <v>16180</v>
      </c>
      <c r="WJB1" t="s">
        <v>16181</v>
      </c>
      <c r="WJC1" t="s">
        <v>16182</v>
      </c>
      <c r="WJD1" t="s">
        <v>16183</v>
      </c>
      <c r="WJE1" t="s">
        <v>16184</v>
      </c>
      <c r="WJF1" t="s">
        <v>16185</v>
      </c>
      <c r="WJG1" t="s">
        <v>16186</v>
      </c>
      <c r="WJH1" t="s">
        <v>16187</v>
      </c>
      <c r="WJI1" t="s">
        <v>16188</v>
      </c>
      <c r="WJJ1" t="s">
        <v>16189</v>
      </c>
      <c r="WJK1" t="s">
        <v>16190</v>
      </c>
      <c r="WJL1" t="s">
        <v>16191</v>
      </c>
      <c r="WJM1" t="s">
        <v>16192</v>
      </c>
      <c r="WJN1" t="s">
        <v>16193</v>
      </c>
      <c r="WJO1" t="s">
        <v>16194</v>
      </c>
      <c r="WJP1" t="s">
        <v>16195</v>
      </c>
      <c r="WJQ1" t="s">
        <v>16196</v>
      </c>
      <c r="WJR1" t="s">
        <v>16197</v>
      </c>
      <c r="WJS1" t="s">
        <v>16198</v>
      </c>
      <c r="WJT1" t="s">
        <v>16199</v>
      </c>
      <c r="WJU1" t="s">
        <v>16200</v>
      </c>
      <c r="WJV1" t="s">
        <v>16201</v>
      </c>
      <c r="WJW1" t="s">
        <v>16202</v>
      </c>
      <c r="WJX1" t="s">
        <v>16203</v>
      </c>
      <c r="WJY1" t="s">
        <v>16204</v>
      </c>
      <c r="WJZ1" t="s">
        <v>16205</v>
      </c>
      <c r="WKA1" t="s">
        <v>16206</v>
      </c>
      <c r="WKB1" t="s">
        <v>16207</v>
      </c>
      <c r="WKC1" t="s">
        <v>16208</v>
      </c>
      <c r="WKD1" t="s">
        <v>16209</v>
      </c>
      <c r="WKE1" t="s">
        <v>16210</v>
      </c>
      <c r="WKF1" t="s">
        <v>16211</v>
      </c>
      <c r="WKG1" t="s">
        <v>16212</v>
      </c>
      <c r="WKH1" t="s">
        <v>16213</v>
      </c>
      <c r="WKI1" t="s">
        <v>16214</v>
      </c>
      <c r="WKJ1" t="s">
        <v>16215</v>
      </c>
      <c r="WKK1" t="s">
        <v>16216</v>
      </c>
      <c r="WKL1" t="s">
        <v>16217</v>
      </c>
      <c r="WKM1" t="s">
        <v>16218</v>
      </c>
      <c r="WKN1" t="s">
        <v>16219</v>
      </c>
      <c r="WKO1" t="s">
        <v>16220</v>
      </c>
      <c r="WKP1" t="s">
        <v>16221</v>
      </c>
      <c r="WKQ1" t="s">
        <v>16222</v>
      </c>
      <c r="WKR1" t="s">
        <v>16223</v>
      </c>
      <c r="WKS1" t="s">
        <v>16224</v>
      </c>
      <c r="WKT1" t="s">
        <v>16225</v>
      </c>
      <c r="WKU1" t="s">
        <v>16226</v>
      </c>
      <c r="WKV1" t="s">
        <v>16227</v>
      </c>
      <c r="WKW1" t="s">
        <v>16228</v>
      </c>
      <c r="WKX1" t="s">
        <v>16229</v>
      </c>
      <c r="WKY1" t="s">
        <v>16230</v>
      </c>
      <c r="WKZ1" t="s">
        <v>16231</v>
      </c>
      <c r="WLA1" t="s">
        <v>16232</v>
      </c>
      <c r="WLB1" t="s">
        <v>16233</v>
      </c>
      <c r="WLC1" t="s">
        <v>16234</v>
      </c>
      <c r="WLD1" t="s">
        <v>16235</v>
      </c>
      <c r="WLE1" t="s">
        <v>16236</v>
      </c>
      <c r="WLF1" t="s">
        <v>16237</v>
      </c>
      <c r="WLG1" t="s">
        <v>16238</v>
      </c>
      <c r="WLH1" t="s">
        <v>16239</v>
      </c>
      <c r="WLI1" t="s">
        <v>16240</v>
      </c>
      <c r="WLJ1" t="s">
        <v>16241</v>
      </c>
      <c r="WLK1" t="s">
        <v>16242</v>
      </c>
      <c r="WLL1" t="s">
        <v>16243</v>
      </c>
      <c r="WLM1" t="s">
        <v>16244</v>
      </c>
      <c r="WLN1" t="s">
        <v>16245</v>
      </c>
      <c r="WLO1" t="s">
        <v>16246</v>
      </c>
      <c r="WLP1" t="s">
        <v>16247</v>
      </c>
      <c r="WLQ1" t="s">
        <v>16248</v>
      </c>
      <c r="WLR1" t="s">
        <v>16249</v>
      </c>
      <c r="WLS1" t="s">
        <v>16250</v>
      </c>
      <c r="WLT1" t="s">
        <v>16251</v>
      </c>
      <c r="WLU1" t="s">
        <v>16252</v>
      </c>
      <c r="WLV1" t="s">
        <v>16253</v>
      </c>
      <c r="WLW1" t="s">
        <v>16254</v>
      </c>
      <c r="WLX1" t="s">
        <v>16255</v>
      </c>
      <c r="WLY1" t="s">
        <v>16256</v>
      </c>
      <c r="WLZ1" t="s">
        <v>16257</v>
      </c>
      <c r="WMA1" t="s">
        <v>16258</v>
      </c>
      <c r="WMB1" t="s">
        <v>16259</v>
      </c>
      <c r="WMC1" t="s">
        <v>16260</v>
      </c>
      <c r="WMD1" t="s">
        <v>16261</v>
      </c>
      <c r="WME1" t="s">
        <v>16262</v>
      </c>
      <c r="WMF1" t="s">
        <v>16263</v>
      </c>
      <c r="WMG1" t="s">
        <v>16264</v>
      </c>
      <c r="WMH1" t="s">
        <v>16265</v>
      </c>
      <c r="WMI1" t="s">
        <v>16266</v>
      </c>
      <c r="WMJ1" t="s">
        <v>16267</v>
      </c>
      <c r="WMK1" t="s">
        <v>16268</v>
      </c>
      <c r="WML1" t="s">
        <v>16269</v>
      </c>
      <c r="WMM1" t="s">
        <v>16270</v>
      </c>
      <c r="WMN1" t="s">
        <v>16271</v>
      </c>
      <c r="WMO1" t="s">
        <v>16272</v>
      </c>
      <c r="WMP1" t="s">
        <v>16273</v>
      </c>
      <c r="WMQ1" t="s">
        <v>16274</v>
      </c>
      <c r="WMR1" t="s">
        <v>16275</v>
      </c>
      <c r="WMS1" t="s">
        <v>16276</v>
      </c>
      <c r="WMT1" t="s">
        <v>16277</v>
      </c>
      <c r="WMU1" t="s">
        <v>16278</v>
      </c>
      <c r="WMV1" t="s">
        <v>16279</v>
      </c>
      <c r="WMW1" t="s">
        <v>16280</v>
      </c>
      <c r="WMX1" t="s">
        <v>16281</v>
      </c>
      <c r="WMY1" t="s">
        <v>16282</v>
      </c>
      <c r="WMZ1" t="s">
        <v>16283</v>
      </c>
      <c r="WNA1" t="s">
        <v>16284</v>
      </c>
      <c r="WNB1" t="s">
        <v>16285</v>
      </c>
      <c r="WNC1" t="s">
        <v>16286</v>
      </c>
      <c r="WND1" t="s">
        <v>16287</v>
      </c>
      <c r="WNE1" t="s">
        <v>16288</v>
      </c>
      <c r="WNF1" t="s">
        <v>16289</v>
      </c>
      <c r="WNG1" t="s">
        <v>16290</v>
      </c>
      <c r="WNH1" t="s">
        <v>16291</v>
      </c>
      <c r="WNI1" t="s">
        <v>16292</v>
      </c>
      <c r="WNJ1" t="s">
        <v>16293</v>
      </c>
      <c r="WNK1" t="s">
        <v>16294</v>
      </c>
      <c r="WNL1" t="s">
        <v>16295</v>
      </c>
      <c r="WNM1" t="s">
        <v>16296</v>
      </c>
      <c r="WNN1" t="s">
        <v>16297</v>
      </c>
      <c r="WNO1" t="s">
        <v>16298</v>
      </c>
      <c r="WNP1" t="s">
        <v>16299</v>
      </c>
      <c r="WNQ1" t="s">
        <v>16300</v>
      </c>
      <c r="WNR1" t="s">
        <v>16301</v>
      </c>
      <c r="WNS1" t="s">
        <v>16302</v>
      </c>
      <c r="WNT1" t="s">
        <v>16303</v>
      </c>
      <c r="WNU1" t="s">
        <v>16304</v>
      </c>
      <c r="WNV1" t="s">
        <v>16305</v>
      </c>
      <c r="WNW1" t="s">
        <v>16306</v>
      </c>
      <c r="WNX1" t="s">
        <v>16307</v>
      </c>
      <c r="WNY1" t="s">
        <v>16308</v>
      </c>
      <c r="WNZ1" t="s">
        <v>16309</v>
      </c>
      <c r="WOA1" t="s">
        <v>16310</v>
      </c>
      <c r="WOB1" t="s">
        <v>16311</v>
      </c>
      <c r="WOC1" t="s">
        <v>16312</v>
      </c>
      <c r="WOD1" t="s">
        <v>16313</v>
      </c>
      <c r="WOE1" t="s">
        <v>16314</v>
      </c>
      <c r="WOF1" t="s">
        <v>16315</v>
      </c>
      <c r="WOG1" t="s">
        <v>16316</v>
      </c>
      <c r="WOH1" t="s">
        <v>16317</v>
      </c>
      <c r="WOI1" t="s">
        <v>16318</v>
      </c>
      <c r="WOJ1" t="s">
        <v>16319</v>
      </c>
      <c r="WOK1" t="s">
        <v>16320</v>
      </c>
      <c r="WOL1" t="s">
        <v>16321</v>
      </c>
      <c r="WOM1" t="s">
        <v>16322</v>
      </c>
      <c r="WON1" t="s">
        <v>16323</v>
      </c>
      <c r="WOO1" t="s">
        <v>16324</v>
      </c>
      <c r="WOP1" t="s">
        <v>16325</v>
      </c>
      <c r="WOQ1" t="s">
        <v>16326</v>
      </c>
      <c r="WOR1" t="s">
        <v>16327</v>
      </c>
      <c r="WOS1" t="s">
        <v>16328</v>
      </c>
      <c r="WOT1" t="s">
        <v>16329</v>
      </c>
      <c r="WOU1" t="s">
        <v>16330</v>
      </c>
      <c r="WOV1" t="s">
        <v>16331</v>
      </c>
      <c r="WOW1" t="s">
        <v>16332</v>
      </c>
      <c r="WOX1" t="s">
        <v>16333</v>
      </c>
      <c r="WOY1" t="s">
        <v>16334</v>
      </c>
      <c r="WOZ1" t="s">
        <v>16335</v>
      </c>
      <c r="WPA1" t="s">
        <v>16336</v>
      </c>
      <c r="WPB1" t="s">
        <v>16337</v>
      </c>
      <c r="WPC1" t="s">
        <v>16338</v>
      </c>
      <c r="WPD1" t="s">
        <v>16339</v>
      </c>
      <c r="WPE1" t="s">
        <v>16340</v>
      </c>
      <c r="WPF1" t="s">
        <v>16341</v>
      </c>
      <c r="WPG1" t="s">
        <v>16342</v>
      </c>
      <c r="WPH1" t="s">
        <v>16343</v>
      </c>
      <c r="WPI1" t="s">
        <v>16344</v>
      </c>
      <c r="WPJ1" t="s">
        <v>16345</v>
      </c>
      <c r="WPK1" t="s">
        <v>16346</v>
      </c>
      <c r="WPL1" t="s">
        <v>16347</v>
      </c>
      <c r="WPM1" t="s">
        <v>16348</v>
      </c>
      <c r="WPN1" t="s">
        <v>16349</v>
      </c>
      <c r="WPO1" t="s">
        <v>16350</v>
      </c>
      <c r="WPP1" t="s">
        <v>16351</v>
      </c>
      <c r="WPQ1" t="s">
        <v>16352</v>
      </c>
      <c r="WPR1" t="s">
        <v>16353</v>
      </c>
      <c r="WPS1" t="s">
        <v>16354</v>
      </c>
      <c r="WPT1" t="s">
        <v>16355</v>
      </c>
      <c r="WPU1" t="s">
        <v>16356</v>
      </c>
      <c r="WPV1" t="s">
        <v>16357</v>
      </c>
      <c r="WPW1" t="s">
        <v>16358</v>
      </c>
      <c r="WPX1" t="s">
        <v>16359</v>
      </c>
      <c r="WPY1" t="s">
        <v>16360</v>
      </c>
      <c r="WPZ1" t="s">
        <v>16361</v>
      </c>
      <c r="WQA1" t="s">
        <v>16362</v>
      </c>
      <c r="WQB1" t="s">
        <v>16363</v>
      </c>
      <c r="WQC1" t="s">
        <v>16364</v>
      </c>
      <c r="WQD1" t="s">
        <v>16365</v>
      </c>
      <c r="WQE1" t="s">
        <v>16366</v>
      </c>
      <c r="WQF1" t="s">
        <v>16367</v>
      </c>
      <c r="WQG1" t="s">
        <v>16368</v>
      </c>
      <c r="WQH1" t="s">
        <v>16369</v>
      </c>
      <c r="WQI1" t="s">
        <v>16370</v>
      </c>
      <c r="WQJ1" t="s">
        <v>16371</v>
      </c>
      <c r="WQK1" t="s">
        <v>16372</v>
      </c>
      <c r="WQL1" t="s">
        <v>16373</v>
      </c>
      <c r="WQM1" t="s">
        <v>16374</v>
      </c>
      <c r="WQN1" t="s">
        <v>16375</v>
      </c>
      <c r="WQO1" t="s">
        <v>16376</v>
      </c>
      <c r="WQP1" t="s">
        <v>16377</v>
      </c>
      <c r="WQQ1" t="s">
        <v>16378</v>
      </c>
      <c r="WQR1" t="s">
        <v>16379</v>
      </c>
      <c r="WQS1" t="s">
        <v>16380</v>
      </c>
      <c r="WQT1" t="s">
        <v>16381</v>
      </c>
      <c r="WQU1" t="s">
        <v>16382</v>
      </c>
      <c r="WQV1" t="s">
        <v>16383</v>
      </c>
      <c r="WQW1" t="s">
        <v>16384</v>
      </c>
      <c r="WQX1" t="s">
        <v>16385</v>
      </c>
      <c r="WQY1" t="s">
        <v>16386</v>
      </c>
      <c r="WQZ1" t="s">
        <v>16387</v>
      </c>
      <c r="WRA1" t="s">
        <v>16388</v>
      </c>
      <c r="WRB1" t="s">
        <v>16389</v>
      </c>
      <c r="WRC1" t="s">
        <v>16390</v>
      </c>
      <c r="WRD1" t="s">
        <v>16391</v>
      </c>
      <c r="WRE1" t="s">
        <v>16392</v>
      </c>
      <c r="WRF1" t="s">
        <v>16393</v>
      </c>
      <c r="WRG1" t="s">
        <v>16394</v>
      </c>
      <c r="WRH1" t="s">
        <v>16395</v>
      </c>
      <c r="WRI1" t="s">
        <v>16396</v>
      </c>
      <c r="WRJ1" t="s">
        <v>16397</v>
      </c>
      <c r="WRK1" t="s">
        <v>16398</v>
      </c>
      <c r="WRL1" t="s">
        <v>16399</v>
      </c>
      <c r="WRM1" t="s">
        <v>16400</v>
      </c>
      <c r="WRN1" t="s">
        <v>16401</v>
      </c>
      <c r="WRO1" t="s">
        <v>16402</v>
      </c>
      <c r="WRP1" t="s">
        <v>16403</v>
      </c>
      <c r="WRQ1" t="s">
        <v>16404</v>
      </c>
      <c r="WRR1" t="s">
        <v>16405</v>
      </c>
      <c r="WRS1" t="s">
        <v>16406</v>
      </c>
      <c r="WRT1" t="s">
        <v>16407</v>
      </c>
      <c r="WRU1" t="s">
        <v>16408</v>
      </c>
      <c r="WRV1" t="s">
        <v>16409</v>
      </c>
      <c r="WRW1" t="s">
        <v>16410</v>
      </c>
      <c r="WRX1" t="s">
        <v>16411</v>
      </c>
      <c r="WRY1" t="s">
        <v>16412</v>
      </c>
      <c r="WRZ1" t="s">
        <v>16413</v>
      </c>
      <c r="WSA1" t="s">
        <v>16414</v>
      </c>
      <c r="WSB1" t="s">
        <v>16415</v>
      </c>
      <c r="WSC1" t="s">
        <v>16416</v>
      </c>
      <c r="WSD1" t="s">
        <v>16417</v>
      </c>
      <c r="WSE1" t="s">
        <v>16418</v>
      </c>
      <c r="WSF1" t="s">
        <v>16419</v>
      </c>
      <c r="WSG1" t="s">
        <v>16420</v>
      </c>
      <c r="WSH1" t="s">
        <v>16421</v>
      </c>
      <c r="WSI1" t="s">
        <v>16422</v>
      </c>
      <c r="WSJ1" t="s">
        <v>16423</v>
      </c>
      <c r="WSK1" t="s">
        <v>16424</v>
      </c>
      <c r="WSL1" t="s">
        <v>16425</v>
      </c>
      <c r="WSM1" t="s">
        <v>16426</v>
      </c>
      <c r="WSN1" t="s">
        <v>16427</v>
      </c>
      <c r="WSO1" t="s">
        <v>16428</v>
      </c>
      <c r="WSP1" t="s">
        <v>16429</v>
      </c>
      <c r="WSQ1" t="s">
        <v>16430</v>
      </c>
      <c r="WSR1" t="s">
        <v>16431</v>
      </c>
      <c r="WSS1" t="s">
        <v>16432</v>
      </c>
      <c r="WST1" t="s">
        <v>16433</v>
      </c>
      <c r="WSU1" t="s">
        <v>16434</v>
      </c>
      <c r="WSV1" t="s">
        <v>16435</v>
      </c>
      <c r="WSW1" t="s">
        <v>16436</v>
      </c>
      <c r="WSX1" t="s">
        <v>16437</v>
      </c>
      <c r="WSY1" t="s">
        <v>16438</v>
      </c>
      <c r="WSZ1" t="s">
        <v>16439</v>
      </c>
      <c r="WTA1" t="s">
        <v>16440</v>
      </c>
      <c r="WTB1" t="s">
        <v>16441</v>
      </c>
      <c r="WTC1" t="s">
        <v>16442</v>
      </c>
      <c r="WTD1" t="s">
        <v>16443</v>
      </c>
      <c r="WTE1" t="s">
        <v>16444</v>
      </c>
      <c r="WTF1" t="s">
        <v>16445</v>
      </c>
      <c r="WTG1" t="s">
        <v>16446</v>
      </c>
      <c r="WTH1" t="s">
        <v>16447</v>
      </c>
      <c r="WTI1" t="s">
        <v>16448</v>
      </c>
      <c r="WTJ1" t="s">
        <v>16449</v>
      </c>
      <c r="WTK1" t="s">
        <v>16450</v>
      </c>
      <c r="WTL1" t="s">
        <v>16451</v>
      </c>
      <c r="WTM1" t="s">
        <v>16452</v>
      </c>
      <c r="WTN1" t="s">
        <v>16453</v>
      </c>
      <c r="WTO1" t="s">
        <v>16454</v>
      </c>
      <c r="WTP1" t="s">
        <v>16455</v>
      </c>
      <c r="WTQ1" t="s">
        <v>16456</v>
      </c>
      <c r="WTR1" t="s">
        <v>16457</v>
      </c>
      <c r="WTS1" t="s">
        <v>16458</v>
      </c>
      <c r="WTT1" t="s">
        <v>16459</v>
      </c>
      <c r="WTU1" t="s">
        <v>16460</v>
      </c>
      <c r="WTV1" t="s">
        <v>16461</v>
      </c>
      <c r="WTW1" t="s">
        <v>16462</v>
      </c>
      <c r="WTX1" t="s">
        <v>16463</v>
      </c>
      <c r="WTY1" t="s">
        <v>16464</v>
      </c>
      <c r="WTZ1" t="s">
        <v>16465</v>
      </c>
      <c r="WUA1" t="s">
        <v>16466</v>
      </c>
      <c r="WUB1" t="s">
        <v>16467</v>
      </c>
      <c r="WUC1" t="s">
        <v>16468</v>
      </c>
      <c r="WUD1" t="s">
        <v>16469</v>
      </c>
      <c r="WUE1" t="s">
        <v>16470</v>
      </c>
      <c r="WUF1" t="s">
        <v>16471</v>
      </c>
      <c r="WUG1" t="s">
        <v>16472</v>
      </c>
      <c r="WUH1" t="s">
        <v>16473</v>
      </c>
      <c r="WUI1" t="s">
        <v>16474</v>
      </c>
      <c r="WUJ1" t="s">
        <v>16475</v>
      </c>
      <c r="WUK1" t="s">
        <v>16476</v>
      </c>
      <c r="WUL1" t="s">
        <v>16477</v>
      </c>
      <c r="WUM1" t="s">
        <v>16478</v>
      </c>
      <c r="WUN1" t="s">
        <v>16479</v>
      </c>
      <c r="WUO1" t="s">
        <v>16480</v>
      </c>
      <c r="WUP1" t="s">
        <v>16481</v>
      </c>
      <c r="WUQ1" t="s">
        <v>16482</v>
      </c>
      <c r="WUR1" t="s">
        <v>16483</v>
      </c>
      <c r="WUS1" t="s">
        <v>16484</v>
      </c>
      <c r="WUT1" t="s">
        <v>16485</v>
      </c>
      <c r="WUU1" t="s">
        <v>16486</v>
      </c>
      <c r="WUV1" t="s">
        <v>16487</v>
      </c>
      <c r="WUW1" t="s">
        <v>16488</v>
      </c>
      <c r="WUX1" t="s">
        <v>16489</v>
      </c>
      <c r="WUY1" t="s">
        <v>16490</v>
      </c>
      <c r="WUZ1" t="s">
        <v>16491</v>
      </c>
      <c r="WVA1" t="s">
        <v>16492</v>
      </c>
      <c r="WVB1" t="s">
        <v>16493</v>
      </c>
      <c r="WVC1" t="s">
        <v>16494</v>
      </c>
      <c r="WVD1" t="s">
        <v>16495</v>
      </c>
      <c r="WVE1" t="s">
        <v>16496</v>
      </c>
      <c r="WVF1" t="s">
        <v>16497</v>
      </c>
      <c r="WVG1" t="s">
        <v>16498</v>
      </c>
      <c r="WVH1" t="s">
        <v>16499</v>
      </c>
      <c r="WVI1" t="s">
        <v>16500</v>
      </c>
      <c r="WVJ1" t="s">
        <v>16501</v>
      </c>
      <c r="WVK1" t="s">
        <v>16502</v>
      </c>
      <c r="WVL1" t="s">
        <v>16503</v>
      </c>
      <c r="WVM1" t="s">
        <v>16504</v>
      </c>
      <c r="WVN1" t="s">
        <v>16505</v>
      </c>
      <c r="WVO1" t="s">
        <v>16506</v>
      </c>
      <c r="WVP1" t="s">
        <v>16507</v>
      </c>
      <c r="WVQ1" t="s">
        <v>16508</v>
      </c>
      <c r="WVR1" t="s">
        <v>16509</v>
      </c>
      <c r="WVS1" t="s">
        <v>16510</v>
      </c>
      <c r="WVT1" t="s">
        <v>16511</v>
      </c>
      <c r="WVU1" t="s">
        <v>16512</v>
      </c>
      <c r="WVV1" t="s">
        <v>16513</v>
      </c>
      <c r="WVW1" t="s">
        <v>16514</v>
      </c>
      <c r="WVX1" t="s">
        <v>16515</v>
      </c>
      <c r="WVY1" t="s">
        <v>16516</v>
      </c>
      <c r="WVZ1" t="s">
        <v>16517</v>
      </c>
      <c r="WWA1" t="s">
        <v>16518</v>
      </c>
      <c r="WWB1" t="s">
        <v>16519</v>
      </c>
      <c r="WWC1" t="s">
        <v>16520</v>
      </c>
      <c r="WWD1" t="s">
        <v>16521</v>
      </c>
      <c r="WWE1" t="s">
        <v>16522</v>
      </c>
      <c r="WWF1" t="s">
        <v>16523</v>
      </c>
      <c r="WWG1" t="s">
        <v>16524</v>
      </c>
      <c r="WWH1" t="s">
        <v>16525</v>
      </c>
      <c r="WWI1" t="s">
        <v>16526</v>
      </c>
      <c r="WWJ1" t="s">
        <v>16527</v>
      </c>
      <c r="WWK1" t="s">
        <v>16528</v>
      </c>
      <c r="WWL1" t="s">
        <v>16529</v>
      </c>
      <c r="WWM1" t="s">
        <v>16530</v>
      </c>
      <c r="WWN1" t="s">
        <v>16531</v>
      </c>
      <c r="WWO1" t="s">
        <v>16532</v>
      </c>
      <c r="WWP1" t="s">
        <v>16533</v>
      </c>
      <c r="WWQ1" t="s">
        <v>16534</v>
      </c>
      <c r="WWR1" t="s">
        <v>16535</v>
      </c>
      <c r="WWS1" t="s">
        <v>16536</v>
      </c>
      <c r="WWT1" t="s">
        <v>16537</v>
      </c>
      <c r="WWU1" t="s">
        <v>16538</v>
      </c>
      <c r="WWV1" t="s">
        <v>16539</v>
      </c>
      <c r="WWW1" t="s">
        <v>16540</v>
      </c>
      <c r="WWX1" t="s">
        <v>16541</v>
      </c>
      <c r="WWY1" t="s">
        <v>16542</v>
      </c>
      <c r="WWZ1" t="s">
        <v>16543</v>
      </c>
      <c r="WXA1" t="s">
        <v>16544</v>
      </c>
      <c r="WXB1" t="s">
        <v>16545</v>
      </c>
      <c r="WXC1" t="s">
        <v>16546</v>
      </c>
      <c r="WXD1" t="s">
        <v>16547</v>
      </c>
      <c r="WXE1" t="s">
        <v>16548</v>
      </c>
      <c r="WXF1" t="s">
        <v>16549</v>
      </c>
      <c r="WXG1" t="s">
        <v>16550</v>
      </c>
      <c r="WXH1" t="s">
        <v>16551</v>
      </c>
      <c r="WXI1" t="s">
        <v>16552</v>
      </c>
      <c r="WXJ1" t="s">
        <v>16553</v>
      </c>
      <c r="WXK1" t="s">
        <v>16554</v>
      </c>
      <c r="WXL1" t="s">
        <v>16555</v>
      </c>
      <c r="WXM1" t="s">
        <v>16556</v>
      </c>
      <c r="WXN1" t="s">
        <v>16557</v>
      </c>
      <c r="WXO1" t="s">
        <v>16558</v>
      </c>
      <c r="WXP1" t="s">
        <v>16559</v>
      </c>
      <c r="WXQ1" t="s">
        <v>16560</v>
      </c>
      <c r="WXR1" t="s">
        <v>16561</v>
      </c>
      <c r="WXS1" t="s">
        <v>16562</v>
      </c>
      <c r="WXT1" t="s">
        <v>16563</v>
      </c>
      <c r="WXU1" t="s">
        <v>16564</v>
      </c>
      <c r="WXV1" t="s">
        <v>16565</v>
      </c>
      <c r="WXW1" t="s">
        <v>16566</v>
      </c>
      <c r="WXX1" t="s">
        <v>16567</v>
      </c>
      <c r="WXY1" t="s">
        <v>16568</v>
      </c>
      <c r="WXZ1" t="s">
        <v>16569</v>
      </c>
      <c r="WYA1" t="s">
        <v>16570</v>
      </c>
      <c r="WYB1" t="s">
        <v>16571</v>
      </c>
      <c r="WYC1" t="s">
        <v>16572</v>
      </c>
      <c r="WYD1" t="s">
        <v>16573</v>
      </c>
      <c r="WYE1" t="s">
        <v>16574</v>
      </c>
      <c r="WYF1" t="s">
        <v>16575</v>
      </c>
      <c r="WYG1" t="s">
        <v>16576</v>
      </c>
      <c r="WYH1" t="s">
        <v>16577</v>
      </c>
      <c r="WYI1" t="s">
        <v>16578</v>
      </c>
      <c r="WYJ1" t="s">
        <v>16579</v>
      </c>
      <c r="WYK1" t="s">
        <v>16580</v>
      </c>
      <c r="WYL1" t="s">
        <v>16581</v>
      </c>
      <c r="WYM1" t="s">
        <v>16582</v>
      </c>
      <c r="WYN1" t="s">
        <v>16583</v>
      </c>
      <c r="WYO1" t="s">
        <v>16584</v>
      </c>
      <c r="WYP1" t="s">
        <v>16585</v>
      </c>
      <c r="WYQ1" t="s">
        <v>16586</v>
      </c>
      <c r="WYR1" t="s">
        <v>16587</v>
      </c>
      <c r="WYS1" t="s">
        <v>16588</v>
      </c>
      <c r="WYT1" t="s">
        <v>16589</v>
      </c>
      <c r="WYU1" t="s">
        <v>16590</v>
      </c>
      <c r="WYV1" t="s">
        <v>16591</v>
      </c>
      <c r="WYW1" t="s">
        <v>16592</v>
      </c>
      <c r="WYX1" t="s">
        <v>16593</v>
      </c>
      <c r="WYY1" t="s">
        <v>16594</v>
      </c>
      <c r="WYZ1" t="s">
        <v>16595</v>
      </c>
      <c r="WZA1" t="s">
        <v>16596</v>
      </c>
      <c r="WZB1" t="s">
        <v>16597</v>
      </c>
      <c r="WZC1" t="s">
        <v>16598</v>
      </c>
      <c r="WZD1" t="s">
        <v>16599</v>
      </c>
      <c r="WZE1" t="s">
        <v>16600</v>
      </c>
      <c r="WZF1" t="s">
        <v>16601</v>
      </c>
      <c r="WZG1" t="s">
        <v>16602</v>
      </c>
      <c r="WZH1" t="s">
        <v>16603</v>
      </c>
      <c r="WZI1" t="s">
        <v>16604</v>
      </c>
      <c r="WZJ1" t="s">
        <v>16605</v>
      </c>
      <c r="WZK1" t="s">
        <v>16606</v>
      </c>
      <c r="WZL1" t="s">
        <v>16607</v>
      </c>
      <c r="WZM1" t="s">
        <v>16608</v>
      </c>
      <c r="WZN1" t="s">
        <v>16609</v>
      </c>
      <c r="WZO1" t="s">
        <v>16610</v>
      </c>
      <c r="WZP1" t="s">
        <v>16611</v>
      </c>
      <c r="WZQ1" t="s">
        <v>16612</v>
      </c>
      <c r="WZR1" t="s">
        <v>16613</v>
      </c>
      <c r="WZS1" t="s">
        <v>16614</v>
      </c>
      <c r="WZT1" t="s">
        <v>16615</v>
      </c>
      <c r="WZU1" t="s">
        <v>16616</v>
      </c>
      <c r="WZV1" t="s">
        <v>16617</v>
      </c>
      <c r="WZW1" t="s">
        <v>16618</v>
      </c>
      <c r="WZX1" t="s">
        <v>16619</v>
      </c>
      <c r="WZY1" t="s">
        <v>16620</v>
      </c>
      <c r="WZZ1" t="s">
        <v>16621</v>
      </c>
      <c r="XAA1" t="s">
        <v>16622</v>
      </c>
      <c r="XAB1" t="s">
        <v>16623</v>
      </c>
      <c r="XAC1" t="s">
        <v>16624</v>
      </c>
      <c r="XAD1" t="s">
        <v>16625</v>
      </c>
      <c r="XAE1" t="s">
        <v>16626</v>
      </c>
      <c r="XAF1" t="s">
        <v>16627</v>
      </c>
      <c r="XAG1" t="s">
        <v>16628</v>
      </c>
      <c r="XAH1" t="s">
        <v>16629</v>
      </c>
      <c r="XAI1" t="s">
        <v>16630</v>
      </c>
      <c r="XAJ1" t="s">
        <v>16631</v>
      </c>
      <c r="XAK1" t="s">
        <v>16632</v>
      </c>
      <c r="XAL1" t="s">
        <v>16633</v>
      </c>
      <c r="XAM1" t="s">
        <v>16634</v>
      </c>
      <c r="XAN1" t="s">
        <v>16635</v>
      </c>
      <c r="XAO1" t="s">
        <v>16636</v>
      </c>
      <c r="XAP1" t="s">
        <v>16637</v>
      </c>
      <c r="XAQ1" t="s">
        <v>16638</v>
      </c>
      <c r="XAR1" t="s">
        <v>16639</v>
      </c>
      <c r="XAS1" t="s">
        <v>16640</v>
      </c>
      <c r="XAT1" t="s">
        <v>16641</v>
      </c>
      <c r="XAU1" t="s">
        <v>16642</v>
      </c>
      <c r="XAV1" t="s">
        <v>16643</v>
      </c>
      <c r="XAW1" t="s">
        <v>16644</v>
      </c>
      <c r="XAX1" t="s">
        <v>16645</v>
      </c>
      <c r="XAY1" t="s">
        <v>16646</v>
      </c>
      <c r="XAZ1" t="s">
        <v>16647</v>
      </c>
      <c r="XBA1" t="s">
        <v>16648</v>
      </c>
      <c r="XBB1" t="s">
        <v>16649</v>
      </c>
      <c r="XBC1" t="s">
        <v>16650</v>
      </c>
      <c r="XBD1" t="s">
        <v>16651</v>
      </c>
      <c r="XBE1" t="s">
        <v>16652</v>
      </c>
      <c r="XBF1" t="s">
        <v>16653</v>
      </c>
      <c r="XBG1" t="s">
        <v>16654</v>
      </c>
      <c r="XBH1" t="s">
        <v>16655</v>
      </c>
      <c r="XBI1" t="s">
        <v>16656</v>
      </c>
      <c r="XBJ1" t="s">
        <v>16657</v>
      </c>
      <c r="XBK1" t="s">
        <v>16658</v>
      </c>
      <c r="XBL1" t="s">
        <v>16659</v>
      </c>
      <c r="XBM1" t="s">
        <v>16660</v>
      </c>
      <c r="XBN1" t="s">
        <v>16661</v>
      </c>
      <c r="XBO1" t="s">
        <v>16662</v>
      </c>
      <c r="XBP1" t="s">
        <v>16663</v>
      </c>
      <c r="XBQ1" t="s">
        <v>16664</v>
      </c>
      <c r="XBR1" t="s">
        <v>16665</v>
      </c>
      <c r="XBS1" t="s">
        <v>16666</v>
      </c>
      <c r="XBT1" t="s">
        <v>16667</v>
      </c>
      <c r="XBU1" t="s">
        <v>16668</v>
      </c>
      <c r="XBV1" t="s">
        <v>16669</v>
      </c>
      <c r="XBW1" t="s">
        <v>16670</v>
      </c>
      <c r="XBX1" t="s">
        <v>16671</v>
      </c>
      <c r="XBY1" t="s">
        <v>16672</v>
      </c>
      <c r="XBZ1" t="s">
        <v>16673</v>
      </c>
      <c r="XCA1" t="s">
        <v>16674</v>
      </c>
      <c r="XCB1" t="s">
        <v>16675</v>
      </c>
      <c r="XCC1" t="s">
        <v>16676</v>
      </c>
      <c r="XCD1" t="s">
        <v>16677</v>
      </c>
      <c r="XCE1" t="s">
        <v>16678</v>
      </c>
      <c r="XCF1" t="s">
        <v>16679</v>
      </c>
      <c r="XCG1" t="s">
        <v>16680</v>
      </c>
      <c r="XCH1" t="s">
        <v>16681</v>
      </c>
      <c r="XCI1" t="s">
        <v>16682</v>
      </c>
      <c r="XCJ1" t="s">
        <v>16683</v>
      </c>
      <c r="XCK1" t="s">
        <v>16684</v>
      </c>
      <c r="XCL1" t="s">
        <v>16685</v>
      </c>
      <c r="XCM1" t="s">
        <v>16686</v>
      </c>
      <c r="XCN1" t="s">
        <v>16687</v>
      </c>
      <c r="XCO1" t="s">
        <v>16688</v>
      </c>
      <c r="XCP1" t="s">
        <v>16689</v>
      </c>
      <c r="XCQ1" t="s">
        <v>16690</v>
      </c>
      <c r="XCR1" t="s">
        <v>16691</v>
      </c>
      <c r="XCS1" t="s">
        <v>16692</v>
      </c>
      <c r="XCT1" t="s">
        <v>16693</v>
      </c>
      <c r="XCU1" t="s">
        <v>16694</v>
      </c>
      <c r="XCV1" t="s">
        <v>16695</v>
      </c>
      <c r="XCW1" t="s">
        <v>16696</v>
      </c>
      <c r="XCX1" t="s">
        <v>16697</v>
      </c>
      <c r="XCY1" t="s">
        <v>16698</v>
      </c>
      <c r="XCZ1" t="s">
        <v>16699</v>
      </c>
      <c r="XDA1" t="s">
        <v>16700</v>
      </c>
      <c r="XDB1" t="s">
        <v>16701</v>
      </c>
      <c r="XDC1" t="s">
        <v>16702</v>
      </c>
      <c r="XDD1" t="s">
        <v>16703</v>
      </c>
      <c r="XDE1" t="s">
        <v>16704</v>
      </c>
      <c r="XDF1" t="s">
        <v>16705</v>
      </c>
      <c r="XDG1" t="s">
        <v>16706</v>
      </c>
      <c r="XDH1" t="s">
        <v>16707</v>
      </c>
      <c r="XDI1" t="s">
        <v>16708</v>
      </c>
      <c r="XDJ1" t="s">
        <v>16709</v>
      </c>
      <c r="XDK1" t="s">
        <v>16710</v>
      </c>
      <c r="XDL1" t="s">
        <v>16711</v>
      </c>
      <c r="XDM1" t="s">
        <v>16712</v>
      </c>
      <c r="XDN1" t="s">
        <v>16713</v>
      </c>
      <c r="XDO1" t="s">
        <v>16714</v>
      </c>
      <c r="XDP1" t="s">
        <v>16715</v>
      </c>
      <c r="XDQ1" t="s">
        <v>16716</v>
      </c>
      <c r="XDR1" t="s">
        <v>16717</v>
      </c>
      <c r="XDS1" t="s">
        <v>16718</v>
      </c>
      <c r="XDT1" t="s">
        <v>16719</v>
      </c>
      <c r="XDU1" t="s">
        <v>16720</v>
      </c>
      <c r="XDV1" t="s">
        <v>16721</v>
      </c>
      <c r="XDW1" t="s">
        <v>16722</v>
      </c>
      <c r="XDX1" t="s">
        <v>16723</v>
      </c>
      <c r="XDY1" t="s">
        <v>16724</v>
      </c>
      <c r="XDZ1" t="s">
        <v>16725</v>
      </c>
      <c r="XEA1" t="s">
        <v>16726</v>
      </c>
      <c r="XEB1" t="s">
        <v>16727</v>
      </c>
      <c r="XEC1" t="s">
        <v>16728</v>
      </c>
      <c r="XED1" t="s">
        <v>16729</v>
      </c>
      <c r="XEE1" t="s">
        <v>16730</v>
      </c>
      <c r="XEF1" t="s">
        <v>16731</v>
      </c>
      <c r="XEG1" t="s">
        <v>16732</v>
      </c>
      <c r="XEH1" t="s">
        <v>16733</v>
      </c>
      <c r="XEI1" t="s">
        <v>16734</v>
      </c>
      <c r="XEJ1" t="s">
        <v>16735</v>
      </c>
      <c r="XEK1" t="s">
        <v>16736</v>
      </c>
      <c r="XEL1" t="s">
        <v>16737</v>
      </c>
      <c r="XEM1" t="s">
        <v>16738</v>
      </c>
      <c r="XEN1" t="s">
        <v>16739</v>
      </c>
      <c r="XEO1" t="s">
        <v>16740</v>
      </c>
      <c r="XEP1" t="s">
        <v>16741</v>
      </c>
      <c r="XEQ1" t="s">
        <v>16742</v>
      </c>
      <c r="XER1" t="s">
        <v>16743</v>
      </c>
      <c r="XES1" t="s">
        <v>16744</v>
      </c>
      <c r="XET1" t="s">
        <v>16745</v>
      </c>
      <c r="XEU1" t="s">
        <v>16746</v>
      </c>
      <c r="XEV1" t="s">
        <v>16747</v>
      </c>
      <c r="XEW1" t="s">
        <v>16748</v>
      </c>
      <c r="XEX1" t="s">
        <v>16749</v>
      </c>
      <c r="XEY1" t="s">
        <v>16750</v>
      </c>
      <c r="XEZ1" t="s">
        <v>16751</v>
      </c>
      <c r="XFA1" t="s">
        <v>16752</v>
      </c>
      <c r="XFB1" t="s">
        <v>16753</v>
      </c>
      <c r="XFC1" t="s">
        <v>16754</v>
      </c>
      <c r="XFD1" t="s">
        <v>16755</v>
      </c>
    </row>
    <row r="2" spans="1:16384" customFormat="1" ht="15.75" thickBot="1" x14ac:dyDescent="0.3">
      <c r="A2" s="11" t="s">
        <v>16756</v>
      </c>
      <c r="B2" s="8" t="s">
        <v>372</v>
      </c>
      <c r="C2" s="8" t="s">
        <v>16757</v>
      </c>
    </row>
    <row r="3" spans="1:16384" customFormat="1" ht="15.75" thickBot="1" x14ac:dyDescent="0.3">
      <c r="A3" s="12" t="s">
        <v>0</v>
      </c>
      <c r="B3" s="9" t="s">
        <v>16758</v>
      </c>
      <c r="C3" s="9" t="s">
        <v>16759</v>
      </c>
    </row>
    <row r="4" spans="1:16384" customFormat="1" ht="15.75" thickBot="1" x14ac:dyDescent="0.3">
      <c r="A4" s="12" t="s">
        <v>1</v>
      </c>
      <c r="B4" s="9" t="s">
        <v>16760</v>
      </c>
      <c r="C4" s="9" t="s">
        <v>16761</v>
      </c>
    </row>
    <row r="5" spans="1:16384" customFormat="1" ht="15.75" thickBot="1" x14ac:dyDescent="0.3">
      <c r="A5" s="12" t="s">
        <v>16762</v>
      </c>
      <c r="B5" s="9" t="s">
        <v>16763</v>
      </c>
      <c r="C5" s="9" t="s">
        <v>16764</v>
      </c>
    </row>
    <row r="6" spans="1:16384" customFormat="1" ht="15.75" thickBot="1" x14ac:dyDescent="0.3">
      <c r="A6" s="12" t="s">
        <v>3</v>
      </c>
      <c r="B6" s="9" t="s">
        <v>16765</v>
      </c>
      <c r="C6" s="9" t="s">
        <v>16766</v>
      </c>
    </row>
    <row r="7" spans="1:16384" customFormat="1" ht="15.75" thickBot="1" x14ac:dyDescent="0.3">
      <c r="A7" s="12" t="s">
        <v>4</v>
      </c>
      <c r="B7" s="9" t="s">
        <v>16767</v>
      </c>
      <c r="C7" s="9" t="s">
        <v>16768</v>
      </c>
    </row>
    <row r="8" spans="1:16384" customFormat="1" ht="29.25" thickBot="1" x14ac:dyDescent="0.3">
      <c r="A8" s="12" t="s">
        <v>5</v>
      </c>
      <c r="B8" s="9" t="s">
        <v>16769</v>
      </c>
      <c r="C8" s="9" t="s">
        <v>16770</v>
      </c>
    </row>
    <row r="9" spans="1:16384" customFormat="1" ht="15.75" thickBot="1" x14ac:dyDescent="0.3">
      <c r="A9" s="12" t="s">
        <v>6</v>
      </c>
      <c r="B9" s="9" t="s">
        <v>16771</v>
      </c>
      <c r="C9" s="9" t="s">
        <v>16772</v>
      </c>
    </row>
    <row r="10" spans="1:16384" customFormat="1" ht="29.25" thickBot="1" x14ac:dyDescent="0.3">
      <c r="A10" s="12" t="s">
        <v>7</v>
      </c>
      <c r="B10" s="9" t="s">
        <v>16773</v>
      </c>
      <c r="C10" s="9" t="s">
        <v>16774</v>
      </c>
    </row>
    <row r="11" spans="1:16384" customFormat="1" ht="15.75" thickBot="1" x14ac:dyDescent="0.3">
      <c r="A11" s="12" t="s">
        <v>8</v>
      </c>
      <c r="B11" s="9" t="s">
        <v>16775</v>
      </c>
      <c r="C11" s="9" t="s">
        <v>16776</v>
      </c>
    </row>
    <row r="12" spans="1:16384" customFormat="1" ht="15.75" thickBot="1" x14ac:dyDescent="0.3">
      <c r="A12" s="12" t="s">
        <v>9</v>
      </c>
      <c r="B12" s="9" t="s">
        <v>16777</v>
      </c>
      <c r="C12" s="9" t="s">
        <v>16778</v>
      </c>
    </row>
    <row r="13" spans="1:16384" customFormat="1" ht="15.75" thickBot="1" x14ac:dyDescent="0.3">
      <c r="A13" s="12" t="s">
        <v>10</v>
      </c>
      <c r="B13" s="9" t="s">
        <v>16779</v>
      </c>
      <c r="C13" s="9" t="s">
        <v>16780</v>
      </c>
    </row>
    <row r="14" spans="1:16384" customFormat="1" ht="15.75" thickBot="1" x14ac:dyDescent="0.3">
      <c r="A14" s="12" t="s">
        <v>11</v>
      </c>
      <c r="B14" s="9" t="s">
        <v>16781</v>
      </c>
      <c r="C14" s="9" t="s">
        <v>16782</v>
      </c>
    </row>
    <row r="15" spans="1:16384" customFormat="1" ht="15.75" thickBot="1" x14ac:dyDescent="0.3">
      <c r="A15" s="12" t="s">
        <v>12</v>
      </c>
      <c r="B15" s="9" t="s">
        <v>16783</v>
      </c>
      <c r="C15" s="9" t="s">
        <v>16784</v>
      </c>
    </row>
    <row r="16" spans="1:16384" customFormat="1" ht="15.75" thickBot="1" x14ac:dyDescent="0.3">
      <c r="A16" s="12" t="s">
        <v>13</v>
      </c>
      <c r="B16" s="9" t="s">
        <v>16785</v>
      </c>
      <c r="C16" s="9" t="s">
        <v>16786</v>
      </c>
    </row>
    <row r="17" spans="1:3" ht="15.75" thickBot="1" x14ac:dyDescent="0.3">
      <c r="A17" s="12" t="s">
        <v>14</v>
      </c>
      <c r="B17" s="9" t="s">
        <v>16787</v>
      </c>
      <c r="C17" s="9" t="s">
        <v>16788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90" customWidth="1"/>
  </cols>
  <sheetData>
    <row r="1" spans="1:1" ht="18.75" x14ac:dyDescent="0.25">
      <c r="A1" s="3" t="s">
        <v>359</v>
      </c>
    </row>
    <row r="2" spans="1:1" x14ac:dyDescent="0.25">
      <c r="A2" s="4" t="s">
        <v>360</v>
      </c>
    </row>
    <row r="3" spans="1:1" x14ac:dyDescent="0.25">
      <c r="A3" s="4" t="s">
        <v>361</v>
      </c>
    </row>
    <row r="4" spans="1:1" x14ac:dyDescent="0.25">
      <c r="A4" s="4"/>
    </row>
    <row r="5" spans="1:1" x14ac:dyDescent="0.25">
      <c r="A5" s="4" t="s">
        <v>362</v>
      </c>
    </row>
    <row r="6" spans="1:1" x14ac:dyDescent="0.25">
      <c r="A6" s="4" t="s">
        <v>363</v>
      </c>
    </row>
    <row r="7" spans="1:1" x14ac:dyDescent="0.25">
      <c r="A7" s="4" t="s">
        <v>364</v>
      </c>
    </row>
    <row r="8" spans="1:1" x14ac:dyDescent="0.25">
      <c r="A8" s="4" t="s">
        <v>365</v>
      </c>
    </row>
    <row r="9" spans="1:1" x14ac:dyDescent="0.25">
      <c r="A9" s="4" t="s">
        <v>366</v>
      </c>
    </row>
    <row r="10" spans="1:1" x14ac:dyDescent="0.25">
      <c r="A10" s="4" t="s">
        <v>367</v>
      </c>
    </row>
    <row r="11" spans="1:1" x14ac:dyDescent="0.25">
      <c r="A11" s="4" t="s">
        <v>368</v>
      </c>
    </row>
    <row r="12" spans="1:1" x14ac:dyDescent="0.25">
      <c r="A12" s="4" t="s">
        <v>369</v>
      </c>
    </row>
    <row r="13" spans="1:1" x14ac:dyDescent="0.25">
      <c r="A13" s="4" t="s">
        <v>370</v>
      </c>
    </row>
    <row r="14" spans="1:1" x14ac:dyDescent="0.25">
      <c r="A14" s="4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project_note</vt:lpstr>
      <vt:lpstr>Detail1</vt:lpstr>
      <vt:lpstr>Detail2</vt:lpstr>
      <vt:lpstr>Reginal_analysis</vt:lpstr>
      <vt:lpstr>Monthly analysis</vt:lpstr>
      <vt:lpstr>sales_repAnalysis</vt:lpstr>
      <vt:lpstr>Detail3</vt:lpstr>
      <vt:lpstr>Channel analysis</vt:lpstr>
      <vt:lpstr>Sheet1</vt:lpstr>
      <vt:lpstr>Sales_Data</vt:lpstr>
      <vt:lpstr>KPI_Summary</vt:lpstr>
      <vt:lpstr>Dictionary</vt:lpstr>
      <vt:lpstr>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Shehu</cp:lastModifiedBy>
  <dcterms:created xsi:type="dcterms:W3CDTF">2026-10-07T14:25:37Z</dcterms:created>
  <dcterms:modified xsi:type="dcterms:W3CDTF">2026-10-12T12:15:38Z</dcterms:modified>
</cp:coreProperties>
</file>